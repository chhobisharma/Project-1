
<file path=[Content_Types].xml><?xml version="1.0" encoding="utf-8"?>
<Types xmlns="http://schemas.openxmlformats.org/package/2006/content-types">
  <Default Extension="bin" ContentType="application/vnd.openxmlformats-officedocument.spreadsheetml.printerSettings"/>
  <Default Extension="data" ContentType="application/vnd.openxmlformats-officedocument.model+data"/>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pivotCache/pivotCacheDefinition1.xml" ContentType="application/vnd.openxmlformats-officedocument.spreadsheetml.pivotCacheDefinition+xml"/>
  <Override PartName="/xl/pivotCache/pivotCacheRecords1.xml" ContentType="application/vnd.openxmlformats-officedocument.spreadsheetml.pivotCacheRecords+xml"/>
  <Override PartName="/xl/pivotCache/pivotCacheDefinition2.xml" ContentType="application/vnd.openxmlformats-officedocument.spreadsheetml.pivotCacheDefinition+xml"/>
  <Override PartName="/xl/slicerCaches/slicerCache1.xml" ContentType="application/vnd.ms-excel.slicerCache+xml"/>
  <Override PartName="/xl/slicerCaches/slicerCache2.xml" ContentType="application/vnd.ms-excel.slicerCache+xml"/>
  <Override PartName="/xl/slicerCaches/slicerCache3.xml" ContentType="application/vnd.ms-excel.slicerCache+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queryTables/queryTable1.xml" ContentType="application/vnd.openxmlformats-officedocument.spreadsheetml.queryTable+xml"/>
  <Override PartName="/xl/pivotTables/pivotTable1.xml" ContentType="application/vnd.openxmlformats-officedocument.spreadsheetml.pivotTable+xml"/>
  <Override PartName="/xl/pivotTables/pivotTable2.xml" ContentType="application/vnd.openxmlformats-officedocument.spreadsheetml.pivotTable+xml"/>
  <Override PartName="/xl/pivotTables/pivotTable3.xml" ContentType="application/vnd.openxmlformats-officedocument.spreadsheetml.pivotTable+xml"/>
  <Override PartName="/xl/drawings/drawing1.xml" ContentType="application/vnd.openxmlformats-officedocument.drawing+xml"/>
  <Override PartName="/xl/slicers/slicer1.xml" ContentType="application/vnd.ms-excel.slicer+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pivotTables/pivotTable4.xml" ContentType="application/vnd.openxmlformats-officedocument.spreadsheetml.pivotTable+xml"/>
  <Override PartName="/xl/pivotTables/pivotTable5.xml" ContentType="application/vnd.openxmlformats-officedocument.spreadsheetml.pivotTable+xml"/>
  <Override PartName="/xl/pivotTables/pivotTable6.xml" ContentType="application/vnd.openxmlformats-officedocument.spreadsheetml.pivotTable+xml"/>
  <Override PartName="/xl/tables/table2.xml" ContentType="application/vnd.openxmlformats-officedocument.spreadsheetml.table+xml"/>
  <Override PartName="/xl/tables/table3.xml" ContentType="application/vnd.openxmlformats-officedocument.spreadsheetml.table+xml"/>
  <Override PartName="/xl/queryTables/queryTable2.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ThisWorkbook" defaultThemeVersion="166925"/>
  <mc:AlternateContent xmlns:mc="http://schemas.openxmlformats.org/markup-compatibility/2006">
    <mc:Choice Requires="x15">
      <x15ac:absPath xmlns:x15ac="http://schemas.microsoft.com/office/spreadsheetml/2010/11/ac" url="C:\Users\ASUS\Desktop\"/>
    </mc:Choice>
  </mc:AlternateContent>
  <xr:revisionPtr revIDLastSave="0" documentId="13_ncr:1_{EBAB2510-F95A-4021-91A0-219D396B16E3}" xr6:coauthVersionLast="47" xr6:coauthVersionMax="47" xr10:uidLastSave="{00000000-0000-0000-0000-000000000000}"/>
  <bookViews>
    <workbookView xWindow="-108" yWindow="-108" windowWidth="23256" windowHeight="12456" xr2:uid="{A73A9945-B65B-4DCF-9DE1-A4FC358E6513}"/>
  </bookViews>
  <sheets>
    <sheet name="Merged Data" sheetId="1" r:id="rId1"/>
    <sheet name="Dashboard" sheetId="15" r:id="rId2"/>
    <sheet name="Summary Statistics" sheetId="12" r:id="rId3"/>
    <sheet name="Analysis Sheet" sheetId="11" r:id="rId4"/>
    <sheet name="Weather &amp; Seasonal Impact" sheetId="10" r:id="rId5"/>
    <sheet name="Holiday Working Day Impact" sheetId="16" r:id="rId6"/>
    <sheet name="Demand according to day" sheetId="17" r:id="rId7"/>
    <sheet name="Detail1" sheetId="19" state="hidden" r:id="rId8"/>
    <sheet name="Sheet2" sheetId="18" state="hidden" r:id="rId9"/>
  </sheets>
  <definedNames>
    <definedName name="_xlcn.WorksheetConnection_datasetappend.xlsxAppend11" hidden="1">Append1[]</definedName>
    <definedName name="ExternalData_1" localSheetId="8" hidden="1">Sheet2!$A$3:$T$38</definedName>
    <definedName name="ExternalData_4" localSheetId="0" hidden="1">'Merged Data'!$A$1:$Q$1001</definedName>
    <definedName name="_xlnm.Print_Area" localSheetId="0">Append1[[#Headers],[#Data]]</definedName>
    <definedName name="Slicer_Month">#N/A</definedName>
    <definedName name="Slicer_Weather_Desc">#N/A</definedName>
    <definedName name="Slicer_Weathersit2">#N/A</definedName>
  </definedNames>
  <calcPr calcId="191029"/>
  <pivotCaches>
    <pivotCache cacheId="4" r:id="rId10"/>
    <pivotCache cacheId="5" r:id="rId11"/>
  </pivotCaches>
  <extLst>
    <ext xmlns:x14="http://schemas.microsoft.com/office/spreadsheetml/2009/9/main" uri="{BBE1A952-AA13-448e-AADC-164F8A28A991}">
      <x14:slicerCaches>
        <x14:slicerCache r:id="rId12"/>
        <x14:slicerCache r:id="rId13"/>
        <x14:slicerCache r:id="rId14"/>
      </x14:slicerCaches>
    </ext>
    <ext xmlns:x14="http://schemas.microsoft.com/office/spreadsheetml/2009/9/main" uri="{79F54976-1DA5-4618-B147-4CDE4B953A38}">
      <x14:workbookPr/>
    </ext>
    <ext xmlns:x15="http://schemas.microsoft.com/office/spreadsheetml/2010/11/main" uri="{140A7094-0E35-4892-8432-C4D2E57EDEB5}">
      <x15:workbookPr chartTrackingRefBase="1"/>
    </ext>
    <ext xmlns:x15="http://schemas.microsoft.com/office/spreadsheetml/2010/11/main" uri="{FCE2AD5D-F65C-4FA6-A056-5C36A1767C68}">
      <x15:dataModel>
        <x15:modelTables>
          <x15:modelTable id="Append1" name="Append1" connection="WorksheetConnection_dataset append.xlsx!Append1"/>
        </x15:modelTables>
      </x15:dataModel>
    </ext>
  </extLst>
</workbook>
</file>

<file path=xl/calcChain.xml><?xml version="1.0" encoding="utf-8"?>
<calcChain xmlns="http://schemas.openxmlformats.org/spreadsheetml/2006/main">
  <c r="V2" i="1" l="1"/>
  <c r="T2" i="1"/>
  <c r="B16" i="11"/>
  <c r="B8" i="11"/>
  <c r="D9" i="12"/>
  <c r="R3" i="1"/>
  <c r="S3" i="1"/>
  <c r="U2" i="1"/>
  <c r="G2" i="1"/>
  <c r="G3" i="1"/>
  <c r="G4" i="1"/>
  <c r="G5" i="1"/>
  <c r="G6" i="1"/>
  <c r="G7" i="1"/>
  <c r="G8" i="1"/>
  <c r="G9" i="1"/>
  <c r="G10" i="1"/>
  <c r="G11" i="1"/>
  <c r="G12" i="1"/>
  <c r="G13" i="1"/>
  <c r="G14" i="1"/>
  <c r="G15" i="1"/>
  <c r="G16" i="1"/>
  <c r="G17" i="1"/>
  <c r="G18" i="1"/>
  <c r="G19" i="1"/>
  <c r="G20" i="1"/>
  <c r="G21" i="1"/>
  <c r="G22" i="1"/>
  <c r="G23" i="1"/>
  <c r="G24" i="1"/>
  <c r="G25" i="1"/>
  <c r="G26" i="1"/>
  <c r="G27" i="1"/>
  <c r="G28" i="1"/>
  <c r="G29" i="1"/>
  <c r="G30" i="1"/>
  <c r="G31" i="1"/>
  <c r="G32" i="1"/>
  <c r="G33" i="1"/>
  <c r="G34" i="1"/>
  <c r="G35" i="1"/>
  <c r="G36" i="1"/>
  <c r="G37" i="1"/>
  <c r="G38" i="1"/>
  <c r="G39" i="1"/>
  <c r="G40" i="1"/>
  <c r="G41" i="1"/>
  <c r="G42" i="1"/>
  <c r="G43" i="1"/>
  <c r="G44" i="1"/>
  <c r="G45" i="1"/>
  <c r="G46" i="1"/>
  <c r="G47" i="1"/>
  <c r="G48" i="1"/>
  <c r="G49" i="1"/>
  <c r="G50" i="1"/>
  <c r="G51" i="1"/>
  <c r="G52" i="1"/>
  <c r="G53" i="1"/>
  <c r="G54" i="1"/>
  <c r="G55" i="1"/>
  <c r="G56" i="1"/>
  <c r="G57" i="1"/>
  <c r="G58" i="1"/>
  <c r="G59" i="1"/>
  <c r="G60" i="1"/>
  <c r="G61" i="1"/>
  <c r="G62" i="1"/>
  <c r="G63" i="1"/>
  <c r="G64" i="1"/>
  <c r="G65" i="1"/>
  <c r="G66" i="1"/>
  <c r="G67" i="1"/>
  <c r="G68" i="1"/>
  <c r="G69" i="1"/>
  <c r="G70" i="1"/>
  <c r="G71" i="1"/>
  <c r="G72" i="1"/>
  <c r="G73" i="1"/>
  <c r="G74" i="1"/>
  <c r="G75" i="1"/>
  <c r="G76" i="1"/>
  <c r="G77" i="1"/>
  <c r="G78" i="1"/>
  <c r="G79" i="1"/>
  <c r="G80" i="1"/>
  <c r="G81" i="1"/>
  <c r="G82" i="1"/>
  <c r="G83" i="1"/>
  <c r="G84" i="1"/>
  <c r="G85" i="1"/>
  <c r="G86" i="1"/>
  <c r="G87" i="1"/>
  <c r="G88" i="1"/>
  <c r="G89" i="1"/>
  <c r="G90" i="1"/>
  <c r="G91" i="1"/>
  <c r="G92" i="1"/>
  <c r="G93" i="1"/>
  <c r="G94" i="1"/>
  <c r="G95" i="1"/>
  <c r="G96" i="1"/>
  <c r="G97" i="1"/>
  <c r="G98" i="1"/>
  <c r="G99" i="1"/>
  <c r="G100" i="1"/>
  <c r="G101" i="1"/>
  <c r="G102" i="1"/>
  <c r="G103" i="1"/>
  <c r="G104" i="1"/>
  <c r="G105" i="1"/>
  <c r="G106" i="1"/>
  <c r="G107" i="1"/>
  <c r="G108" i="1"/>
  <c r="G109" i="1"/>
  <c r="G110" i="1"/>
  <c r="G111" i="1"/>
  <c r="G112" i="1"/>
  <c r="G113" i="1"/>
  <c r="G114" i="1"/>
  <c r="G115" i="1"/>
  <c r="G116" i="1"/>
  <c r="G117" i="1"/>
  <c r="G118" i="1"/>
  <c r="G119" i="1"/>
  <c r="G120" i="1"/>
  <c r="G121" i="1"/>
  <c r="G122" i="1"/>
  <c r="G123" i="1"/>
  <c r="G124" i="1"/>
  <c r="G125" i="1"/>
  <c r="G126" i="1"/>
  <c r="G127" i="1"/>
  <c r="G128" i="1"/>
  <c r="G129" i="1"/>
  <c r="G130" i="1"/>
  <c r="G131" i="1"/>
  <c r="G132" i="1"/>
  <c r="G133" i="1"/>
  <c r="G134" i="1"/>
  <c r="G135" i="1"/>
  <c r="G136" i="1"/>
  <c r="G137" i="1"/>
  <c r="G138" i="1"/>
  <c r="G139" i="1"/>
  <c r="G140" i="1"/>
  <c r="G141" i="1"/>
  <c r="G142" i="1"/>
  <c r="G143" i="1"/>
  <c r="G144" i="1"/>
  <c r="G145" i="1"/>
  <c r="G146" i="1"/>
  <c r="G147" i="1"/>
  <c r="G148" i="1"/>
  <c r="G149" i="1"/>
  <c r="G150" i="1"/>
  <c r="G151" i="1"/>
  <c r="G152" i="1"/>
  <c r="G153" i="1"/>
  <c r="G154" i="1"/>
  <c r="G155" i="1"/>
  <c r="G156" i="1"/>
  <c r="G157" i="1"/>
  <c r="G158" i="1"/>
  <c r="G159" i="1"/>
  <c r="G160" i="1"/>
  <c r="G161" i="1"/>
  <c r="G162" i="1"/>
  <c r="G163" i="1"/>
  <c r="G164" i="1"/>
  <c r="G165" i="1"/>
  <c r="G166" i="1"/>
  <c r="G167" i="1"/>
  <c r="G168" i="1"/>
  <c r="G169" i="1"/>
  <c r="G170" i="1"/>
  <c r="G171" i="1"/>
  <c r="G172" i="1"/>
  <c r="G173" i="1"/>
  <c r="G174" i="1"/>
  <c r="G175" i="1"/>
  <c r="G176" i="1"/>
  <c r="G177" i="1"/>
  <c r="G178" i="1"/>
  <c r="G179" i="1"/>
  <c r="G180" i="1"/>
  <c r="G181" i="1"/>
  <c r="G182" i="1"/>
  <c r="G183" i="1"/>
  <c r="G184" i="1"/>
  <c r="G185" i="1"/>
  <c r="G186" i="1"/>
  <c r="G187" i="1"/>
  <c r="G188" i="1"/>
  <c r="G189" i="1"/>
  <c r="G190" i="1"/>
  <c r="G191" i="1"/>
  <c r="G192" i="1"/>
  <c r="G193" i="1"/>
  <c r="G194" i="1"/>
  <c r="G195" i="1"/>
  <c r="G196" i="1"/>
  <c r="G197" i="1"/>
  <c r="G198" i="1"/>
  <c r="G199" i="1"/>
  <c r="G200" i="1"/>
  <c r="G201" i="1"/>
  <c r="G202" i="1"/>
  <c r="G203" i="1"/>
  <c r="G204" i="1"/>
  <c r="G205" i="1"/>
  <c r="G206" i="1"/>
  <c r="G207" i="1"/>
  <c r="G208" i="1"/>
  <c r="G209" i="1"/>
  <c r="G210" i="1"/>
  <c r="G211" i="1"/>
  <c r="G212" i="1"/>
  <c r="G213" i="1"/>
  <c r="G214" i="1"/>
  <c r="G215" i="1"/>
  <c r="G216" i="1"/>
  <c r="G217" i="1"/>
  <c r="G218" i="1"/>
  <c r="G219" i="1"/>
  <c r="G220" i="1"/>
  <c r="G221" i="1"/>
  <c r="G222" i="1"/>
  <c r="G223" i="1"/>
  <c r="G224" i="1"/>
  <c r="G225" i="1"/>
  <c r="G226" i="1"/>
  <c r="G227" i="1"/>
  <c r="G228" i="1"/>
  <c r="G229" i="1"/>
  <c r="G230" i="1"/>
  <c r="G231" i="1"/>
  <c r="G232" i="1"/>
  <c r="G233" i="1"/>
  <c r="G234" i="1"/>
  <c r="G235" i="1"/>
  <c r="G236" i="1"/>
  <c r="G237" i="1"/>
  <c r="G238" i="1"/>
  <c r="G239" i="1"/>
  <c r="G240" i="1"/>
  <c r="G241" i="1"/>
  <c r="G242" i="1"/>
  <c r="G243" i="1"/>
  <c r="G244" i="1"/>
  <c r="G245" i="1"/>
  <c r="G246" i="1"/>
  <c r="G247" i="1"/>
  <c r="G248" i="1"/>
  <c r="G249" i="1"/>
  <c r="G250" i="1"/>
  <c r="G251" i="1"/>
  <c r="G252" i="1"/>
  <c r="G253" i="1"/>
  <c r="G254" i="1"/>
  <c r="G255" i="1"/>
  <c r="G256" i="1"/>
  <c r="G257" i="1"/>
  <c r="G258" i="1"/>
  <c r="G259" i="1"/>
  <c r="G260" i="1"/>
  <c r="G261" i="1"/>
  <c r="G262" i="1"/>
  <c r="G263" i="1"/>
  <c r="G264" i="1"/>
  <c r="G265" i="1"/>
  <c r="G266" i="1"/>
  <c r="G267" i="1"/>
  <c r="G268" i="1"/>
  <c r="G269" i="1"/>
  <c r="G270" i="1"/>
  <c r="G271" i="1"/>
  <c r="G272" i="1"/>
  <c r="G273" i="1"/>
  <c r="G274" i="1"/>
  <c r="G275" i="1"/>
  <c r="G276" i="1"/>
  <c r="G277" i="1"/>
  <c r="G278" i="1"/>
  <c r="G279" i="1"/>
  <c r="G280" i="1"/>
  <c r="G281" i="1"/>
  <c r="G282" i="1"/>
  <c r="G283" i="1"/>
  <c r="G284" i="1"/>
  <c r="G285" i="1"/>
  <c r="G286" i="1"/>
  <c r="G287" i="1"/>
  <c r="G288" i="1"/>
  <c r="G289" i="1"/>
  <c r="G290" i="1"/>
  <c r="G291" i="1"/>
  <c r="G292" i="1"/>
  <c r="G293" i="1"/>
  <c r="G294" i="1"/>
  <c r="G295" i="1"/>
  <c r="G296" i="1"/>
  <c r="G297" i="1"/>
  <c r="G298" i="1"/>
  <c r="G299" i="1"/>
  <c r="G300" i="1"/>
  <c r="G301" i="1"/>
  <c r="G302" i="1"/>
  <c r="G303" i="1"/>
  <c r="G304" i="1"/>
  <c r="G305" i="1"/>
  <c r="G306" i="1"/>
  <c r="G307" i="1"/>
  <c r="G308" i="1"/>
  <c r="G309" i="1"/>
  <c r="G310" i="1"/>
  <c r="G311" i="1"/>
  <c r="G312" i="1"/>
  <c r="G313" i="1"/>
  <c r="G314" i="1"/>
  <c r="G315" i="1"/>
  <c r="G316" i="1"/>
  <c r="G317" i="1"/>
  <c r="G318" i="1"/>
  <c r="G319" i="1"/>
  <c r="G320" i="1"/>
  <c r="G321" i="1"/>
  <c r="G322" i="1"/>
  <c r="G323" i="1"/>
  <c r="G324" i="1"/>
  <c r="G325" i="1"/>
  <c r="G326" i="1"/>
  <c r="G327" i="1"/>
  <c r="G328" i="1"/>
  <c r="G329" i="1"/>
  <c r="G330" i="1"/>
  <c r="G331" i="1"/>
  <c r="G332" i="1"/>
  <c r="G333" i="1"/>
  <c r="G334" i="1"/>
  <c r="G335" i="1"/>
  <c r="G336" i="1"/>
  <c r="G337" i="1"/>
  <c r="G338" i="1"/>
  <c r="G339" i="1"/>
  <c r="G340" i="1"/>
  <c r="G341" i="1"/>
  <c r="G342" i="1"/>
  <c r="G343" i="1"/>
  <c r="G344" i="1"/>
  <c r="G345" i="1"/>
  <c r="G346" i="1"/>
  <c r="G347" i="1"/>
  <c r="G348" i="1"/>
  <c r="G349" i="1"/>
  <c r="G350" i="1"/>
  <c r="G351" i="1"/>
  <c r="G352" i="1"/>
  <c r="G353" i="1"/>
  <c r="G354" i="1"/>
  <c r="G355" i="1"/>
  <c r="G356" i="1"/>
  <c r="G357" i="1"/>
  <c r="G358" i="1"/>
  <c r="G359" i="1"/>
  <c r="G360" i="1"/>
  <c r="G361" i="1"/>
  <c r="G362" i="1"/>
  <c r="G363" i="1"/>
  <c r="G364" i="1"/>
  <c r="G365" i="1"/>
  <c r="G366" i="1"/>
  <c r="G367" i="1"/>
  <c r="G368" i="1"/>
  <c r="G369" i="1"/>
  <c r="G370" i="1"/>
  <c r="G371" i="1"/>
  <c r="G372" i="1"/>
  <c r="G373" i="1"/>
  <c r="G374" i="1"/>
  <c r="G375" i="1"/>
  <c r="G376" i="1"/>
  <c r="G377" i="1"/>
  <c r="G378" i="1"/>
  <c r="G379" i="1"/>
  <c r="G380" i="1"/>
  <c r="G381" i="1"/>
  <c r="G382" i="1"/>
  <c r="G383" i="1"/>
  <c r="G384" i="1"/>
  <c r="G385" i="1"/>
  <c r="G386" i="1"/>
  <c r="G387" i="1"/>
  <c r="G388" i="1"/>
  <c r="G389" i="1"/>
  <c r="G390" i="1"/>
  <c r="G391" i="1"/>
  <c r="G392" i="1"/>
  <c r="G393" i="1"/>
  <c r="G394" i="1"/>
  <c r="G395" i="1"/>
  <c r="G396" i="1"/>
  <c r="G397" i="1"/>
  <c r="G398" i="1"/>
  <c r="G399" i="1"/>
  <c r="G400" i="1"/>
  <c r="G401" i="1"/>
  <c r="G402" i="1"/>
  <c r="G403" i="1"/>
  <c r="G404" i="1"/>
  <c r="G405" i="1"/>
  <c r="G406" i="1"/>
  <c r="G407" i="1"/>
  <c r="G408" i="1"/>
  <c r="G409" i="1"/>
  <c r="G410" i="1"/>
  <c r="G411" i="1"/>
  <c r="G412" i="1"/>
  <c r="G413" i="1"/>
  <c r="G414" i="1"/>
  <c r="G415" i="1"/>
  <c r="G416" i="1"/>
  <c r="G417" i="1"/>
  <c r="G418" i="1"/>
  <c r="G419" i="1"/>
  <c r="G420" i="1"/>
  <c r="G421" i="1"/>
  <c r="G422" i="1"/>
  <c r="G423" i="1"/>
  <c r="G424" i="1"/>
  <c r="G425" i="1"/>
  <c r="G426" i="1"/>
  <c r="G427" i="1"/>
  <c r="G428" i="1"/>
  <c r="G429" i="1"/>
  <c r="G430" i="1"/>
  <c r="G431" i="1"/>
  <c r="G432" i="1"/>
  <c r="G433" i="1"/>
  <c r="G434" i="1"/>
  <c r="G435" i="1"/>
  <c r="G436" i="1"/>
  <c r="G437" i="1"/>
  <c r="G438" i="1"/>
  <c r="G439" i="1"/>
  <c r="G440" i="1"/>
  <c r="G441" i="1"/>
  <c r="G442" i="1"/>
  <c r="G443" i="1"/>
  <c r="G444" i="1"/>
  <c r="G445" i="1"/>
  <c r="G446" i="1"/>
  <c r="G447" i="1"/>
  <c r="G448" i="1"/>
  <c r="G449" i="1"/>
  <c r="G450" i="1"/>
  <c r="G451" i="1"/>
  <c r="G452" i="1"/>
  <c r="G453" i="1"/>
  <c r="G454" i="1"/>
  <c r="G455" i="1"/>
  <c r="G456" i="1"/>
  <c r="G457" i="1"/>
  <c r="G458" i="1"/>
  <c r="G459" i="1"/>
  <c r="G460" i="1"/>
  <c r="G461" i="1"/>
  <c r="G462" i="1"/>
  <c r="G463" i="1"/>
  <c r="G464" i="1"/>
  <c r="G465" i="1"/>
  <c r="G466" i="1"/>
  <c r="G467" i="1"/>
  <c r="G468" i="1"/>
  <c r="G469" i="1"/>
  <c r="G470" i="1"/>
  <c r="G471" i="1"/>
  <c r="G472" i="1"/>
  <c r="G473" i="1"/>
  <c r="G474" i="1"/>
  <c r="G475" i="1"/>
  <c r="G476" i="1"/>
  <c r="G477" i="1"/>
  <c r="G478" i="1"/>
  <c r="G479" i="1"/>
  <c r="G480" i="1"/>
  <c r="G481" i="1"/>
  <c r="G482" i="1"/>
  <c r="G483" i="1"/>
  <c r="G484" i="1"/>
  <c r="G485" i="1"/>
  <c r="G486" i="1"/>
  <c r="G487" i="1"/>
  <c r="G488" i="1"/>
  <c r="G489" i="1"/>
  <c r="G490" i="1"/>
  <c r="G491" i="1"/>
  <c r="G492" i="1"/>
  <c r="G493" i="1"/>
  <c r="G494" i="1"/>
  <c r="G495" i="1"/>
  <c r="G496" i="1"/>
  <c r="G497" i="1"/>
  <c r="G498" i="1"/>
  <c r="G499" i="1"/>
  <c r="G500" i="1"/>
  <c r="G501" i="1"/>
  <c r="G502" i="1"/>
  <c r="G503" i="1"/>
  <c r="G504" i="1"/>
  <c r="G505" i="1"/>
  <c r="G506" i="1"/>
  <c r="G507" i="1"/>
  <c r="G508" i="1"/>
  <c r="G509" i="1"/>
  <c r="G510" i="1"/>
  <c r="G511" i="1"/>
  <c r="G512" i="1"/>
  <c r="G513" i="1"/>
  <c r="G514" i="1"/>
  <c r="G515" i="1"/>
  <c r="G516" i="1"/>
  <c r="G517" i="1"/>
  <c r="G518" i="1"/>
  <c r="G519" i="1"/>
  <c r="G520" i="1"/>
  <c r="G521" i="1"/>
  <c r="G522" i="1"/>
  <c r="G523" i="1"/>
  <c r="G524" i="1"/>
  <c r="G525" i="1"/>
  <c r="G526" i="1"/>
  <c r="G527" i="1"/>
  <c r="G528" i="1"/>
  <c r="G529" i="1"/>
  <c r="G530" i="1"/>
  <c r="G531" i="1"/>
  <c r="G532" i="1"/>
  <c r="G533" i="1"/>
  <c r="G534" i="1"/>
  <c r="G535" i="1"/>
  <c r="G536" i="1"/>
  <c r="G537" i="1"/>
  <c r="G538" i="1"/>
  <c r="G539" i="1"/>
  <c r="G540" i="1"/>
  <c r="G541" i="1"/>
  <c r="G542" i="1"/>
  <c r="G543" i="1"/>
  <c r="G544" i="1"/>
  <c r="G545" i="1"/>
  <c r="G546" i="1"/>
  <c r="G547" i="1"/>
  <c r="G548" i="1"/>
  <c r="G549" i="1"/>
  <c r="G550" i="1"/>
  <c r="G551" i="1"/>
  <c r="G552" i="1"/>
  <c r="G553" i="1"/>
  <c r="G554" i="1"/>
  <c r="G555" i="1"/>
  <c r="G556" i="1"/>
  <c r="G557" i="1"/>
  <c r="G558" i="1"/>
  <c r="G559" i="1"/>
  <c r="G560" i="1"/>
  <c r="G561" i="1"/>
  <c r="G562" i="1"/>
  <c r="G563" i="1"/>
  <c r="G564" i="1"/>
  <c r="G565" i="1"/>
  <c r="G566" i="1"/>
  <c r="G567" i="1"/>
  <c r="G568" i="1"/>
  <c r="G569" i="1"/>
  <c r="G570" i="1"/>
  <c r="G571" i="1"/>
  <c r="G572" i="1"/>
  <c r="G573" i="1"/>
  <c r="G574" i="1"/>
  <c r="G575" i="1"/>
  <c r="G576" i="1"/>
  <c r="G577" i="1"/>
  <c r="G578" i="1"/>
  <c r="G579" i="1"/>
  <c r="G580" i="1"/>
  <c r="G581" i="1"/>
  <c r="G582" i="1"/>
  <c r="G583" i="1"/>
  <c r="G584" i="1"/>
  <c r="G585" i="1"/>
  <c r="G586" i="1"/>
  <c r="G587" i="1"/>
  <c r="G588" i="1"/>
  <c r="G589" i="1"/>
  <c r="G590" i="1"/>
  <c r="G591" i="1"/>
  <c r="G592" i="1"/>
  <c r="G593" i="1"/>
  <c r="G594" i="1"/>
  <c r="G595" i="1"/>
  <c r="G596" i="1"/>
  <c r="G597" i="1"/>
  <c r="G598" i="1"/>
  <c r="G599" i="1"/>
  <c r="G600" i="1"/>
  <c r="G601" i="1"/>
  <c r="G602" i="1"/>
  <c r="G603" i="1"/>
  <c r="G604" i="1"/>
  <c r="G605" i="1"/>
  <c r="G606" i="1"/>
  <c r="G607" i="1"/>
  <c r="G608" i="1"/>
  <c r="G609" i="1"/>
  <c r="G610" i="1"/>
  <c r="G611" i="1"/>
  <c r="G612" i="1"/>
  <c r="G613" i="1"/>
  <c r="G614" i="1"/>
  <c r="G615" i="1"/>
  <c r="G616" i="1"/>
  <c r="G617" i="1"/>
  <c r="G618" i="1"/>
  <c r="G619" i="1"/>
  <c r="G620" i="1"/>
  <c r="G621" i="1"/>
  <c r="G622" i="1"/>
  <c r="G623" i="1"/>
  <c r="G624" i="1"/>
  <c r="G625" i="1"/>
  <c r="G626" i="1"/>
  <c r="G627" i="1"/>
  <c r="G628" i="1"/>
  <c r="G629" i="1"/>
  <c r="G630" i="1"/>
  <c r="G631" i="1"/>
  <c r="G632" i="1"/>
  <c r="G633" i="1"/>
  <c r="G634" i="1"/>
  <c r="G635" i="1"/>
  <c r="G636" i="1"/>
  <c r="G637" i="1"/>
  <c r="G638" i="1"/>
  <c r="G639" i="1"/>
  <c r="G640" i="1"/>
  <c r="G641" i="1"/>
  <c r="G642" i="1"/>
  <c r="G643" i="1"/>
  <c r="G644" i="1"/>
  <c r="G645" i="1"/>
  <c r="G646" i="1"/>
  <c r="G647" i="1"/>
  <c r="G648" i="1"/>
  <c r="G649" i="1"/>
  <c r="G650" i="1"/>
  <c r="G651" i="1"/>
  <c r="G652" i="1"/>
  <c r="G653" i="1"/>
  <c r="G654" i="1"/>
  <c r="G655" i="1"/>
  <c r="G656" i="1"/>
  <c r="G657" i="1"/>
  <c r="G658" i="1"/>
  <c r="G659" i="1"/>
  <c r="G660" i="1"/>
  <c r="G661" i="1"/>
  <c r="G662" i="1"/>
  <c r="G663" i="1"/>
  <c r="G664" i="1"/>
  <c r="G665" i="1"/>
  <c r="G666" i="1"/>
  <c r="G667" i="1"/>
  <c r="G668" i="1"/>
  <c r="G669" i="1"/>
  <c r="G670" i="1"/>
  <c r="G671" i="1"/>
  <c r="G672" i="1"/>
  <c r="G673" i="1"/>
  <c r="G674" i="1"/>
  <c r="G675" i="1"/>
  <c r="G676" i="1"/>
  <c r="G677" i="1"/>
  <c r="G678" i="1"/>
  <c r="G679" i="1"/>
  <c r="G680" i="1"/>
  <c r="G681" i="1"/>
  <c r="G682" i="1"/>
  <c r="G683" i="1"/>
  <c r="G684" i="1"/>
  <c r="G685" i="1"/>
  <c r="G686" i="1"/>
  <c r="G687" i="1"/>
  <c r="G688" i="1"/>
  <c r="G689" i="1"/>
  <c r="G690" i="1"/>
  <c r="G691" i="1"/>
  <c r="G692" i="1"/>
  <c r="G693" i="1"/>
  <c r="G694" i="1"/>
  <c r="G695" i="1"/>
  <c r="G696" i="1"/>
  <c r="G697" i="1"/>
  <c r="G698" i="1"/>
  <c r="G699" i="1"/>
  <c r="G700" i="1"/>
  <c r="G701" i="1"/>
  <c r="G702" i="1"/>
  <c r="G703" i="1"/>
  <c r="G704" i="1"/>
  <c r="G705" i="1"/>
  <c r="G706" i="1"/>
  <c r="G707" i="1"/>
  <c r="G708" i="1"/>
  <c r="G709" i="1"/>
  <c r="G710" i="1"/>
  <c r="G711" i="1"/>
  <c r="G712" i="1"/>
  <c r="G713" i="1"/>
  <c r="G714" i="1"/>
  <c r="G715" i="1"/>
  <c r="G716" i="1"/>
  <c r="G717" i="1"/>
  <c r="G718" i="1"/>
  <c r="G719" i="1"/>
  <c r="G720" i="1"/>
  <c r="G721" i="1"/>
  <c r="G722" i="1"/>
  <c r="G723" i="1"/>
  <c r="G724" i="1"/>
  <c r="G725" i="1"/>
  <c r="G726" i="1"/>
  <c r="G727" i="1"/>
  <c r="G728" i="1"/>
  <c r="G729" i="1"/>
  <c r="G730" i="1"/>
  <c r="G731" i="1"/>
  <c r="G732" i="1"/>
  <c r="G733" i="1"/>
  <c r="G734" i="1"/>
  <c r="G735" i="1"/>
  <c r="G736" i="1"/>
  <c r="G737" i="1"/>
  <c r="G738" i="1"/>
  <c r="G739" i="1"/>
  <c r="G740" i="1"/>
  <c r="G741" i="1"/>
  <c r="G742" i="1"/>
  <c r="G743" i="1"/>
  <c r="G744" i="1"/>
  <c r="G745" i="1"/>
  <c r="G746" i="1"/>
  <c r="G747" i="1"/>
  <c r="G748" i="1"/>
  <c r="G749" i="1"/>
  <c r="G750" i="1"/>
  <c r="G751" i="1"/>
  <c r="G752" i="1"/>
  <c r="G753" i="1"/>
  <c r="G754" i="1"/>
  <c r="G755" i="1"/>
  <c r="G756" i="1"/>
  <c r="G757" i="1"/>
  <c r="G758" i="1"/>
  <c r="G759" i="1"/>
  <c r="G760" i="1"/>
  <c r="G761" i="1"/>
  <c r="G762" i="1"/>
  <c r="G763" i="1"/>
  <c r="G764" i="1"/>
  <c r="G765" i="1"/>
  <c r="G766" i="1"/>
  <c r="G767" i="1"/>
  <c r="G768" i="1"/>
  <c r="G769" i="1"/>
  <c r="G770" i="1"/>
  <c r="G771" i="1"/>
  <c r="G772" i="1"/>
  <c r="G773" i="1"/>
  <c r="G774" i="1"/>
  <c r="G775" i="1"/>
  <c r="G776" i="1"/>
  <c r="G777" i="1"/>
  <c r="G778" i="1"/>
  <c r="G779" i="1"/>
  <c r="G780" i="1"/>
  <c r="G781" i="1"/>
  <c r="G782" i="1"/>
  <c r="G783" i="1"/>
  <c r="G784" i="1"/>
  <c r="G785" i="1"/>
  <c r="G786" i="1"/>
  <c r="G787" i="1"/>
  <c r="G788" i="1"/>
  <c r="G789" i="1"/>
  <c r="G790" i="1"/>
  <c r="G791" i="1"/>
  <c r="G792" i="1"/>
  <c r="G793" i="1"/>
  <c r="G794" i="1"/>
  <c r="G795" i="1"/>
  <c r="G796" i="1"/>
  <c r="G797" i="1"/>
  <c r="G798" i="1"/>
  <c r="G799" i="1"/>
  <c r="G800" i="1"/>
  <c r="G801" i="1"/>
  <c r="G802" i="1"/>
  <c r="G803" i="1"/>
  <c r="G804" i="1"/>
  <c r="G805" i="1"/>
  <c r="G806" i="1"/>
  <c r="G807" i="1"/>
  <c r="G808" i="1"/>
  <c r="G809" i="1"/>
  <c r="G810" i="1"/>
  <c r="G811" i="1"/>
  <c r="G812" i="1"/>
  <c r="G813" i="1"/>
  <c r="G814" i="1"/>
  <c r="G815" i="1"/>
  <c r="G816" i="1"/>
  <c r="G817" i="1"/>
  <c r="G818" i="1"/>
  <c r="G819" i="1"/>
  <c r="G820" i="1"/>
  <c r="G821" i="1"/>
  <c r="G822" i="1"/>
  <c r="G823" i="1"/>
  <c r="G824" i="1"/>
  <c r="G825" i="1"/>
  <c r="G826" i="1"/>
  <c r="G827" i="1"/>
  <c r="G828" i="1"/>
  <c r="G829" i="1"/>
  <c r="G830" i="1"/>
  <c r="G831" i="1"/>
  <c r="G832" i="1"/>
  <c r="G833" i="1"/>
  <c r="G834" i="1"/>
  <c r="G835" i="1"/>
  <c r="G836" i="1"/>
  <c r="G837" i="1"/>
  <c r="G838" i="1"/>
  <c r="G839" i="1"/>
  <c r="G840" i="1"/>
  <c r="G841" i="1"/>
  <c r="G842" i="1"/>
  <c r="G843" i="1"/>
  <c r="G844" i="1"/>
  <c r="G845" i="1"/>
  <c r="G846" i="1"/>
  <c r="G847" i="1"/>
  <c r="G848" i="1"/>
  <c r="G849" i="1"/>
  <c r="G850" i="1"/>
  <c r="G851" i="1"/>
  <c r="G852" i="1"/>
  <c r="G853" i="1"/>
  <c r="G854" i="1"/>
  <c r="G855" i="1"/>
  <c r="G856" i="1"/>
  <c r="G857" i="1"/>
  <c r="G858" i="1"/>
  <c r="G859" i="1"/>
  <c r="G860" i="1"/>
  <c r="G861" i="1"/>
  <c r="G862" i="1"/>
  <c r="G863" i="1"/>
  <c r="G864" i="1"/>
  <c r="G865" i="1"/>
  <c r="G866" i="1"/>
  <c r="G867" i="1"/>
  <c r="G868" i="1"/>
  <c r="G869" i="1"/>
  <c r="G870" i="1"/>
  <c r="G871" i="1"/>
  <c r="G872" i="1"/>
  <c r="G873" i="1"/>
  <c r="G874" i="1"/>
  <c r="G875" i="1"/>
  <c r="G876" i="1"/>
  <c r="G877" i="1"/>
  <c r="G878" i="1"/>
  <c r="G879" i="1"/>
  <c r="G880" i="1"/>
  <c r="G881" i="1"/>
  <c r="G882" i="1"/>
  <c r="G883" i="1"/>
  <c r="G884" i="1"/>
  <c r="G885" i="1"/>
  <c r="G886" i="1"/>
  <c r="G887" i="1"/>
  <c r="G888" i="1"/>
  <c r="G889" i="1"/>
  <c r="G890" i="1"/>
  <c r="G891" i="1"/>
  <c r="G892" i="1"/>
  <c r="G893" i="1"/>
  <c r="G894" i="1"/>
  <c r="G895" i="1"/>
  <c r="G896" i="1"/>
  <c r="G897" i="1"/>
  <c r="G898" i="1"/>
  <c r="G899" i="1"/>
  <c r="G900" i="1"/>
  <c r="G901" i="1"/>
  <c r="G902" i="1"/>
  <c r="G903" i="1"/>
  <c r="G904" i="1"/>
  <c r="G905" i="1"/>
  <c r="G906" i="1"/>
  <c r="G907" i="1"/>
  <c r="G908" i="1"/>
  <c r="G909" i="1"/>
  <c r="G910" i="1"/>
  <c r="G911" i="1"/>
  <c r="G912" i="1"/>
  <c r="G913" i="1"/>
  <c r="G914" i="1"/>
  <c r="G915" i="1"/>
  <c r="G916" i="1"/>
  <c r="G917" i="1"/>
  <c r="G918" i="1"/>
  <c r="G919" i="1"/>
  <c r="G920" i="1"/>
  <c r="G921" i="1"/>
  <c r="G922" i="1"/>
  <c r="G923" i="1"/>
  <c r="G924" i="1"/>
  <c r="G925" i="1"/>
  <c r="G926" i="1"/>
  <c r="G927" i="1"/>
  <c r="G928" i="1"/>
  <c r="G929" i="1"/>
  <c r="G930" i="1"/>
  <c r="G931" i="1"/>
  <c r="G932" i="1"/>
  <c r="G933" i="1"/>
  <c r="G934" i="1"/>
  <c r="G935" i="1"/>
  <c r="G936" i="1"/>
  <c r="G937" i="1"/>
  <c r="G938" i="1"/>
  <c r="G939" i="1"/>
  <c r="G940" i="1"/>
  <c r="G941" i="1"/>
  <c r="G942" i="1"/>
  <c r="G943" i="1"/>
  <c r="G944" i="1"/>
  <c r="G945" i="1"/>
  <c r="G946" i="1"/>
  <c r="G947" i="1"/>
  <c r="G948" i="1"/>
  <c r="G949" i="1"/>
  <c r="G950" i="1"/>
  <c r="G951" i="1"/>
  <c r="G952" i="1"/>
  <c r="G953" i="1"/>
  <c r="G954" i="1"/>
  <c r="G955" i="1"/>
  <c r="G956" i="1"/>
  <c r="G957" i="1"/>
  <c r="G958" i="1"/>
  <c r="G959" i="1"/>
  <c r="G960" i="1"/>
  <c r="G961" i="1"/>
  <c r="G962" i="1"/>
  <c r="G963" i="1"/>
  <c r="G964" i="1"/>
  <c r="G965" i="1"/>
  <c r="G966" i="1"/>
  <c r="G967" i="1"/>
  <c r="G968" i="1"/>
  <c r="G969" i="1"/>
  <c r="G970" i="1"/>
  <c r="G971" i="1"/>
  <c r="G972" i="1"/>
  <c r="G973" i="1"/>
  <c r="G974" i="1"/>
  <c r="G975" i="1"/>
  <c r="G976" i="1"/>
  <c r="G977" i="1"/>
  <c r="G978" i="1"/>
  <c r="G979" i="1"/>
  <c r="G980" i="1"/>
  <c r="G981" i="1"/>
  <c r="G982" i="1"/>
  <c r="G983" i="1"/>
  <c r="G984" i="1"/>
  <c r="G985" i="1"/>
  <c r="G986" i="1"/>
  <c r="G987" i="1"/>
  <c r="G988" i="1"/>
  <c r="G989" i="1"/>
  <c r="G990" i="1"/>
  <c r="G991" i="1"/>
  <c r="G992" i="1"/>
  <c r="G993" i="1"/>
  <c r="G994" i="1"/>
  <c r="G995" i="1"/>
  <c r="G996" i="1"/>
  <c r="G997" i="1"/>
  <c r="G998" i="1"/>
  <c r="G999" i="1"/>
  <c r="G1000" i="1"/>
  <c r="G1001" i="1"/>
  <c r="V988" i="1"/>
  <c r="T3" i="1"/>
  <c r="T4" i="1"/>
  <c r="T5" i="1"/>
  <c r="T6" i="1"/>
  <c r="T7" i="1"/>
  <c r="T8" i="1"/>
  <c r="T9" i="1"/>
  <c r="T10" i="1"/>
  <c r="T11" i="1"/>
  <c r="T12" i="1"/>
  <c r="T13" i="1"/>
  <c r="T14" i="1"/>
  <c r="T15" i="1"/>
  <c r="T16" i="1"/>
  <c r="T17" i="1"/>
  <c r="T18" i="1"/>
  <c r="T19" i="1"/>
  <c r="T20" i="1"/>
  <c r="T21" i="1"/>
  <c r="T22" i="1"/>
  <c r="T23" i="1"/>
  <c r="T24" i="1"/>
  <c r="T25" i="1"/>
  <c r="T26" i="1"/>
  <c r="T27" i="1"/>
  <c r="T28" i="1"/>
  <c r="T29" i="1"/>
  <c r="T30" i="1"/>
  <c r="T31" i="1"/>
  <c r="T32" i="1"/>
  <c r="T33" i="1"/>
  <c r="T34" i="1"/>
  <c r="T35" i="1"/>
  <c r="T36" i="1"/>
  <c r="T37" i="1"/>
  <c r="T38" i="1"/>
  <c r="T39" i="1"/>
  <c r="T40" i="1"/>
  <c r="T41" i="1"/>
  <c r="T42" i="1"/>
  <c r="T43" i="1"/>
  <c r="T44" i="1"/>
  <c r="T45" i="1"/>
  <c r="T46" i="1"/>
  <c r="T47" i="1"/>
  <c r="T48" i="1"/>
  <c r="T49" i="1"/>
  <c r="T50" i="1"/>
  <c r="T51" i="1"/>
  <c r="T52" i="1"/>
  <c r="T53" i="1"/>
  <c r="T54" i="1"/>
  <c r="T55" i="1"/>
  <c r="T56" i="1"/>
  <c r="T57" i="1"/>
  <c r="T58" i="1"/>
  <c r="T59" i="1"/>
  <c r="T60" i="1"/>
  <c r="T61" i="1"/>
  <c r="T62" i="1"/>
  <c r="T63" i="1"/>
  <c r="T64" i="1"/>
  <c r="T65" i="1"/>
  <c r="T66" i="1"/>
  <c r="T67" i="1"/>
  <c r="T68" i="1"/>
  <c r="T69" i="1"/>
  <c r="T70" i="1"/>
  <c r="T71" i="1"/>
  <c r="T72" i="1"/>
  <c r="T73" i="1"/>
  <c r="T74" i="1"/>
  <c r="T75" i="1"/>
  <c r="T76" i="1"/>
  <c r="T77" i="1"/>
  <c r="T78" i="1"/>
  <c r="T79" i="1"/>
  <c r="T80" i="1"/>
  <c r="T81" i="1"/>
  <c r="T82" i="1"/>
  <c r="T83" i="1"/>
  <c r="T84" i="1"/>
  <c r="T85" i="1"/>
  <c r="T86" i="1"/>
  <c r="T87" i="1"/>
  <c r="T88" i="1"/>
  <c r="T89" i="1"/>
  <c r="T90" i="1"/>
  <c r="T91" i="1"/>
  <c r="T92" i="1"/>
  <c r="T93" i="1"/>
  <c r="T94" i="1"/>
  <c r="T95" i="1"/>
  <c r="T96" i="1"/>
  <c r="T97" i="1"/>
  <c r="T98" i="1"/>
  <c r="T99" i="1"/>
  <c r="T100" i="1"/>
  <c r="T101" i="1"/>
  <c r="T102" i="1"/>
  <c r="T103" i="1"/>
  <c r="T104" i="1"/>
  <c r="T105" i="1"/>
  <c r="T106" i="1"/>
  <c r="T107" i="1"/>
  <c r="T108" i="1"/>
  <c r="T109" i="1"/>
  <c r="T110" i="1"/>
  <c r="T111" i="1"/>
  <c r="T112" i="1"/>
  <c r="T113" i="1"/>
  <c r="T114" i="1"/>
  <c r="T115" i="1"/>
  <c r="T116" i="1"/>
  <c r="T117" i="1"/>
  <c r="T118" i="1"/>
  <c r="T119" i="1"/>
  <c r="T120" i="1"/>
  <c r="T121" i="1"/>
  <c r="T122" i="1"/>
  <c r="T123" i="1"/>
  <c r="T124" i="1"/>
  <c r="T125" i="1"/>
  <c r="T126" i="1"/>
  <c r="T127" i="1"/>
  <c r="T128" i="1"/>
  <c r="T129" i="1"/>
  <c r="T130" i="1"/>
  <c r="T131" i="1"/>
  <c r="T132" i="1"/>
  <c r="T133" i="1"/>
  <c r="T134" i="1"/>
  <c r="T135" i="1"/>
  <c r="T136" i="1"/>
  <c r="T137" i="1"/>
  <c r="T138" i="1"/>
  <c r="T139" i="1"/>
  <c r="T140" i="1"/>
  <c r="T141" i="1"/>
  <c r="T142" i="1"/>
  <c r="T143" i="1"/>
  <c r="T144" i="1"/>
  <c r="T145" i="1"/>
  <c r="T146" i="1"/>
  <c r="T147" i="1"/>
  <c r="T148" i="1"/>
  <c r="T149" i="1"/>
  <c r="T150" i="1"/>
  <c r="T151" i="1"/>
  <c r="T152" i="1"/>
  <c r="T153" i="1"/>
  <c r="T154" i="1"/>
  <c r="T155" i="1"/>
  <c r="T156" i="1"/>
  <c r="T157" i="1"/>
  <c r="T158" i="1"/>
  <c r="T159" i="1"/>
  <c r="T160" i="1"/>
  <c r="T161" i="1"/>
  <c r="T162" i="1"/>
  <c r="T163" i="1"/>
  <c r="T164" i="1"/>
  <c r="T165" i="1"/>
  <c r="T166" i="1"/>
  <c r="T167" i="1"/>
  <c r="T168" i="1"/>
  <c r="T169" i="1"/>
  <c r="T170" i="1"/>
  <c r="T171" i="1"/>
  <c r="T172" i="1"/>
  <c r="T173" i="1"/>
  <c r="T174" i="1"/>
  <c r="T175" i="1"/>
  <c r="T176" i="1"/>
  <c r="T177" i="1"/>
  <c r="T178" i="1"/>
  <c r="T179" i="1"/>
  <c r="T180" i="1"/>
  <c r="T181" i="1"/>
  <c r="T182" i="1"/>
  <c r="T183" i="1"/>
  <c r="T184" i="1"/>
  <c r="T185" i="1"/>
  <c r="T186" i="1"/>
  <c r="T187" i="1"/>
  <c r="T188" i="1"/>
  <c r="T189" i="1"/>
  <c r="T190" i="1"/>
  <c r="T191" i="1"/>
  <c r="T192" i="1"/>
  <c r="T193" i="1"/>
  <c r="T194" i="1"/>
  <c r="T195" i="1"/>
  <c r="T196" i="1"/>
  <c r="T197" i="1"/>
  <c r="T198" i="1"/>
  <c r="T199" i="1"/>
  <c r="T200" i="1"/>
  <c r="T201" i="1"/>
  <c r="T202" i="1"/>
  <c r="T203" i="1"/>
  <c r="T204" i="1"/>
  <c r="T205" i="1"/>
  <c r="T206" i="1"/>
  <c r="T207" i="1"/>
  <c r="T208" i="1"/>
  <c r="T209" i="1"/>
  <c r="T210" i="1"/>
  <c r="T211" i="1"/>
  <c r="T212" i="1"/>
  <c r="T213" i="1"/>
  <c r="T214" i="1"/>
  <c r="T215" i="1"/>
  <c r="T216" i="1"/>
  <c r="T217" i="1"/>
  <c r="T218" i="1"/>
  <c r="T219" i="1"/>
  <c r="T220" i="1"/>
  <c r="T221" i="1"/>
  <c r="T222" i="1"/>
  <c r="T223" i="1"/>
  <c r="T224" i="1"/>
  <c r="T225" i="1"/>
  <c r="T226" i="1"/>
  <c r="T227" i="1"/>
  <c r="T228" i="1"/>
  <c r="T229" i="1"/>
  <c r="T230" i="1"/>
  <c r="T231" i="1"/>
  <c r="T232" i="1"/>
  <c r="T233" i="1"/>
  <c r="T234" i="1"/>
  <c r="T235" i="1"/>
  <c r="T236" i="1"/>
  <c r="T237" i="1"/>
  <c r="T238" i="1"/>
  <c r="T239" i="1"/>
  <c r="T240" i="1"/>
  <c r="T241" i="1"/>
  <c r="T242" i="1"/>
  <c r="T243" i="1"/>
  <c r="T244" i="1"/>
  <c r="T245" i="1"/>
  <c r="T246" i="1"/>
  <c r="T247" i="1"/>
  <c r="T248" i="1"/>
  <c r="T249" i="1"/>
  <c r="T250" i="1"/>
  <c r="T251" i="1"/>
  <c r="T252" i="1"/>
  <c r="T253" i="1"/>
  <c r="T254" i="1"/>
  <c r="T255" i="1"/>
  <c r="T256" i="1"/>
  <c r="T257" i="1"/>
  <c r="T258" i="1"/>
  <c r="T259" i="1"/>
  <c r="T260" i="1"/>
  <c r="T261" i="1"/>
  <c r="T262" i="1"/>
  <c r="T263" i="1"/>
  <c r="T264" i="1"/>
  <c r="T265" i="1"/>
  <c r="T266" i="1"/>
  <c r="T267" i="1"/>
  <c r="T268" i="1"/>
  <c r="T269" i="1"/>
  <c r="T270" i="1"/>
  <c r="T271" i="1"/>
  <c r="T272" i="1"/>
  <c r="T273" i="1"/>
  <c r="T274" i="1"/>
  <c r="T275" i="1"/>
  <c r="T276" i="1"/>
  <c r="T277" i="1"/>
  <c r="T278" i="1"/>
  <c r="T279" i="1"/>
  <c r="T280" i="1"/>
  <c r="T281" i="1"/>
  <c r="T282" i="1"/>
  <c r="T283" i="1"/>
  <c r="T284" i="1"/>
  <c r="T285" i="1"/>
  <c r="T286" i="1"/>
  <c r="T287" i="1"/>
  <c r="T288" i="1"/>
  <c r="T289" i="1"/>
  <c r="T290" i="1"/>
  <c r="T291" i="1"/>
  <c r="T292" i="1"/>
  <c r="T293" i="1"/>
  <c r="T294" i="1"/>
  <c r="T295" i="1"/>
  <c r="T296" i="1"/>
  <c r="T297" i="1"/>
  <c r="T298" i="1"/>
  <c r="T299" i="1"/>
  <c r="T300" i="1"/>
  <c r="T301" i="1"/>
  <c r="T302" i="1"/>
  <c r="T303" i="1"/>
  <c r="T304" i="1"/>
  <c r="T305" i="1"/>
  <c r="T306" i="1"/>
  <c r="T307" i="1"/>
  <c r="T308" i="1"/>
  <c r="T309" i="1"/>
  <c r="T310" i="1"/>
  <c r="T311" i="1"/>
  <c r="T312" i="1"/>
  <c r="T313" i="1"/>
  <c r="T314" i="1"/>
  <c r="T315" i="1"/>
  <c r="T316" i="1"/>
  <c r="T317" i="1"/>
  <c r="T318" i="1"/>
  <c r="T319" i="1"/>
  <c r="T320" i="1"/>
  <c r="T321" i="1"/>
  <c r="T322" i="1"/>
  <c r="T323" i="1"/>
  <c r="T324" i="1"/>
  <c r="T325" i="1"/>
  <c r="T326" i="1"/>
  <c r="T327" i="1"/>
  <c r="T328" i="1"/>
  <c r="T329" i="1"/>
  <c r="T330" i="1"/>
  <c r="T331" i="1"/>
  <c r="T332" i="1"/>
  <c r="T333" i="1"/>
  <c r="T334" i="1"/>
  <c r="T335" i="1"/>
  <c r="T336" i="1"/>
  <c r="T337" i="1"/>
  <c r="T338" i="1"/>
  <c r="T339" i="1"/>
  <c r="T340" i="1"/>
  <c r="T341" i="1"/>
  <c r="T342" i="1"/>
  <c r="T343" i="1"/>
  <c r="T344" i="1"/>
  <c r="T345" i="1"/>
  <c r="T346" i="1"/>
  <c r="T347" i="1"/>
  <c r="T348" i="1"/>
  <c r="T349" i="1"/>
  <c r="T350" i="1"/>
  <c r="T351" i="1"/>
  <c r="T352" i="1"/>
  <c r="T353" i="1"/>
  <c r="T354" i="1"/>
  <c r="T355" i="1"/>
  <c r="T356" i="1"/>
  <c r="T357" i="1"/>
  <c r="T358" i="1"/>
  <c r="T359" i="1"/>
  <c r="T360" i="1"/>
  <c r="T361" i="1"/>
  <c r="T362" i="1"/>
  <c r="T363" i="1"/>
  <c r="T364" i="1"/>
  <c r="T365" i="1"/>
  <c r="T366" i="1"/>
  <c r="T367" i="1"/>
  <c r="T368" i="1"/>
  <c r="T369" i="1"/>
  <c r="T370" i="1"/>
  <c r="T371" i="1"/>
  <c r="T372" i="1"/>
  <c r="T373" i="1"/>
  <c r="T374" i="1"/>
  <c r="T375" i="1"/>
  <c r="T376" i="1"/>
  <c r="T377" i="1"/>
  <c r="T378" i="1"/>
  <c r="T379" i="1"/>
  <c r="T380" i="1"/>
  <c r="T381" i="1"/>
  <c r="T382" i="1"/>
  <c r="T383" i="1"/>
  <c r="T384" i="1"/>
  <c r="T385" i="1"/>
  <c r="T386" i="1"/>
  <c r="T387" i="1"/>
  <c r="T388" i="1"/>
  <c r="T389" i="1"/>
  <c r="T390" i="1"/>
  <c r="T391" i="1"/>
  <c r="T392" i="1"/>
  <c r="T393" i="1"/>
  <c r="T394" i="1"/>
  <c r="T395" i="1"/>
  <c r="T396" i="1"/>
  <c r="T397" i="1"/>
  <c r="T398" i="1"/>
  <c r="T399" i="1"/>
  <c r="T400" i="1"/>
  <c r="T401" i="1"/>
  <c r="T402" i="1"/>
  <c r="T403" i="1"/>
  <c r="T404" i="1"/>
  <c r="T405" i="1"/>
  <c r="T406" i="1"/>
  <c r="T407" i="1"/>
  <c r="T408" i="1"/>
  <c r="T409" i="1"/>
  <c r="T410" i="1"/>
  <c r="T411" i="1"/>
  <c r="T412" i="1"/>
  <c r="T413" i="1"/>
  <c r="T414" i="1"/>
  <c r="T415" i="1"/>
  <c r="T416" i="1"/>
  <c r="T417" i="1"/>
  <c r="T418" i="1"/>
  <c r="T419" i="1"/>
  <c r="T420" i="1"/>
  <c r="T421" i="1"/>
  <c r="T422" i="1"/>
  <c r="T423" i="1"/>
  <c r="T424" i="1"/>
  <c r="T425" i="1"/>
  <c r="T426" i="1"/>
  <c r="T427" i="1"/>
  <c r="T428" i="1"/>
  <c r="T429" i="1"/>
  <c r="T430" i="1"/>
  <c r="T431" i="1"/>
  <c r="T432" i="1"/>
  <c r="T433" i="1"/>
  <c r="T434" i="1"/>
  <c r="T435" i="1"/>
  <c r="T436" i="1"/>
  <c r="T437" i="1"/>
  <c r="T438" i="1"/>
  <c r="T439" i="1"/>
  <c r="T440" i="1"/>
  <c r="T441" i="1"/>
  <c r="T442" i="1"/>
  <c r="T443" i="1"/>
  <c r="T444" i="1"/>
  <c r="T445" i="1"/>
  <c r="T446" i="1"/>
  <c r="T447" i="1"/>
  <c r="T448" i="1"/>
  <c r="T449" i="1"/>
  <c r="T450" i="1"/>
  <c r="T451" i="1"/>
  <c r="T452" i="1"/>
  <c r="T453" i="1"/>
  <c r="T454" i="1"/>
  <c r="T455" i="1"/>
  <c r="T456" i="1"/>
  <c r="T457" i="1"/>
  <c r="T458" i="1"/>
  <c r="T459" i="1"/>
  <c r="T460" i="1"/>
  <c r="T461" i="1"/>
  <c r="T462" i="1"/>
  <c r="T463" i="1"/>
  <c r="T464" i="1"/>
  <c r="T465" i="1"/>
  <c r="T466" i="1"/>
  <c r="T467" i="1"/>
  <c r="T468" i="1"/>
  <c r="T469" i="1"/>
  <c r="T470" i="1"/>
  <c r="T471" i="1"/>
  <c r="T472" i="1"/>
  <c r="T473" i="1"/>
  <c r="T474" i="1"/>
  <c r="T475" i="1"/>
  <c r="T476" i="1"/>
  <c r="T477" i="1"/>
  <c r="T478" i="1"/>
  <c r="T479" i="1"/>
  <c r="T480" i="1"/>
  <c r="T481" i="1"/>
  <c r="T482" i="1"/>
  <c r="T483" i="1"/>
  <c r="T484" i="1"/>
  <c r="T485" i="1"/>
  <c r="T486" i="1"/>
  <c r="T487" i="1"/>
  <c r="T488" i="1"/>
  <c r="T489" i="1"/>
  <c r="T490" i="1"/>
  <c r="T491" i="1"/>
  <c r="T492" i="1"/>
  <c r="T493" i="1"/>
  <c r="T494" i="1"/>
  <c r="T495" i="1"/>
  <c r="T496" i="1"/>
  <c r="T497" i="1"/>
  <c r="T498" i="1"/>
  <c r="T499" i="1"/>
  <c r="T500" i="1"/>
  <c r="T501" i="1"/>
  <c r="T502" i="1"/>
  <c r="T503" i="1"/>
  <c r="T504" i="1"/>
  <c r="T505" i="1"/>
  <c r="T506" i="1"/>
  <c r="T507" i="1"/>
  <c r="T508" i="1"/>
  <c r="T509" i="1"/>
  <c r="T510" i="1"/>
  <c r="T511" i="1"/>
  <c r="T512" i="1"/>
  <c r="T513" i="1"/>
  <c r="T514" i="1"/>
  <c r="T515" i="1"/>
  <c r="T516" i="1"/>
  <c r="T517" i="1"/>
  <c r="T518" i="1"/>
  <c r="T519" i="1"/>
  <c r="T520" i="1"/>
  <c r="T521" i="1"/>
  <c r="T522" i="1"/>
  <c r="T523" i="1"/>
  <c r="T524" i="1"/>
  <c r="T525" i="1"/>
  <c r="T526" i="1"/>
  <c r="T527" i="1"/>
  <c r="T528" i="1"/>
  <c r="T529" i="1"/>
  <c r="T530" i="1"/>
  <c r="T531" i="1"/>
  <c r="T532" i="1"/>
  <c r="T533" i="1"/>
  <c r="T534" i="1"/>
  <c r="T535" i="1"/>
  <c r="T536" i="1"/>
  <c r="T537" i="1"/>
  <c r="T538" i="1"/>
  <c r="T539" i="1"/>
  <c r="T540" i="1"/>
  <c r="T541" i="1"/>
  <c r="T542" i="1"/>
  <c r="T543" i="1"/>
  <c r="T544" i="1"/>
  <c r="T545" i="1"/>
  <c r="T546" i="1"/>
  <c r="T547" i="1"/>
  <c r="T548" i="1"/>
  <c r="T549" i="1"/>
  <c r="T550" i="1"/>
  <c r="T551" i="1"/>
  <c r="T552" i="1"/>
  <c r="T553" i="1"/>
  <c r="T554" i="1"/>
  <c r="T555" i="1"/>
  <c r="T556" i="1"/>
  <c r="T557" i="1"/>
  <c r="T558" i="1"/>
  <c r="T559" i="1"/>
  <c r="T560" i="1"/>
  <c r="T561" i="1"/>
  <c r="T562" i="1"/>
  <c r="T563" i="1"/>
  <c r="T564" i="1"/>
  <c r="T565" i="1"/>
  <c r="T566" i="1"/>
  <c r="T567" i="1"/>
  <c r="T568" i="1"/>
  <c r="T569" i="1"/>
  <c r="T570" i="1"/>
  <c r="T571" i="1"/>
  <c r="T572" i="1"/>
  <c r="T573" i="1"/>
  <c r="T574" i="1"/>
  <c r="T575" i="1"/>
  <c r="T576" i="1"/>
  <c r="T577" i="1"/>
  <c r="T578" i="1"/>
  <c r="T579" i="1"/>
  <c r="T580" i="1"/>
  <c r="T581" i="1"/>
  <c r="T582" i="1"/>
  <c r="T583" i="1"/>
  <c r="T584" i="1"/>
  <c r="T585" i="1"/>
  <c r="T586" i="1"/>
  <c r="T587" i="1"/>
  <c r="T588" i="1"/>
  <c r="T589" i="1"/>
  <c r="T590" i="1"/>
  <c r="T591" i="1"/>
  <c r="T592" i="1"/>
  <c r="T593" i="1"/>
  <c r="T594" i="1"/>
  <c r="T595" i="1"/>
  <c r="T596" i="1"/>
  <c r="T597" i="1"/>
  <c r="T598" i="1"/>
  <c r="T599" i="1"/>
  <c r="T600" i="1"/>
  <c r="T601" i="1"/>
  <c r="T602" i="1"/>
  <c r="T603" i="1"/>
  <c r="T604" i="1"/>
  <c r="T605" i="1"/>
  <c r="T606" i="1"/>
  <c r="T607" i="1"/>
  <c r="T608" i="1"/>
  <c r="T609" i="1"/>
  <c r="T610" i="1"/>
  <c r="T611" i="1"/>
  <c r="T612" i="1"/>
  <c r="T613" i="1"/>
  <c r="T614" i="1"/>
  <c r="T615" i="1"/>
  <c r="T616" i="1"/>
  <c r="T617" i="1"/>
  <c r="T618" i="1"/>
  <c r="T619" i="1"/>
  <c r="T620" i="1"/>
  <c r="T621" i="1"/>
  <c r="T622" i="1"/>
  <c r="T623" i="1"/>
  <c r="T624" i="1"/>
  <c r="T625" i="1"/>
  <c r="T626" i="1"/>
  <c r="T627" i="1"/>
  <c r="T628" i="1"/>
  <c r="T629" i="1"/>
  <c r="T630" i="1"/>
  <c r="T631" i="1"/>
  <c r="T632" i="1"/>
  <c r="T633" i="1"/>
  <c r="T634" i="1"/>
  <c r="T635" i="1"/>
  <c r="T636" i="1"/>
  <c r="T637" i="1"/>
  <c r="T638" i="1"/>
  <c r="T639" i="1"/>
  <c r="T640" i="1"/>
  <c r="T641" i="1"/>
  <c r="T642" i="1"/>
  <c r="T643" i="1"/>
  <c r="T644" i="1"/>
  <c r="T645" i="1"/>
  <c r="T646" i="1"/>
  <c r="T647" i="1"/>
  <c r="T648" i="1"/>
  <c r="T649" i="1"/>
  <c r="T650" i="1"/>
  <c r="T651" i="1"/>
  <c r="T652" i="1"/>
  <c r="T653" i="1"/>
  <c r="T654" i="1"/>
  <c r="T655" i="1"/>
  <c r="T656" i="1"/>
  <c r="T657" i="1"/>
  <c r="T658" i="1"/>
  <c r="T659" i="1"/>
  <c r="T660" i="1"/>
  <c r="T661" i="1"/>
  <c r="T662" i="1"/>
  <c r="T663" i="1"/>
  <c r="T664" i="1"/>
  <c r="T665" i="1"/>
  <c r="T666" i="1"/>
  <c r="T667" i="1"/>
  <c r="T668" i="1"/>
  <c r="T669" i="1"/>
  <c r="T670" i="1"/>
  <c r="T671" i="1"/>
  <c r="T672" i="1"/>
  <c r="T673" i="1"/>
  <c r="T674" i="1"/>
  <c r="T675" i="1"/>
  <c r="T676" i="1"/>
  <c r="T677" i="1"/>
  <c r="T678" i="1"/>
  <c r="T679" i="1"/>
  <c r="T680" i="1"/>
  <c r="T681" i="1"/>
  <c r="T682" i="1"/>
  <c r="T683" i="1"/>
  <c r="T684" i="1"/>
  <c r="T685" i="1"/>
  <c r="T686" i="1"/>
  <c r="T687" i="1"/>
  <c r="T688" i="1"/>
  <c r="T689" i="1"/>
  <c r="T690" i="1"/>
  <c r="T691" i="1"/>
  <c r="T692" i="1"/>
  <c r="T693" i="1"/>
  <c r="T694" i="1"/>
  <c r="T695" i="1"/>
  <c r="T696" i="1"/>
  <c r="T697" i="1"/>
  <c r="T698" i="1"/>
  <c r="T699" i="1"/>
  <c r="T700" i="1"/>
  <c r="T701" i="1"/>
  <c r="T702" i="1"/>
  <c r="T703" i="1"/>
  <c r="T704" i="1"/>
  <c r="T705" i="1"/>
  <c r="T706" i="1"/>
  <c r="T707" i="1"/>
  <c r="T708" i="1"/>
  <c r="T709" i="1"/>
  <c r="T710" i="1"/>
  <c r="T711" i="1"/>
  <c r="T712" i="1"/>
  <c r="T713" i="1"/>
  <c r="T714" i="1"/>
  <c r="T715" i="1"/>
  <c r="T716" i="1"/>
  <c r="T717" i="1"/>
  <c r="T718" i="1"/>
  <c r="T719" i="1"/>
  <c r="T720" i="1"/>
  <c r="T721" i="1"/>
  <c r="T722" i="1"/>
  <c r="T723" i="1"/>
  <c r="T724" i="1"/>
  <c r="T725" i="1"/>
  <c r="T726" i="1"/>
  <c r="T727" i="1"/>
  <c r="T728" i="1"/>
  <c r="T729" i="1"/>
  <c r="T730" i="1"/>
  <c r="T731" i="1"/>
  <c r="T732" i="1"/>
  <c r="T733" i="1"/>
  <c r="T734" i="1"/>
  <c r="T735" i="1"/>
  <c r="T736" i="1"/>
  <c r="T737" i="1"/>
  <c r="T738" i="1"/>
  <c r="T739" i="1"/>
  <c r="T740" i="1"/>
  <c r="T741" i="1"/>
  <c r="T742" i="1"/>
  <c r="T743" i="1"/>
  <c r="T744" i="1"/>
  <c r="T745" i="1"/>
  <c r="T746" i="1"/>
  <c r="T747" i="1"/>
  <c r="T748" i="1"/>
  <c r="T749" i="1"/>
  <c r="T750" i="1"/>
  <c r="T751" i="1"/>
  <c r="T752" i="1"/>
  <c r="T753" i="1"/>
  <c r="T754" i="1"/>
  <c r="T755" i="1"/>
  <c r="T756" i="1"/>
  <c r="T757" i="1"/>
  <c r="T758" i="1"/>
  <c r="T759" i="1"/>
  <c r="T760" i="1"/>
  <c r="T761" i="1"/>
  <c r="T762" i="1"/>
  <c r="T763" i="1"/>
  <c r="T764" i="1"/>
  <c r="T765" i="1"/>
  <c r="T766" i="1"/>
  <c r="T767" i="1"/>
  <c r="T768" i="1"/>
  <c r="T769" i="1"/>
  <c r="T770" i="1"/>
  <c r="T771" i="1"/>
  <c r="T772" i="1"/>
  <c r="T773" i="1"/>
  <c r="T774" i="1"/>
  <c r="T775" i="1"/>
  <c r="T776" i="1"/>
  <c r="T777" i="1"/>
  <c r="T778" i="1"/>
  <c r="T779" i="1"/>
  <c r="T780" i="1"/>
  <c r="T781" i="1"/>
  <c r="T782" i="1"/>
  <c r="T783" i="1"/>
  <c r="T784" i="1"/>
  <c r="T785" i="1"/>
  <c r="T786" i="1"/>
  <c r="T787" i="1"/>
  <c r="T788" i="1"/>
  <c r="T789" i="1"/>
  <c r="T790" i="1"/>
  <c r="T791" i="1"/>
  <c r="T792" i="1"/>
  <c r="T793" i="1"/>
  <c r="T794" i="1"/>
  <c r="T795" i="1"/>
  <c r="T796" i="1"/>
  <c r="T797" i="1"/>
  <c r="T798" i="1"/>
  <c r="T799" i="1"/>
  <c r="T800" i="1"/>
  <c r="T801" i="1"/>
  <c r="T802" i="1"/>
  <c r="T803" i="1"/>
  <c r="T804" i="1"/>
  <c r="T805" i="1"/>
  <c r="T806" i="1"/>
  <c r="T807" i="1"/>
  <c r="T808" i="1"/>
  <c r="T809" i="1"/>
  <c r="T810" i="1"/>
  <c r="T811" i="1"/>
  <c r="T812" i="1"/>
  <c r="T813" i="1"/>
  <c r="T814" i="1"/>
  <c r="T815" i="1"/>
  <c r="T816" i="1"/>
  <c r="T817" i="1"/>
  <c r="T818" i="1"/>
  <c r="T819" i="1"/>
  <c r="T820" i="1"/>
  <c r="T821" i="1"/>
  <c r="T822" i="1"/>
  <c r="T823" i="1"/>
  <c r="T824" i="1"/>
  <c r="T825" i="1"/>
  <c r="T826" i="1"/>
  <c r="T827" i="1"/>
  <c r="T828" i="1"/>
  <c r="T829" i="1"/>
  <c r="T830" i="1"/>
  <c r="T831" i="1"/>
  <c r="T832" i="1"/>
  <c r="T833" i="1"/>
  <c r="T834" i="1"/>
  <c r="T835" i="1"/>
  <c r="T836" i="1"/>
  <c r="T837" i="1"/>
  <c r="T838" i="1"/>
  <c r="T839" i="1"/>
  <c r="T840" i="1"/>
  <c r="T841" i="1"/>
  <c r="T842" i="1"/>
  <c r="T843" i="1"/>
  <c r="T844" i="1"/>
  <c r="T845" i="1"/>
  <c r="T846" i="1"/>
  <c r="T847" i="1"/>
  <c r="T848" i="1"/>
  <c r="T849" i="1"/>
  <c r="T850" i="1"/>
  <c r="T851" i="1"/>
  <c r="T852" i="1"/>
  <c r="T853" i="1"/>
  <c r="T854" i="1"/>
  <c r="T855" i="1"/>
  <c r="T856" i="1"/>
  <c r="T857" i="1"/>
  <c r="T858" i="1"/>
  <c r="T859" i="1"/>
  <c r="T860" i="1"/>
  <c r="T861" i="1"/>
  <c r="T862" i="1"/>
  <c r="T863" i="1"/>
  <c r="T864" i="1"/>
  <c r="T865" i="1"/>
  <c r="T866" i="1"/>
  <c r="T867" i="1"/>
  <c r="T868" i="1"/>
  <c r="T869" i="1"/>
  <c r="T870" i="1"/>
  <c r="T871" i="1"/>
  <c r="T872" i="1"/>
  <c r="T873" i="1"/>
  <c r="T874" i="1"/>
  <c r="T875" i="1"/>
  <c r="T876" i="1"/>
  <c r="T877" i="1"/>
  <c r="T878" i="1"/>
  <c r="T879" i="1"/>
  <c r="T880" i="1"/>
  <c r="T881" i="1"/>
  <c r="T882" i="1"/>
  <c r="T883" i="1"/>
  <c r="T884" i="1"/>
  <c r="T885" i="1"/>
  <c r="T886" i="1"/>
  <c r="T887" i="1"/>
  <c r="T888" i="1"/>
  <c r="T889" i="1"/>
  <c r="T890" i="1"/>
  <c r="T891" i="1"/>
  <c r="T892" i="1"/>
  <c r="T893" i="1"/>
  <c r="T894" i="1"/>
  <c r="T895" i="1"/>
  <c r="T896" i="1"/>
  <c r="T897" i="1"/>
  <c r="T898" i="1"/>
  <c r="T899" i="1"/>
  <c r="T900" i="1"/>
  <c r="T901" i="1"/>
  <c r="T902" i="1"/>
  <c r="T903" i="1"/>
  <c r="T904" i="1"/>
  <c r="T905" i="1"/>
  <c r="T906" i="1"/>
  <c r="T907" i="1"/>
  <c r="T908" i="1"/>
  <c r="T909" i="1"/>
  <c r="T910" i="1"/>
  <c r="T911" i="1"/>
  <c r="T912" i="1"/>
  <c r="T913" i="1"/>
  <c r="T914" i="1"/>
  <c r="T915" i="1"/>
  <c r="T916" i="1"/>
  <c r="T917" i="1"/>
  <c r="T918" i="1"/>
  <c r="T919" i="1"/>
  <c r="T920" i="1"/>
  <c r="T921" i="1"/>
  <c r="T922" i="1"/>
  <c r="T923" i="1"/>
  <c r="T924" i="1"/>
  <c r="T925" i="1"/>
  <c r="T926" i="1"/>
  <c r="T927" i="1"/>
  <c r="T928" i="1"/>
  <c r="T929" i="1"/>
  <c r="T930" i="1"/>
  <c r="T931" i="1"/>
  <c r="T932" i="1"/>
  <c r="T933" i="1"/>
  <c r="T934" i="1"/>
  <c r="T935" i="1"/>
  <c r="T936" i="1"/>
  <c r="T937" i="1"/>
  <c r="T938" i="1"/>
  <c r="T939" i="1"/>
  <c r="T940" i="1"/>
  <c r="T941" i="1"/>
  <c r="T942" i="1"/>
  <c r="T943" i="1"/>
  <c r="T944" i="1"/>
  <c r="T945" i="1"/>
  <c r="T946" i="1"/>
  <c r="T947" i="1"/>
  <c r="T948" i="1"/>
  <c r="T949" i="1"/>
  <c r="T950" i="1"/>
  <c r="T951" i="1"/>
  <c r="T952" i="1"/>
  <c r="T953" i="1"/>
  <c r="T954" i="1"/>
  <c r="T955" i="1"/>
  <c r="T956" i="1"/>
  <c r="T957" i="1"/>
  <c r="T958" i="1"/>
  <c r="T959" i="1"/>
  <c r="T960" i="1"/>
  <c r="T961" i="1"/>
  <c r="T962" i="1"/>
  <c r="T963" i="1"/>
  <c r="T964" i="1"/>
  <c r="T965" i="1"/>
  <c r="T966" i="1"/>
  <c r="T967" i="1"/>
  <c r="T968" i="1"/>
  <c r="T969" i="1"/>
  <c r="T970" i="1"/>
  <c r="T971" i="1"/>
  <c r="T972" i="1"/>
  <c r="T973" i="1"/>
  <c r="T974" i="1"/>
  <c r="T975" i="1"/>
  <c r="T976" i="1"/>
  <c r="T977" i="1"/>
  <c r="T978" i="1"/>
  <c r="T979" i="1"/>
  <c r="T980" i="1"/>
  <c r="T981" i="1"/>
  <c r="T982" i="1"/>
  <c r="T983" i="1"/>
  <c r="T984" i="1"/>
  <c r="T985" i="1"/>
  <c r="T986" i="1"/>
  <c r="T987" i="1"/>
  <c r="T988" i="1"/>
  <c r="T989" i="1"/>
  <c r="T990" i="1"/>
  <c r="T991" i="1"/>
  <c r="T992" i="1"/>
  <c r="T993" i="1"/>
  <c r="T994" i="1"/>
  <c r="T995" i="1"/>
  <c r="T996" i="1"/>
  <c r="T997" i="1"/>
  <c r="T998" i="1"/>
  <c r="T999" i="1"/>
  <c r="T1000" i="1"/>
  <c r="T1001" i="1"/>
  <c r="K2" i="1"/>
  <c r="K3" i="1"/>
  <c r="K4" i="1"/>
  <c r="K5" i="1"/>
  <c r="K6" i="1"/>
  <c r="K7" i="1"/>
  <c r="K8" i="1"/>
  <c r="K9" i="1"/>
  <c r="K10" i="1"/>
  <c r="K11" i="1"/>
  <c r="K12" i="1"/>
  <c r="K13" i="1"/>
  <c r="K14" i="1"/>
  <c r="K15" i="1"/>
  <c r="K16" i="1"/>
  <c r="K17" i="1"/>
  <c r="K18" i="1"/>
  <c r="K19" i="1"/>
  <c r="K20" i="1"/>
  <c r="K21" i="1"/>
  <c r="K22" i="1"/>
  <c r="K23" i="1"/>
  <c r="K24" i="1"/>
  <c r="K25" i="1"/>
  <c r="K26" i="1"/>
  <c r="K27" i="1"/>
  <c r="K28" i="1"/>
  <c r="K29" i="1"/>
  <c r="K30" i="1"/>
  <c r="K31" i="1"/>
  <c r="K32" i="1"/>
  <c r="K33" i="1"/>
  <c r="K34" i="1"/>
  <c r="K35" i="1"/>
  <c r="K36" i="1"/>
  <c r="K37" i="1"/>
  <c r="K38" i="1"/>
  <c r="K39" i="1"/>
  <c r="K40" i="1"/>
  <c r="K41" i="1"/>
  <c r="K42" i="1"/>
  <c r="K43" i="1"/>
  <c r="K44" i="1"/>
  <c r="K45" i="1"/>
  <c r="K46" i="1"/>
  <c r="K47" i="1"/>
  <c r="K48" i="1"/>
  <c r="K49" i="1"/>
  <c r="K50" i="1"/>
  <c r="K51" i="1"/>
  <c r="K52" i="1"/>
  <c r="K53" i="1"/>
  <c r="K54" i="1"/>
  <c r="K55" i="1"/>
  <c r="K56" i="1"/>
  <c r="K57" i="1"/>
  <c r="K58" i="1"/>
  <c r="K59" i="1"/>
  <c r="K60" i="1"/>
  <c r="K61" i="1"/>
  <c r="K62" i="1"/>
  <c r="K63" i="1"/>
  <c r="K64" i="1"/>
  <c r="K65" i="1"/>
  <c r="K66" i="1"/>
  <c r="K67" i="1"/>
  <c r="K68" i="1"/>
  <c r="K69" i="1"/>
  <c r="K70" i="1"/>
  <c r="K71" i="1"/>
  <c r="K72" i="1"/>
  <c r="K73" i="1"/>
  <c r="K74" i="1"/>
  <c r="K75" i="1"/>
  <c r="K76" i="1"/>
  <c r="K77" i="1"/>
  <c r="K78" i="1"/>
  <c r="K79" i="1"/>
  <c r="K80" i="1"/>
  <c r="K81" i="1"/>
  <c r="K82" i="1"/>
  <c r="K83" i="1"/>
  <c r="K84" i="1"/>
  <c r="K85" i="1"/>
  <c r="K86" i="1"/>
  <c r="K87" i="1"/>
  <c r="K88" i="1"/>
  <c r="K89" i="1"/>
  <c r="K90" i="1"/>
  <c r="K91" i="1"/>
  <c r="K92" i="1"/>
  <c r="K93" i="1"/>
  <c r="K94" i="1"/>
  <c r="K95" i="1"/>
  <c r="K96" i="1"/>
  <c r="K97" i="1"/>
  <c r="K98" i="1"/>
  <c r="K99" i="1"/>
  <c r="K100" i="1"/>
  <c r="K101" i="1"/>
  <c r="K102" i="1"/>
  <c r="K103" i="1"/>
  <c r="K104" i="1"/>
  <c r="K105" i="1"/>
  <c r="K106" i="1"/>
  <c r="K107" i="1"/>
  <c r="K108" i="1"/>
  <c r="K109" i="1"/>
  <c r="K110" i="1"/>
  <c r="K111" i="1"/>
  <c r="K112" i="1"/>
  <c r="K113" i="1"/>
  <c r="K114" i="1"/>
  <c r="K115" i="1"/>
  <c r="K116" i="1"/>
  <c r="K117" i="1"/>
  <c r="K118" i="1"/>
  <c r="K119" i="1"/>
  <c r="K120" i="1"/>
  <c r="K121" i="1"/>
  <c r="K122" i="1"/>
  <c r="K123" i="1"/>
  <c r="K124" i="1"/>
  <c r="K125" i="1"/>
  <c r="K126" i="1"/>
  <c r="K127" i="1"/>
  <c r="K128" i="1"/>
  <c r="K129" i="1"/>
  <c r="K130" i="1"/>
  <c r="K131" i="1"/>
  <c r="K132" i="1"/>
  <c r="K133" i="1"/>
  <c r="K134" i="1"/>
  <c r="K135" i="1"/>
  <c r="K136" i="1"/>
  <c r="K137" i="1"/>
  <c r="K138" i="1"/>
  <c r="K139" i="1"/>
  <c r="K140" i="1"/>
  <c r="K141" i="1"/>
  <c r="K142" i="1"/>
  <c r="K143" i="1"/>
  <c r="K144" i="1"/>
  <c r="K145" i="1"/>
  <c r="K146" i="1"/>
  <c r="K147" i="1"/>
  <c r="K148" i="1"/>
  <c r="K149" i="1"/>
  <c r="K150" i="1"/>
  <c r="K151" i="1"/>
  <c r="K152" i="1"/>
  <c r="K153" i="1"/>
  <c r="K154" i="1"/>
  <c r="K155" i="1"/>
  <c r="K156" i="1"/>
  <c r="K157" i="1"/>
  <c r="K158" i="1"/>
  <c r="K159" i="1"/>
  <c r="K160" i="1"/>
  <c r="K161" i="1"/>
  <c r="K162" i="1"/>
  <c r="K163" i="1"/>
  <c r="K164" i="1"/>
  <c r="K165" i="1"/>
  <c r="K166" i="1"/>
  <c r="K167" i="1"/>
  <c r="K168" i="1"/>
  <c r="K169" i="1"/>
  <c r="K170" i="1"/>
  <c r="K171" i="1"/>
  <c r="K172" i="1"/>
  <c r="K173" i="1"/>
  <c r="K174" i="1"/>
  <c r="K175" i="1"/>
  <c r="K176" i="1"/>
  <c r="K177" i="1"/>
  <c r="K178" i="1"/>
  <c r="K179" i="1"/>
  <c r="K180" i="1"/>
  <c r="K181" i="1"/>
  <c r="K182" i="1"/>
  <c r="K183" i="1"/>
  <c r="K184" i="1"/>
  <c r="K185" i="1"/>
  <c r="K186" i="1"/>
  <c r="K187" i="1"/>
  <c r="K188" i="1"/>
  <c r="K189" i="1"/>
  <c r="K190" i="1"/>
  <c r="K191" i="1"/>
  <c r="K192" i="1"/>
  <c r="K193" i="1"/>
  <c r="K194" i="1"/>
  <c r="K195" i="1"/>
  <c r="K196" i="1"/>
  <c r="K197" i="1"/>
  <c r="K198" i="1"/>
  <c r="K199" i="1"/>
  <c r="K200" i="1"/>
  <c r="K201" i="1"/>
  <c r="K202" i="1"/>
  <c r="K203" i="1"/>
  <c r="K204" i="1"/>
  <c r="K205" i="1"/>
  <c r="K206" i="1"/>
  <c r="K207" i="1"/>
  <c r="K208" i="1"/>
  <c r="K209" i="1"/>
  <c r="K210" i="1"/>
  <c r="K211" i="1"/>
  <c r="K212" i="1"/>
  <c r="K213" i="1"/>
  <c r="K214" i="1"/>
  <c r="K215" i="1"/>
  <c r="K216" i="1"/>
  <c r="K217" i="1"/>
  <c r="K218" i="1"/>
  <c r="K219" i="1"/>
  <c r="K220" i="1"/>
  <c r="K221" i="1"/>
  <c r="K222" i="1"/>
  <c r="K223" i="1"/>
  <c r="K224" i="1"/>
  <c r="K225" i="1"/>
  <c r="K226" i="1"/>
  <c r="K227" i="1"/>
  <c r="K228" i="1"/>
  <c r="K229" i="1"/>
  <c r="K230" i="1"/>
  <c r="K231" i="1"/>
  <c r="K232" i="1"/>
  <c r="K233" i="1"/>
  <c r="K234" i="1"/>
  <c r="K235" i="1"/>
  <c r="K236" i="1"/>
  <c r="K237" i="1"/>
  <c r="K238" i="1"/>
  <c r="K239" i="1"/>
  <c r="K240" i="1"/>
  <c r="K241" i="1"/>
  <c r="K242" i="1"/>
  <c r="K243" i="1"/>
  <c r="K244" i="1"/>
  <c r="K245" i="1"/>
  <c r="K246" i="1"/>
  <c r="K247" i="1"/>
  <c r="K248" i="1"/>
  <c r="K249" i="1"/>
  <c r="K250" i="1"/>
  <c r="K251" i="1"/>
  <c r="K252" i="1"/>
  <c r="K253" i="1"/>
  <c r="K254" i="1"/>
  <c r="K255" i="1"/>
  <c r="K256" i="1"/>
  <c r="K257" i="1"/>
  <c r="K258" i="1"/>
  <c r="K259" i="1"/>
  <c r="K260" i="1"/>
  <c r="K261" i="1"/>
  <c r="K262" i="1"/>
  <c r="K263" i="1"/>
  <c r="K264" i="1"/>
  <c r="K265" i="1"/>
  <c r="K266" i="1"/>
  <c r="K267" i="1"/>
  <c r="K268" i="1"/>
  <c r="K269" i="1"/>
  <c r="K270" i="1"/>
  <c r="K271" i="1"/>
  <c r="K272" i="1"/>
  <c r="K273" i="1"/>
  <c r="K274" i="1"/>
  <c r="K275" i="1"/>
  <c r="K276" i="1"/>
  <c r="K277" i="1"/>
  <c r="K278" i="1"/>
  <c r="K279" i="1"/>
  <c r="K280" i="1"/>
  <c r="K281" i="1"/>
  <c r="K282" i="1"/>
  <c r="K283" i="1"/>
  <c r="K284" i="1"/>
  <c r="K285" i="1"/>
  <c r="K286" i="1"/>
  <c r="K287" i="1"/>
  <c r="K288" i="1"/>
  <c r="K289" i="1"/>
  <c r="K290" i="1"/>
  <c r="K291" i="1"/>
  <c r="K292" i="1"/>
  <c r="K293" i="1"/>
  <c r="K294" i="1"/>
  <c r="K295" i="1"/>
  <c r="K296" i="1"/>
  <c r="K297" i="1"/>
  <c r="K298" i="1"/>
  <c r="K299" i="1"/>
  <c r="K300" i="1"/>
  <c r="K301" i="1"/>
  <c r="K302" i="1"/>
  <c r="K303" i="1"/>
  <c r="K304" i="1"/>
  <c r="K305" i="1"/>
  <c r="K306" i="1"/>
  <c r="K307" i="1"/>
  <c r="K308" i="1"/>
  <c r="K309" i="1"/>
  <c r="K310" i="1"/>
  <c r="K311" i="1"/>
  <c r="K312" i="1"/>
  <c r="K313" i="1"/>
  <c r="K314" i="1"/>
  <c r="K315" i="1"/>
  <c r="K316" i="1"/>
  <c r="K317" i="1"/>
  <c r="K318" i="1"/>
  <c r="K319" i="1"/>
  <c r="K320" i="1"/>
  <c r="K321" i="1"/>
  <c r="K322" i="1"/>
  <c r="K323" i="1"/>
  <c r="K324" i="1"/>
  <c r="K325" i="1"/>
  <c r="K326" i="1"/>
  <c r="K327" i="1"/>
  <c r="K328" i="1"/>
  <c r="K329" i="1"/>
  <c r="K330" i="1"/>
  <c r="K331" i="1"/>
  <c r="K332" i="1"/>
  <c r="K333" i="1"/>
  <c r="K334" i="1"/>
  <c r="K335" i="1"/>
  <c r="K336" i="1"/>
  <c r="K337" i="1"/>
  <c r="K338" i="1"/>
  <c r="K339" i="1"/>
  <c r="K340" i="1"/>
  <c r="K341" i="1"/>
  <c r="K342" i="1"/>
  <c r="K343" i="1"/>
  <c r="K344" i="1"/>
  <c r="K345" i="1"/>
  <c r="K346" i="1"/>
  <c r="K347" i="1"/>
  <c r="K348" i="1"/>
  <c r="K349" i="1"/>
  <c r="K350" i="1"/>
  <c r="K351" i="1"/>
  <c r="K352" i="1"/>
  <c r="K353" i="1"/>
  <c r="K354" i="1"/>
  <c r="K355" i="1"/>
  <c r="K356" i="1"/>
  <c r="K357" i="1"/>
  <c r="K358" i="1"/>
  <c r="K359" i="1"/>
  <c r="K360" i="1"/>
  <c r="K361" i="1"/>
  <c r="K362" i="1"/>
  <c r="K363" i="1"/>
  <c r="K364" i="1"/>
  <c r="K365" i="1"/>
  <c r="K366" i="1"/>
  <c r="K367" i="1"/>
  <c r="K368" i="1"/>
  <c r="K369" i="1"/>
  <c r="K370" i="1"/>
  <c r="K371" i="1"/>
  <c r="K372" i="1"/>
  <c r="K373" i="1"/>
  <c r="K374" i="1"/>
  <c r="K375" i="1"/>
  <c r="K376" i="1"/>
  <c r="K377" i="1"/>
  <c r="K378" i="1"/>
  <c r="K379" i="1"/>
  <c r="K380" i="1"/>
  <c r="K381" i="1"/>
  <c r="K382" i="1"/>
  <c r="K383" i="1"/>
  <c r="K384" i="1"/>
  <c r="K385" i="1"/>
  <c r="K386" i="1"/>
  <c r="K387" i="1"/>
  <c r="K388" i="1"/>
  <c r="K389" i="1"/>
  <c r="K390" i="1"/>
  <c r="K391" i="1"/>
  <c r="K392" i="1"/>
  <c r="K393" i="1"/>
  <c r="K394" i="1"/>
  <c r="K395" i="1"/>
  <c r="K396" i="1"/>
  <c r="K397" i="1"/>
  <c r="K398" i="1"/>
  <c r="K399" i="1"/>
  <c r="K400" i="1"/>
  <c r="K401" i="1"/>
  <c r="K402" i="1"/>
  <c r="K403" i="1"/>
  <c r="K404" i="1"/>
  <c r="K405" i="1"/>
  <c r="K406" i="1"/>
  <c r="K407" i="1"/>
  <c r="K408" i="1"/>
  <c r="K409" i="1"/>
  <c r="K410" i="1"/>
  <c r="K411" i="1"/>
  <c r="K412" i="1"/>
  <c r="K413" i="1"/>
  <c r="K414" i="1"/>
  <c r="K415" i="1"/>
  <c r="K416" i="1"/>
  <c r="K417" i="1"/>
  <c r="K418" i="1"/>
  <c r="K419" i="1"/>
  <c r="K420" i="1"/>
  <c r="K421" i="1"/>
  <c r="K422" i="1"/>
  <c r="K423" i="1"/>
  <c r="K424" i="1"/>
  <c r="K425" i="1"/>
  <c r="K426" i="1"/>
  <c r="K427" i="1"/>
  <c r="K428" i="1"/>
  <c r="K429" i="1"/>
  <c r="K430" i="1"/>
  <c r="K431" i="1"/>
  <c r="K432" i="1"/>
  <c r="K433" i="1"/>
  <c r="K434" i="1"/>
  <c r="K435" i="1"/>
  <c r="K436" i="1"/>
  <c r="K437" i="1"/>
  <c r="K438" i="1"/>
  <c r="K439" i="1"/>
  <c r="K440" i="1"/>
  <c r="K441" i="1"/>
  <c r="K442" i="1"/>
  <c r="K443" i="1"/>
  <c r="K444" i="1"/>
  <c r="K445" i="1"/>
  <c r="K446" i="1"/>
  <c r="K447" i="1"/>
  <c r="K448" i="1"/>
  <c r="K449" i="1"/>
  <c r="K450" i="1"/>
  <c r="K451" i="1"/>
  <c r="K452" i="1"/>
  <c r="K453" i="1"/>
  <c r="K454" i="1"/>
  <c r="K455" i="1"/>
  <c r="K456" i="1"/>
  <c r="K457" i="1"/>
  <c r="K458" i="1"/>
  <c r="K459" i="1"/>
  <c r="K460" i="1"/>
  <c r="K461" i="1"/>
  <c r="K462" i="1"/>
  <c r="K463" i="1"/>
  <c r="K464" i="1"/>
  <c r="K465" i="1"/>
  <c r="K466" i="1"/>
  <c r="K467" i="1"/>
  <c r="K468" i="1"/>
  <c r="K469" i="1"/>
  <c r="K470" i="1"/>
  <c r="K471" i="1"/>
  <c r="K472" i="1"/>
  <c r="K473" i="1"/>
  <c r="K474" i="1"/>
  <c r="K475" i="1"/>
  <c r="K476" i="1"/>
  <c r="K477" i="1"/>
  <c r="K478" i="1"/>
  <c r="K479" i="1"/>
  <c r="K480" i="1"/>
  <c r="K481" i="1"/>
  <c r="K482" i="1"/>
  <c r="K483" i="1"/>
  <c r="K484" i="1"/>
  <c r="K485" i="1"/>
  <c r="K486" i="1"/>
  <c r="K487" i="1"/>
  <c r="K488" i="1"/>
  <c r="K489" i="1"/>
  <c r="K490" i="1"/>
  <c r="K491" i="1"/>
  <c r="K492" i="1"/>
  <c r="K493" i="1"/>
  <c r="K494" i="1"/>
  <c r="K495" i="1"/>
  <c r="K496" i="1"/>
  <c r="K497" i="1"/>
  <c r="K498" i="1"/>
  <c r="K499" i="1"/>
  <c r="K500" i="1"/>
  <c r="K501" i="1"/>
  <c r="K502" i="1"/>
  <c r="K503" i="1"/>
  <c r="K504" i="1"/>
  <c r="K505" i="1"/>
  <c r="K506" i="1"/>
  <c r="K507" i="1"/>
  <c r="K508" i="1"/>
  <c r="K509" i="1"/>
  <c r="K510" i="1"/>
  <c r="K511" i="1"/>
  <c r="K512" i="1"/>
  <c r="K513" i="1"/>
  <c r="K514" i="1"/>
  <c r="K515" i="1"/>
  <c r="K516" i="1"/>
  <c r="K517" i="1"/>
  <c r="K518" i="1"/>
  <c r="K519" i="1"/>
  <c r="K520" i="1"/>
  <c r="K521" i="1"/>
  <c r="K522" i="1"/>
  <c r="K523" i="1"/>
  <c r="K524" i="1"/>
  <c r="K525" i="1"/>
  <c r="K526" i="1"/>
  <c r="K527" i="1"/>
  <c r="K528" i="1"/>
  <c r="K529" i="1"/>
  <c r="K530" i="1"/>
  <c r="K531" i="1"/>
  <c r="K532" i="1"/>
  <c r="K533" i="1"/>
  <c r="K534" i="1"/>
  <c r="K535" i="1"/>
  <c r="K536" i="1"/>
  <c r="K537" i="1"/>
  <c r="K538" i="1"/>
  <c r="K539" i="1"/>
  <c r="K540" i="1"/>
  <c r="K541" i="1"/>
  <c r="K542" i="1"/>
  <c r="K543" i="1"/>
  <c r="K544" i="1"/>
  <c r="K545" i="1"/>
  <c r="K546" i="1"/>
  <c r="K547" i="1"/>
  <c r="K548" i="1"/>
  <c r="K549" i="1"/>
  <c r="K550" i="1"/>
  <c r="K551" i="1"/>
  <c r="K552" i="1"/>
  <c r="K553" i="1"/>
  <c r="K554" i="1"/>
  <c r="K555" i="1"/>
  <c r="K556" i="1"/>
  <c r="K557" i="1"/>
  <c r="K558" i="1"/>
  <c r="K559" i="1"/>
  <c r="K560" i="1"/>
  <c r="K561" i="1"/>
  <c r="K562" i="1"/>
  <c r="K563" i="1"/>
  <c r="K564" i="1"/>
  <c r="K565" i="1"/>
  <c r="K566" i="1"/>
  <c r="K567" i="1"/>
  <c r="K568" i="1"/>
  <c r="K569" i="1"/>
  <c r="K570" i="1"/>
  <c r="K571" i="1"/>
  <c r="K572" i="1"/>
  <c r="K573" i="1"/>
  <c r="K574" i="1"/>
  <c r="K575" i="1"/>
  <c r="K576" i="1"/>
  <c r="K577" i="1"/>
  <c r="K578" i="1"/>
  <c r="K579" i="1"/>
  <c r="K580" i="1"/>
  <c r="K581" i="1"/>
  <c r="K582" i="1"/>
  <c r="K583" i="1"/>
  <c r="K584" i="1"/>
  <c r="K585" i="1"/>
  <c r="K586" i="1"/>
  <c r="K587" i="1"/>
  <c r="K588" i="1"/>
  <c r="K589" i="1"/>
  <c r="K590" i="1"/>
  <c r="K591" i="1"/>
  <c r="K592" i="1"/>
  <c r="K593" i="1"/>
  <c r="K594" i="1"/>
  <c r="K595" i="1"/>
  <c r="K596" i="1"/>
  <c r="K597" i="1"/>
  <c r="K598" i="1"/>
  <c r="K599" i="1"/>
  <c r="K600" i="1"/>
  <c r="K601" i="1"/>
  <c r="K602" i="1"/>
  <c r="K603" i="1"/>
  <c r="K604" i="1"/>
  <c r="K605" i="1"/>
  <c r="K606" i="1"/>
  <c r="K607" i="1"/>
  <c r="K608" i="1"/>
  <c r="K609" i="1"/>
  <c r="K610" i="1"/>
  <c r="K611" i="1"/>
  <c r="K612" i="1"/>
  <c r="K613" i="1"/>
  <c r="K614" i="1"/>
  <c r="K615" i="1"/>
  <c r="K616" i="1"/>
  <c r="K617" i="1"/>
  <c r="K618" i="1"/>
  <c r="K619" i="1"/>
  <c r="K620" i="1"/>
  <c r="K621" i="1"/>
  <c r="K622" i="1"/>
  <c r="K623" i="1"/>
  <c r="K624" i="1"/>
  <c r="K625" i="1"/>
  <c r="K626" i="1"/>
  <c r="K627" i="1"/>
  <c r="K628" i="1"/>
  <c r="K629" i="1"/>
  <c r="K630" i="1"/>
  <c r="K631" i="1"/>
  <c r="K632" i="1"/>
  <c r="K633" i="1"/>
  <c r="K634" i="1"/>
  <c r="K635" i="1"/>
  <c r="K636" i="1"/>
  <c r="K637" i="1"/>
  <c r="K638" i="1"/>
  <c r="K639" i="1"/>
  <c r="K640" i="1"/>
  <c r="K641" i="1"/>
  <c r="K642" i="1"/>
  <c r="K643" i="1"/>
  <c r="K644" i="1"/>
  <c r="K645" i="1"/>
  <c r="K646" i="1"/>
  <c r="K647" i="1"/>
  <c r="K648" i="1"/>
  <c r="K649" i="1"/>
  <c r="K650" i="1"/>
  <c r="K651" i="1"/>
  <c r="K652" i="1"/>
  <c r="K653" i="1"/>
  <c r="K654" i="1"/>
  <c r="K655" i="1"/>
  <c r="K656" i="1"/>
  <c r="K657" i="1"/>
  <c r="K658" i="1"/>
  <c r="K659" i="1"/>
  <c r="K660" i="1"/>
  <c r="K661" i="1"/>
  <c r="K662" i="1"/>
  <c r="K663" i="1"/>
  <c r="K664" i="1"/>
  <c r="K665" i="1"/>
  <c r="K666" i="1"/>
  <c r="K667" i="1"/>
  <c r="K668" i="1"/>
  <c r="K669" i="1"/>
  <c r="K670" i="1"/>
  <c r="K671" i="1"/>
  <c r="K672" i="1"/>
  <c r="K673" i="1"/>
  <c r="K674" i="1"/>
  <c r="K675" i="1"/>
  <c r="K676" i="1"/>
  <c r="K677" i="1"/>
  <c r="K678" i="1"/>
  <c r="K679" i="1"/>
  <c r="K680" i="1"/>
  <c r="K681" i="1"/>
  <c r="K682" i="1"/>
  <c r="K683" i="1"/>
  <c r="K684" i="1"/>
  <c r="K685" i="1"/>
  <c r="K686" i="1"/>
  <c r="K687" i="1"/>
  <c r="K688" i="1"/>
  <c r="K689" i="1"/>
  <c r="K690" i="1"/>
  <c r="K691" i="1"/>
  <c r="K692" i="1"/>
  <c r="K693" i="1"/>
  <c r="K694" i="1"/>
  <c r="K695" i="1"/>
  <c r="K696" i="1"/>
  <c r="K697" i="1"/>
  <c r="K698" i="1"/>
  <c r="K699" i="1"/>
  <c r="K700" i="1"/>
  <c r="K701" i="1"/>
  <c r="K702" i="1"/>
  <c r="K703" i="1"/>
  <c r="K704" i="1"/>
  <c r="K705" i="1"/>
  <c r="K706" i="1"/>
  <c r="K707" i="1"/>
  <c r="K708" i="1"/>
  <c r="K709" i="1"/>
  <c r="K710" i="1"/>
  <c r="K711" i="1"/>
  <c r="K712" i="1"/>
  <c r="K713" i="1"/>
  <c r="K714" i="1"/>
  <c r="K715" i="1"/>
  <c r="K716" i="1"/>
  <c r="K717" i="1"/>
  <c r="K718" i="1"/>
  <c r="K719" i="1"/>
  <c r="K720" i="1"/>
  <c r="K721" i="1"/>
  <c r="K722" i="1"/>
  <c r="K723" i="1"/>
  <c r="K724" i="1"/>
  <c r="K725" i="1"/>
  <c r="K726" i="1"/>
  <c r="K727" i="1"/>
  <c r="K728" i="1"/>
  <c r="K729" i="1"/>
  <c r="K730" i="1"/>
  <c r="K731" i="1"/>
  <c r="K732" i="1"/>
  <c r="K733" i="1"/>
  <c r="K734" i="1"/>
  <c r="K735" i="1"/>
  <c r="K736" i="1"/>
  <c r="K737" i="1"/>
  <c r="K738" i="1"/>
  <c r="K739" i="1"/>
  <c r="K740" i="1"/>
  <c r="K741" i="1"/>
  <c r="K742" i="1"/>
  <c r="K743" i="1"/>
  <c r="K744" i="1"/>
  <c r="K745" i="1"/>
  <c r="K746" i="1"/>
  <c r="K747" i="1"/>
  <c r="K748" i="1"/>
  <c r="K749" i="1"/>
  <c r="K750" i="1"/>
  <c r="K751" i="1"/>
  <c r="K752" i="1"/>
  <c r="K753" i="1"/>
  <c r="K754" i="1"/>
  <c r="K755" i="1"/>
  <c r="K756" i="1"/>
  <c r="K757" i="1"/>
  <c r="K758" i="1"/>
  <c r="K759" i="1"/>
  <c r="K760" i="1"/>
  <c r="K761" i="1"/>
  <c r="K762" i="1"/>
  <c r="K763" i="1"/>
  <c r="K764" i="1"/>
  <c r="K765" i="1"/>
  <c r="K766" i="1"/>
  <c r="K767" i="1"/>
  <c r="K768" i="1"/>
  <c r="K769" i="1"/>
  <c r="K770" i="1"/>
  <c r="K771" i="1"/>
  <c r="K772" i="1"/>
  <c r="K773" i="1"/>
  <c r="K774" i="1"/>
  <c r="K775" i="1"/>
  <c r="K776" i="1"/>
  <c r="K777" i="1"/>
  <c r="K778" i="1"/>
  <c r="K779" i="1"/>
  <c r="K780" i="1"/>
  <c r="K781" i="1"/>
  <c r="K782" i="1"/>
  <c r="K783" i="1"/>
  <c r="K784" i="1"/>
  <c r="K785" i="1"/>
  <c r="K786" i="1"/>
  <c r="K787" i="1"/>
  <c r="K788" i="1"/>
  <c r="K789" i="1"/>
  <c r="K790" i="1"/>
  <c r="K791" i="1"/>
  <c r="K792" i="1"/>
  <c r="K793" i="1"/>
  <c r="K794" i="1"/>
  <c r="K795" i="1"/>
  <c r="K796" i="1"/>
  <c r="K797" i="1"/>
  <c r="K798" i="1"/>
  <c r="K799" i="1"/>
  <c r="K800" i="1"/>
  <c r="K801" i="1"/>
  <c r="K802" i="1"/>
  <c r="K803" i="1"/>
  <c r="K804" i="1"/>
  <c r="K805" i="1"/>
  <c r="K806" i="1"/>
  <c r="K807" i="1"/>
  <c r="K808" i="1"/>
  <c r="K809" i="1"/>
  <c r="K810" i="1"/>
  <c r="K811" i="1"/>
  <c r="K812" i="1"/>
  <c r="K813" i="1"/>
  <c r="K814" i="1"/>
  <c r="K815" i="1"/>
  <c r="K816" i="1"/>
  <c r="K817" i="1"/>
  <c r="K818" i="1"/>
  <c r="K819" i="1"/>
  <c r="K820" i="1"/>
  <c r="K821" i="1"/>
  <c r="K822" i="1"/>
  <c r="K823" i="1"/>
  <c r="K824" i="1"/>
  <c r="K825" i="1"/>
  <c r="K826" i="1"/>
  <c r="K827" i="1"/>
  <c r="K828" i="1"/>
  <c r="K829" i="1"/>
  <c r="K830" i="1"/>
  <c r="K831" i="1"/>
  <c r="K832" i="1"/>
  <c r="K833" i="1"/>
  <c r="K834" i="1"/>
  <c r="K835" i="1"/>
  <c r="K836" i="1"/>
  <c r="K837" i="1"/>
  <c r="K838" i="1"/>
  <c r="K839" i="1"/>
  <c r="K840" i="1"/>
  <c r="K841" i="1"/>
  <c r="K842" i="1"/>
  <c r="K843" i="1"/>
  <c r="K844" i="1"/>
  <c r="K845" i="1"/>
  <c r="K846" i="1"/>
  <c r="K847" i="1"/>
  <c r="K848" i="1"/>
  <c r="K849" i="1"/>
  <c r="K850" i="1"/>
  <c r="K851" i="1"/>
  <c r="K852" i="1"/>
  <c r="K853" i="1"/>
  <c r="K854" i="1"/>
  <c r="K855" i="1"/>
  <c r="K856" i="1"/>
  <c r="K857" i="1"/>
  <c r="K858" i="1"/>
  <c r="K859" i="1"/>
  <c r="K860" i="1"/>
  <c r="K861" i="1"/>
  <c r="K862" i="1"/>
  <c r="K863" i="1"/>
  <c r="K864" i="1"/>
  <c r="K865" i="1"/>
  <c r="K866" i="1"/>
  <c r="K867" i="1"/>
  <c r="K868" i="1"/>
  <c r="K869" i="1"/>
  <c r="K870" i="1"/>
  <c r="K871" i="1"/>
  <c r="K872" i="1"/>
  <c r="K873" i="1"/>
  <c r="K874" i="1"/>
  <c r="K875" i="1"/>
  <c r="K876" i="1"/>
  <c r="K877" i="1"/>
  <c r="K878" i="1"/>
  <c r="K879" i="1"/>
  <c r="K880" i="1"/>
  <c r="K881" i="1"/>
  <c r="K882" i="1"/>
  <c r="K883" i="1"/>
  <c r="K884" i="1"/>
  <c r="K885" i="1"/>
  <c r="K886" i="1"/>
  <c r="K887" i="1"/>
  <c r="K888" i="1"/>
  <c r="K889" i="1"/>
  <c r="K890" i="1"/>
  <c r="K891" i="1"/>
  <c r="K892" i="1"/>
  <c r="K893" i="1"/>
  <c r="K894" i="1"/>
  <c r="K895" i="1"/>
  <c r="K896" i="1"/>
  <c r="K897" i="1"/>
  <c r="K898" i="1"/>
  <c r="K899" i="1"/>
  <c r="K900" i="1"/>
  <c r="K901" i="1"/>
  <c r="K902" i="1"/>
  <c r="K903" i="1"/>
  <c r="K904" i="1"/>
  <c r="K905" i="1"/>
  <c r="K906" i="1"/>
  <c r="K907" i="1"/>
  <c r="K908" i="1"/>
  <c r="K909" i="1"/>
  <c r="K910" i="1"/>
  <c r="K911" i="1"/>
  <c r="K912" i="1"/>
  <c r="K913" i="1"/>
  <c r="K914" i="1"/>
  <c r="K915" i="1"/>
  <c r="K916" i="1"/>
  <c r="K917" i="1"/>
  <c r="K918" i="1"/>
  <c r="K919" i="1"/>
  <c r="K920" i="1"/>
  <c r="K921" i="1"/>
  <c r="K922" i="1"/>
  <c r="K923" i="1"/>
  <c r="K924" i="1"/>
  <c r="K925" i="1"/>
  <c r="K926" i="1"/>
  <c r="K927" i="1"/>
  <c r="K928" i="1"/>
  <c r="K929" i="1"/>
  <c r="K930" i="1"/>
  <c r="K931" i="1"/>
  <c r="K932" i="1"/>
  <c r="K933" i="1"/>
  <c r="K934" i="1"/>
  <c r="K935" i="1"/>
  <c r="K936" i="1"/>
  <c r="K937" i="1"/>
  <c r="K938" i="1"/>
  <c r="K939" i="1"/>
  <c r="K940" i="1"/>
  <c r="K941" i="1"/>
  <c r="K942" i="1"/>
  <c r="K943" i="1"/>
  <c r="K944" i="1"/>
  <c r="K945" i="1"/>
  <c r="K946" i="1"/>
  <c r="K947" i="1"/>
  <c r="K948" i="1"/>
  <c r="K949" i="1"/>
  <c r="K950" i="1"/>
  <c r="K951" i="1"/>
  <c r="K952" i="1"/>
  <c r="K953" i="1"/>
  <c r="K954" i="1"/>
  <c r="K955" i="1"/>
  <c r="K956" i="1"/>
  <c r="K957" i="1"/>
  <c r="K958" i="1"/>
  <c r="K959" i="1"/>
  <c r="K960" i="1"/>
  <c r="K961" i="1"/>
  <c r="K962" i="1"/>
  <c r="K963" i="1"/>
  <c r="K964" i="1"/>
  <c r="K965" i="1"/>
  <c r="K966" i="1"/>
  <c r="K967" i="1"/>
  <c r="K968" i="1"/>
  <c r="K969" i="1"/>
  <c r="K970" i="1"/>
  <c r="K971" i="1"/>
  <c r="K972" i="1"/>
  <c r="K973" i="1"/>
  <c r="K974" i="1"/>
  <c r="K975" i="1"/>
  <c r="K976" i="1"/>
  <c r="K977" i="1"/>
  <c r="K978" i="1"/>
  <c r="K979" i="1"/>
  <c r="K980" i="1"/>
  <c r="K981" i="1"/>
  <c r="K982" i="1"/>
  <c r="K983" i="1"/>
  <c r="K984" i="1"/>
  <c r="K985" i="1"/>
  <c r="K986" i="1"/>
  <c r="K987" i="1"/>
  <c r="K988" i="1"/>
  <c r="K989" i="1"/>
  <c r="K990" i="1"/>
  <c r="K991" i="1"/>
  <c r="K992" i="1"/>
  <c r="K993" i="1"/>
  <c r="K994" i="1"/>
  <c r="K995" i="1"/>
  <c r="K996" i="1"/>
  <c r="K997" i="1"/>
  <c r="K998" i="1"/>
  <c r="K999" i="1"/>
  <c r="K1000" i="1"/>
  <c r="K1001" i="1"/>
  <c r="V3" i="1"/>
  <c r="V4" i="1"/>
  <c r="V5" i="1"/>
  <c r="V6" i="1"/>
  <c r="V7" i="1"/>
  <c r="V8" i="1"/>
  <c r="V9" i="1"/>
  <c r="V10" i="1"/>
  <c r="V11" i="1"/>
  <c r="V12" i="1"/>
  <c r="V13" i="1"/>
  <c r="V14" i="1"/>
  <c r="V15" i="1"/>
  <c r="V16" i="1"/>
  <c r="V17" i="1"/>
  <c r="V18" i="1"/>
  <c r="V19" i="1"/>
  <c r="V20" i="1"/>
  <c r="V21" i="1"/>
  <c r="V22" i="1"/>
  <c r="V23" i="1"/>
  <c r="V24" i="1"/>
  <c r="V25" i="1"/>
  <c r="V26" i="1"/>
  <c r="V27" i="1"/>
  <c r="V28" i="1"/>
  <c r="V29" i="1"/>
  <c r="V30" i="1"/>
  <c r="V31" i="1"/>
  <c r="V32" i="1"/>
  <c r="V33" i="1"/>
  <c r="V34" i="1"/>
  <c r="V35" i="1"/>
  <c r="V36" i="1"/>
  <c r="V37" i="1"/>
  <c r="V38" i="1"/>
  <c r="V39" i="1"/>
  <c r="V40" i="1"/>
  <c r="V41" i="1"/>
  <c r="V42" i="1"/>
  <c r="V43" i="1"/>
  <c r="V44" i="1"/>
  <c r="V45" i="1"/>
  <c r="V46" i="1"/>
  <c r="V47" i="1"/>
  <c r="V48" i="1"/>
  <c r="V49" i="1"/>
  <c r="V50" i="1"/>
  <c r="V51" i="1"/>
  <c r="V52" i="1"/>
  <c r="V53" i="1"/>
  <c r="V54" i="1"/>
  <c r="V55" i="1"/>
  <c r="V56" i="1"/>
  <c r="V57" i="1"/>
  <c r="V58" i="1"/>
  <c r="V59" i="1"/>
  <c r="V60" i="1"/>
  <c r="V61" i="1"/>
  <c r="V62" i="1"/>
  <c r="V63" i="1"/>
  <c r="V64" i="1"/>
  <c r="V65" i="1"/>
  <c r="V66" i="1"/>
  <c r="V67" i="1"/>
  <c r="V68" i="1"/>
  <c r="V69" i="1"/>
  <c r="V70" i="1"/>
  <c r="V71" i="1"/>
  <c r="V72" i="1"/>
  <c r="V73" i="1"/>
  <c r="V74" i="1"/>
  <c r="V75" i="1"/>
  <c r="V76" i="1"/>
  <c r="V77" i="1"/>
  <c r="V78" i="1"/>
  <c r="V79" i="1"/>
  <c r="V80" i="1"/>
  <c r="V81" i="1"/>
  <c r="V82" i="1"/>
  <c r="V83" i="1"/>
  <c r="V84" i="1"/>
  <c r="V85" i="1"/>
  <c r="V86" i="1"/>
  <c r="V87" i="1"/>
  <c r="V88" i="1"/>
  <c r="V89" i="1"/>
  <c r="V90" i="1"/>
  <c r="V91" i="1"/>
  <c r="V92" i="1"/>
  <c r="V93" i="1"/>
  <c r="V94" i="1"/>
  <c r="V95" i="1"/>
  <c r="V96" i="1"/>
  <c r="V97" i="1"/>
  <c r="V98" i="1"/>
  <c r="V99" i="1"/>
  <c r="V100" i="1"/>
  <c r="V101" i="1"/>
  <c r="V102" i="1"/>
  <c r="V103" i="1"/>
  <c r="V104" i="1"/>
  <c r="V105" i="1"/>
  <c r="V106" i="1"/>
  <c r="V107" i="1"/>
  <c r="V108" i="1"/>
  <c r="V109" i="1"/>
  <c r="V110" i="1"/>
  <c r="V111" i="1"/>
  <c r="V112" i="1"/>
  <c r="V113" i="1"/>
  <c r="V114" i="1"/>
  <c r="V115" i="1"/>
  <c r="V116" i="1"/>
  <c r="V117" i="1"/>
  <c r="V118" i="1"/>
  <c r="V119" i="1"/>
  <c r="V120" i="1"/>
  <c r="V121" i="1"/>
  <c r="V122" i="1"/>
  <c r="V123" i="1"/>
  <c r="V124" i="1"/>
  <c r="V125" i="1"/>
  <c r="V126" i="1"/>
  <c r="V127" i="1"/>
  <c r="V128" i="1"/>
  <c r="V129" i="1"/>
  <c r="V130" i="1"/>
  <c r="V131" i="1"/>
  <c r="V132" i="1"/>
  <c r="V133" i="1"/>
  <c r="V134" i="1"/>
  <c r="V135" i="1"/>
  <c r="V136" i="1"/>
  <c r="V137" i="1"/>
  <c r="V138" i="1"/>
  <c r="V139" i="1"/>
  <c r="V140" i="1"/>
  <c r="V141" i="1"/>
  <c r="V142" i="1"/>
  <c r="V143" i="1"/>
  <c r="V144" i="1"/>
  <c r="V145" i="1"/>
  <c r="V146" i="1"/>
  <c r="V147" i="1"/>
  <c r="V148" i="1"/>
  <c r="V149" i="1"/>
  <c r="V150" i="1"/>
  <c r="V151" i="1"/>
  <c r="V152" i="1"/>
  <c r="V153" i="1"/>
  <c r="V154" i="1"/>
  <c r="V155" i="1"/>
  <c r="V156" i="1"/>
  <c r="V157" i="1"/>
  <c r="V158" i="1"/>
  <c r="V159" i="1"/>
  <c r="V160" i="1"/>
  <c r="V161" i="1"/>
  <c r="V162" i="1"/>
  <c r="V163" i="1"/>
  <c r="V164" i="1"/>
  <c r="V165" i="1"/>
  <c r="V166" i="1"/>
  <c r="V167" i="1"/>
  <c r="V168" i="1"/>
  <c r="V169" i="1"/>
  <c r="V170" i="1"/>
  <c r="V171" i="1"/>
  <c r="V172" i="1"/>
  <c r="V173" i="1"/>
  <c r="V174" i="1"/>
  <c r="V175" i="1"/>
  <c r="V176" i="1"/>
  <c r="V177" i="1"/>
  <c r="V178" i="1"/>
  <c r="V179" i="1"/>
  <c r="V180" i="1"/>
  <c r="V181" i="1"/>
  <c r="V182" i="1"/>
  <c r="V183" i="1"/>
  <c r="V184" i="1"/>
  <c r="V185" i="1"/>
  <c r="V186" i="1"/>
  <c r="V187" i="1"/>
  <c r="V188" i="1"/>
  <c r="V189" i="1"/>
  <c r="V190" i="1"/>
  <c r="V191" i="1"/>
  <c r="V192" i="1"/>
  <c r="V193" i="1"/>
  <c r="V194" i="1"/>
  <c r="V195" i="1"/>
  <c r="V196" i="1"/>
  <c r="V197" i="1"/>
  <c r="V198" i="1"/>
  <c r="V199" i="1"/>
  <c r="V200" i="1"/>
  <c r="V201" i="1"/>
  <c r="V202" i="1"/>
  <c r="V203" i="1"/>
  <c r="V204" i="1"/>
  <c r="V205" i="1"/>
  <c r="V206" i="1"/>
  <c r="V207" i="1"/>
  <c r="V208" i="1"/>
  <c r="V209" i="1"/>
  <c r="V210" i="1"/>
  <c r="V211" i="1"/>
  <c r="V212" i="1"/>
  <c r="V213" i="1"/>
  <c r="V214" i="1"/>
  <c r="V215" i="1"/>
  <c r="V216" i="1"/>
  <c r="V217" i="1"/>
  <c r="V218" i="1"/>
  <c r="V219" i="1"/>
  <c r="V220" i="1"/>
  <c r="V221" i="1"/>
  <c r="V222" i="1"/>
  <c r="V223" i="1"/>
  <c r="V224" i="1"/>
  <c r="V225" i="1"/>
  <c r="V226" i="1"/>
  <c r="V227" i="1"/>
  <c r="V228" i="1"/>
  <c r="V229" i="1"/>
  <c r="V230" i="1"/>
  <c r="V231" i="1"/>
  <c r="V232" i="1"/>
  <c r="V233" i="1"/>
  <c r="V234" i="1"/>
  <c r="V235" i="1"/>
  <c r="V236" i="1"/>
  <c r="V237" i="1"/>
  <c r="V238" i="1"/>
  <c r="V239" i="1"/>
  <c r="V240" i="1"/>
  <c r="V241" i="1"/>
  <c r="V242" i="1"/>
  <c r="V243" i="1"/>
  <c r="V244" i="1"/>
  <c r="V245" i="1"/>
  <c r="V246" i="1"/>
  <c r="V247" i="1"/>
  <c r="V248" i="1"/>
  <c r="V249" i="1"/>
  <c r="V250" i="1"/>
  <c r="V251" i="1"/>
  <c r="V252" i="1"/>
  <c r="V253" i="1"/>
  <c r="V254" i="1"/>
  <c r="V255" i="1"/>
  <c r="V256" i="1"/>
  <c r="V257" i="1"/>
  <c r="V258" i="1"/>
  <c r="V259" i="1"/>
  <c r="V260" i="1"/>
  <c r="V261" i="1"/>
  <c r="V262" i="1"/>
  <c r="V263" i="1"/>
  <c r="V264" i="1"/>
  <c r="V265" i="1"/>
  <c r="V266" i="1"/>
  <c r="V267" i="1"/>
  <c r="V268" i="1"/>
  <c r="V269" i="1"/>
  <c r="V270" i="1"/>
  <c r="V271" i="1"/>
  <c r="V272" i="1"/>
  <c r="V273" i="1"/>
  <c r="V274" i="1"/>
  <c r="V275" i="1"/>
  <c r="V276" i="1"/>
  <c r="V277" i="1"/>
  <c r="V278" i="1"/>
  <c r="V279" i="1"/>
  <c r="V280" i="1"/>
  <c r="V281" i="1"/>
  <c r="V282" i="1"/>
  <c r="V283" i="1"/>
  <c r="V284" i="1"/>
  <c r="V285" i="1"/>
  <c r="V286" i="1"/>
  <c r="V287" i="1"/>
  <c r="V288" i="1"/>
  <c r="V289" i="1"/>
  <c r="V290" i="1"/>
  <c r="V291" i="1"/>
  <c r="V292" i="1"/>
  <c r="V293" i="1"/>
  <c r="V294" i="1"/>
  <c r="V295" i="1"/>
  <c r="V296" i="1"/>
  <c r="V297" i="1"/>
  <c r="V298" i="1"/>
  <c r="V299" i="1"/>
  <c r="V300" i="1"/>
  <c r="V301" i="1"/>
  <c r="V302" i="1"/>
  <c r="V303" i="1"/>
  <c r="V304" i="1"/>
  <c r="V305" i="1"/>
  <c r="V306" i="1"/>
  <c r="V307" i="1"/>
  <c r="V308" i="1"/>
  <c r="V309" i="1"/>
  <c r="V310" i="1"/>
  <c r="V311" i="1"/>
  <c r="V312" i="1"/>
  <c r="V313" i="1"/>
  <c r="V314" i="1"/>
  <c r="V315" i="1"/>
  <c r="V316" i="1"/>
  <c r="V317" i="1"/>
  <c r="V318" i="1"/>
  <c r="V319" i="1"/>
  <c r="V320" i="1"/>
  <c r="V321" i="1"/>
  <c r="V322" i="1"/>
  <c r="V323" i="1"/>
  <c r="V324" i="1"/>
  <c r="V325" i="1"/>
  <c r="V326" i="1"/>
  <c r="V327" i="1"/>
  <c r="V328" i="1"/>
  <c r="V329" i="1"/>
  <c r="V330" i="1"/>
  <c r="V331" i="1"/>
  <c r="V332" i="1"/>
  <c r="V333" i="1"/>
  <c r="V334" i="1"/>
  <c r="V335" i="1"/>
  <c r="V336" i="1"/>
  <c r="V337" i="1"/>
  <c r="V338" i="1"/>
  <c r="V339" i="1"/>
  <c r="V340" i="1"/>
  <c r="V341" i="1"/>
  <c r="V342" i="1"/>
  <c r="V343" i="1"/>
  <c r="V344" i="1"/>
  <c r="V345" i="1"/>
  <c r="V346" i="1"/>
  <c r="V347" i="1"/>
  <c r="V348" i="1"/>
  <c r="V349" i="1"/>
  <c r="V350" i="1"/>
  <c r="V351" i="1"/>
  <c r="V352" i="1"/>
  <c r="V353" i="1"/>
  <c r="V354" i="1"/>
  <c r="V355" i="1"/>
  <c r="V356" i="1"/>
  <c r="V357" i="1"/>
  <c r="V358" i="1"/>
  <c r="V359" i="1"/>
  <c r="V360" i="1"/>
  <c r="V361" i="1"/>
  <c r="V362" i="1"/>
  <c r="V363" i="1"/>
  <c r="V364" i="1"/>
  <c r="V365" i="1"/>
  <c r="V366" i="1"/>
  <c r="V367" i="1"/>
  <c r="V368" i="1"/>
  <c r="V369" i="1"/>
  <c r="V370" i="1"/>
  <c r="V371" i="1"/>
  <c r="V372" i="1"/>
  <c r="V373" i="1"/>
  <c r="V374" i="1"/>
  <c r="V375" i="1"/>
  <c r="V376" i="1"/>
  <c r="V377" i="1"/>
  <c r="V378" i="1"/>
  <c r="V379" i="1"/>
  <c r="V380" i="1"/>
  <c r="V381" i="1"/>
  <c r="V382" i="1"/>
  <c r="V383" i="1"/>
  <c r="V384" i="1"/>
  <c r="V385" i="1"/>
  <c r="V386" i="1"/>
  <c r="V387" i="1"/>
  <c r="V388" i="1"/>
  <c r="V389" i="1"/>
  <c r="V390" i="1"/>
  <c r="V391" i="1"/>
  <c r="V392" i="1"/>
  <c r="V393" i="1"/>
  <c r="V394" i="1"/>
  <c r="V395" i="1"/>
  <c r="V396" i="1"/>
  <c r="V397" i="1"/>
  <c r="V398" i="1"/>
  <c r="V399" i="1"/>
  <c r="V400" i="1"/>
  <c r="V401" i="1"/>
  <c r="V402" i="1"/>
  <c r="V403" i="1"/>
  <c r="V404" i="1"/>
  <c r="V405" i="1"/>
  <c r="V406" i="1"/>
  <c r="V407" i="1"/>
  <c r="V408" i="1"/>
  <c r="V409" i="1"/>
  <c r="V410" i="1"/>
  <c r="V411" i="1"/>
  <c r="V412" i="1"/>
  <c r="V413" i="1"/>
  <c r="V414" i="1"/>
  <c r="V415" i="1"/>
  <c r="V416" i="1"/>
  <c r="V417" i="1"/>
  <c r="V418" i="1"/>
  <c r="V419" i="1"/>
  <c r="V420" i="1"/>
  <c r="V421" i="1"/>
  <c r="V422" i="1"/>
  <c r="V423" i="1"/>
  <c r="V424" i="1"/>
  <c r="V425" i="1"/>
  <c r="V426" i="1"/>
  <c r="V427" i="1"/>
  <c r="V428" i="1"/>
  <c r="V429" i="1"/>
  <c r="V430" i="1"/>
  <c r="V431" i="1"/>
  <c r="V432" i="1"/>
  <c r="V433" i="1"/>
  <c r="V434" i="1"/>
  <c r="V435" i="1"/>
  <c r="V436" i="1"/>
  <c r="V437" i="1"/>
  <c r="V438" i="1"/>
  <c r="V439" i="1"/>
  <c r="V440" i="1"/>
  <c r="V441" i="1"/>
  <c r="V442" i="1"/>
  <c r="V443" i="1"/>
  <c r="V444" i="1"/>
  <c r="V445" i="1"/>
  <c r="V446" i="1"/>
  <c r="V447" i="1"/>
  <c r="V448" i="1"/>
  <c r="V449" i="1"/>
  <c r="V450" i="1"/>
  <c r="V451" i="1"/>
  <c r="V452" i="1"/>
  <c r="V453" i="1"/>
  <c r="V454" i="1"/>
  <c r="V455" i="1"/>
  <c r="V456" i="1"/>
  <c r="V457" i="1"/>
  <c r="V458" i="1"/>
  <c r="V459" i="1"/>
  <c r="V460" i="1"/>
  <c r="V461" i="1"/>
  <c r="V462" i="1"/>
  <c r="V463" i="1"/>
  <c r="V464" i="1"/>
  <c r="V465" i="1"/>
  <c r="V466" i="1"/>
  <c r="V467" i="1"/>
  <c r="V468" i="1"/>
  <c r="V469" i="1"/>
  <c r="V470" i="1"/>
  <c r="V471" i="1"/>
  <c r="V472" i="1"/>
  <c r="V473" i="1"/>
  <c r="V474" i="1"/>
  <c r="V475" i="1"/>
  <c r="V476" i="1"/>
  <c r="V477" i="1"/>
  <c r="V478" i="1"/>
  <c r="V479" i="1"/>
  <c r="V480" i="1"/>
  <c r="V481" i="1"/>
  <c r="V482" i="1"/>
  <c r="V483" i="1"/>
  <c r="V484" i="1"/>
  <c r="V485" i="1"/>
  <c r="V486" i="1"/>
  <c r="V487" i="1"/>
  <c r="V488" i="1"/>
  <c r="V489" i="1"/>
  <c r="V490" i="1"/>
  <c r="V491" i="1"/>
  <c r="V492" i="1"/>
  <c r="V493" i="1"/>
  <c r="V494" i="1"/>
  <c r="V495" i="1"/>
  <c r="V496" i="1"/>
  <c r="V497" i="1"/>
  <c r="V498" i="1"/>
  <c r="V499" i="1"/>
  <c r="V500" i="1"/>
  <c r="V501" i="1"/>
  <c r="V502" i="1"/>
  <c r="V503" i="1"/>
  <c r="V504" i="1"/>
  <c r="V505" i="1"/>
  <c r="V506" i="1"/>
  <c r="V507" i="1"/>
  <c r="V508" i="1"/>
  <c r="V509" i="1"/>
  <c r="V510" i="1"/>
  <c r="V511" i="1"/>
  <c r="V512" i="1"/>
  <c r="V513" i="1"/>
  <c r="V514" i="1"/>
  <c r="V515" i="1"/>
  <c r="V516" i="1"/>
  <c r="V517" i="1"/>
  <c r="V518" i="1"/>
  <c r="V519" i="1"/>
  <c r="V520" i="1"/>
  <c r="V521" i="1"/>
  <c r="V522" i="1"/>
  <c r="V523" i="1"/>
  <c r="V524" i="1"/>
  <c r="V525" i="1"/>
  <c r="V526" i="1"/>
  <c r="V527" i="1"/>
  <c r="V528" i="1"/>
  <c r="V529" i="1"/>
  <c r="V530" i="1"/>
  <c r="V531" i="1"/>
  <c r="V532" i="1"/>
  <c r="V533" i="1"/>
  <c r="V534" i="1"/>
  <c r="V535" i="1"/>
  <c r="V536" i="1"/>
  <c r="V537" i="1"/>
  <c r="V538" i="1"/>
  <c r="V539" i="1"/>
  <c r="V540" i="1"/>
  <c r="V541" i="1"/>
  <c r="V542" i="1"/>
  <c r="V543" i="1"/>
  <c r="V544" i="1"/>
  <c r="V545" i="1"/>
  <c r="V546" i="1"/>
  <c r="V547" i="1"/>
  <c r="V548" i="1"/>
  <c r="V549" i="1"/>
  <c r="V550" i="1"/>
  <c r="V551" i="1"/>
  <c r="V552" i="1"/>
  <c r="V553" i="1"/>
  <c r="V554" i="1"/>
  <c r="V555" i="1"/>
  <c r="V556" i="1"/>
  <c r="V557" i="1"/>
  <c r="V558" i="1"/>
  <c r="V559" i="1"/>
  <c r="V560" i="1"/>
  <c r="V561" i="1"/>
  <c r="V562" i="1"/>
  <c r="V563" i="1"/>
  <c r="V564" i="1"/>
  <c r="V565" i="1"/>
  <c r="V566" i="1"/>
  <c r="V567" i="1"/>
  <c r="V568" i="1"/>
  <c r="V569" i="1"/>
  <c r="V570" i="1"/>
  <c r="V571" i="1"/>
  <c r="V572" i="1"/>
  <c r="V573" i="1"/>
  <c r="V574" i="1"/>
  <c r="V575" i="1"/>
  <c r="V576" i="1"/>
  <c r="V577" i="1"/>
  <c r="V578" i="1"/>
  <c r="V579" i="1"/>
  <c r="V580" i="1"/>
  <c r="V581" i="1"/>
  <c r="V582" i="1"/>
  <c r="V583" i="1"/>
  <c r="V584" i="1"/>
  <c r="V585" i="1"/>
  <c r="V586" i="1"/>
  <c r="V587" i="1"/>
  <c r="V588" i="1"/>
  <c r="V589" i="1"/>
  <c r="V590" i="1"/>
  <c r="V591" i="1"/>
  <c r="V592" i="1"/>
  <c r="V593" i="1"/>
  <c r="V594" i="1"/>
  <c r="V595" i="1"/>
  <c r="V596" i="1"/>
  <c r="V597" i="1"/>
  <c r="V598" i="1"/>
  <c r="V599" i="1"/>
  <c r="V600" i="1"/>
  <c r="V601" i="1"/>
  <c r="V602" i="1"/>
  <c r="V603" i="1"/>
  <c r="V604" i="1"/>
  <c r="V605" i="1"/>
  <c r="V606" i="1"/>
  <c r="V607" i="1"/>
  <c r="V608" i="1"/>
  <c r="V609" i="1"/>
  <c r="V610" i="1"/>
  <c r="V611" i="1"/>
  <c r="V612" i="1"/>
  <c r="V613" i="1"/>
  <c r="V614" i="1"/>
  <c r="V615" i="1"/>
  <c r="V616" i="1"/>
  <c r="V617" i="1"/>
  <c r="V618" i="1"/>
  <c r="V619" i="1"/>
  <c r="V620" i="1"/>
  <c r="V621" i="1"/>
  <c r="V622" i="1"/>
  <c r="V623" i="1"/>
  <c r="V624" i="1"/>
  <c r="V625" i="1"/>
  <c r="V626" i="1"/>
  <c r="V627" i="1"/>
  <c r="V628" i="1"/>
  <c r="V629" i="1"/>
  <c r="V630" i="1"/>
  <c r="V631" i="1"/>
  <c r="V632" i="1"/>
  <c r="V633" i="1"/>
  <c r="V634" i="1"/>
  <c r="V635" i="1"/>
  <c r="V636" i="1"/>
  <c r="V637" i="1"/>
  <c r="V638" i="1"/>
  <c r="V639" i="1"/>
  <c r="V640" i="1"/>
  <c r="V641" i="1"/>
  <c r="V642" i="1"/>
  <c r="V643" i="1"/>
  <c r="V644" i="1"/>
  <c r="V645" i="1"/>
  <c r="V646" i="1"/>
  <c r="V647" i="1"/>
  <c r="V648" i="1"/>
  <c r="V649" i="1"/>
  <c r="V650" i="1"/>
  <c r="V651" i="1"/>
  <c r="V652" i="1"/>
  <c r="V653" i="1"/>
  <c r="V654" i="1"/>
  <c r="V655" i="1"/>
  <c r="V656" i="1"/>
  <c r="V657" i="1"/>
  <c r="V658" i="1"/>
  <c r="V659" i="1"/>
  <c r="V660" i="1"/>
  <c r="V661" i="1"/>
  <c r="V662" i="1"/>
  <c r="V663" i="1"/>
  <c r="V664" i="1"/>
  <c r="V665" i="1"/>
  <c r="V666" i="1"/>
  <c r="V667" i="1"/>
  <c r="V668" i="1"/>
  <c r="V669" i="1"/>
  <c r="V670" i="1"/>
  <c r="V671" i="1"/>
  <c r="V672" i="1"/>
  <c r="V673" i="1"/>
  <c r="V674" i="1"/>
  <c r="V675" i="1"/>
  <c r="V676" i="1"/>
  <c r="V677" i="1"/>
  <c r="V678" i="1"/>
  <c r="V679" i="1"/>
  <c r="V680" i="1"/>
  <c r="V681" i="1"/>
  <c r="V682" i="1"/>
  <c r="V683" i="1"/>
  <c r="V684" i="1"/>
  <c r="V685" i="1"/>
  <c r="V686" i="1"/>
  <c r="V687" i="1"/>
  <c r="V688" i="1"/>
  <c r="V689" i="1"/>
  <c r="V690" i="1"/>
  <c r="V691" i="1"/>
  <c r="V692" i="1"/>
  <c r="V693" i="1"/>
  <c r="V694" i="1"/>
  <c r="V695" i="1"/>
  <c r="V696" i="1"/>
  <c r="V697" i="1"/>
  <c r="V698" i="1"/>
  <c r="V699" i="1"/>
  <c r="V700" i="1"/>
  <c r="V701" i="1"/>
  <c r="V702" i="1"/>
  <c r="V703" i="1"/>
  <c r="V704" i="1"/>
  <c r="V705" i="1"/>
  <c r="V706" i="1"/>
  <c r="V707" i="1"/>
  <c r="V708" i="1"/>
  <c r="V709" i="1"/>
  <c r="V710" i="1"/>
  <c r="V711" i="1"/>
  <c r="V712" i="1"/>
  <c r="V713" i="1"/>
  <c r="V714" i="1"/>
  <c r="V715" i="1"/>
  <c r="V716" i="1"/>
  <c r="V717" i="1"/>
  <c r="V718" i="1"/>
  <c r="V719" i="1"/>
  <c r="V720" i="1"/>
  <c r="V721" i="1"/>
  <c r="V722" i="1"/>
  <c r="V723" i="1"/>
  <c r="V724" i="1"/>
  <c r="V725" i="1"/>
  <c r="V726" i="1"/>
  <c r="V727" i="1"/>
  <c r="V728" i="1"/>
  <c r="V729" i="1"/>
  <c r="V730" i="1"/>
  <c r="V731" i="1"/>
  <c r="V732" i="1"/>
  <c r="V733" i="1"/>
  <c r="V734" i="1"/>
  <c r="V735" i="1"/>
  <c r="V736" i="1"/>
  <c r="V737" i="1"/>
  <c r="V738" i="1"/>
  <c r="V739" i="1"/>
  <c r="V740" i="1"/>
  <c r="V741" i="1"/>
  <c r="V742" i="1"/>
  <c r="V743" i="1"/>
  <c r="V744" i="1"/>
  <c r="V745" i="1"/>
  <c r="V746" i="1"/>
  <c r="V747" i="1"/>
  <c r="V748" i="1"/>
  <c r="V749" i="1"/>
  <c r="V750" i="1"/>
  <c r="V751" i="1"/>
  <c r="V752" i="1"/>
  <c r="V753" i="1"/>
  <c r="V754" i="1"/>
  <c r="V755" i="1"/>
  <c r="V756" i="1"/>
  <c r="V757" i="1"/>
  <c r="V758" i="1"/>
  <c r="V759" i="1"/>
  <c r="V760" i="1"/>
  <c r="V761" i="1"/>
  <c r="V762" i="1"/>
  <c r="V763" i="1"/>
  <c r="V764" i="1"/>
  <c r="V765" i="1"/>
  <c r="V766" i="1"/>
  <c r="V767" i="1"/>
  <c r="V768" i="1"/>
  <c r="V769" i="1"/>
  <c r="V770" i="1"/>
  <c r="V771" i="1"/>
  <c r="V772" i="1"/>
  <c r="V773" i="1"/>
  <c r="V774" i="1"/>
  <c r="V775" i="1"/>
  <c r="V776" i="1"/>
  <c r="V777" i="1"/>
  <c r="V778" i="1"/>
  <c r="V779" i="1"/>
  <c r="V780" i="1"/>
  <c r="V781" i="1"/>
  <c r="V782" i="1"/>
  <c r="V783" i="1"/>
  <c r="V784" i="1"/>
  <c r="V785" i="1"/>
  <c r="V786" i="1"/>
  <c r="V787" i="1"/>
  <c r="V788" i="1"/>
  <c r="V789" i="1"/>
  <c r="V790" i="1"/>
  <c r="V791" i="1"/>
  <c r="V792" i="1"/>
  <c r="V793" i="1"/>
  <c r="V794" i="1"/>
  <c r="V795" i="1"/>
  <c r="V796" i="1"/>
  <c r="V797" i="1"/>
  <c r="V798" i="1"/>
  <c r="V799" i="1"/>
  <c r="V800" i="1"/>
  <c r="V801" i="1"/>
  <c r="V802" i="1"/>
  <c r="V803" i="1"/>
  <c r="V804" i="1"/>
  <c r="V805" i="1"/>
  <c r="V806" i="1"/>
  <c r="V807" i="1"/>
  <c r="V808" i="1"/>
  <c r="V809" i="1"/>
  <c r="V810" i="1"/>
  <c r="V811" i="1"/>
  <c r="V812" i="1"/>
  <c r="V813" i="1"/>
  <c r="V814" i="1"/>
  <c r="V815" i="1"/>
  <c r="V816" i="1"/>
  <c r="V817" i="1"/>
  <c r="V818" i="1"/>
  <c r="V819" i="1"/>
  <c r="V820" i="1"/>
  <c r="V821" i="1"/>
  <c r="V822" i="1"/>
  <c r="V823" i="1"/>
  <c r="V824" i="1"/>
  <c r="V825" i="1"/>
  <c r="V826" i="1"/>
  <c r="V827" i="1"/>
  <c r="V828" i="1"/>
  <c r="V829" i="1"/>
  <c r="V830" i="1"/>
  <c r="V831" i="1"/>
  <c r="V832" i="1"/>
  <c r="V833" i="1"/>
  <c r="V834" i="1"/>
  <c r="V835" i="1"/>
  <c r="V836" i="1"/>
  <c r="V837" i="1"/>
  <c r="V838" i="1"/>
  <c r="V839" i="1"/>
  <c r="V840" i="1"/>
  <c r="V841" i="1"/>
  <c r="V842" i="1"/>
  <c r="V843" i="1"/>
  <c r="V844" i="1"/>
  <c r="V845" i="1"/>
  <c r="V846" i="1"/>
  <c r="V847" i="1"/>
  <c r="V848" i="1"/>
  <c r="V849" i="1"/>
  <c r="V850" i="1"/>
  <c r="V851" i="1"/>
  <c r="V852" i="1"/>
  <c r="V853" i="1"/>
  <c r="V854" i="1"/>
  <c r="V855" i="1"/>
  <c r="V856" i="1"/>
  <c r="V857" i="1"/>
  <c r="V858" i="1"/>
  <c r="V859" i="1"/>
  <c r="V860" i="1"/>
  <c r="V861" i="1"/>
  <c r="V862" i="1"/>
  <c r="V863" i="1"/>
  <c r="V864" i="1"/>
  <c r="V865" i="1"/>
  <c r="V866" i="1"/>
  <c r="V867" i="1"/>
  <c r="V868" i="1"/>
  <c r="V869" i="1"/>
  <c r="V870" i="1"/>
  <c r="V871" i="1"/>
  <c r="V872" i="1"/>
  <c r="V873" i="1"/>
  <c r="V874" i="1"/>
  <c r="V875" i="1"/>
  <c r="V876" i="1"/>
  <c r="V877" i="1"/>
  <c r="V878" i="1"/>
  <c r="V879" i="1"/>
  <c r="V880" i="1"/>
  <c r="V881" i="1"/>
  <c r="V882" i="1"/>
  <c r="V883" i="1"/>
  <c r="V884" i="1"/>
  <c r="V885" i="1"/>
  <c r="V886" i="1"/>
  <c r="V887" i="1"/>
  <c r="V888" i="1"/>
  <c r="V889" i="1"/>
  <c r="V890" i="1"/>
  <c r="V891" i="1"/>
  <c r="V892" i="1"/>
  <c r="V893" i="1"/>
  <c r="V894" i="1"/>
  <c r="V895" i="1"/>
  <c r="V896" i="1"/>
  <c r="V897" i="1"/>
  <c r="V898" i="1"/>
  <c r="V899" i="1"/>
  <c r="V900" i="1"/>
  <c r="V901" i="1"/>
  <c r="V902" i="1"/>
  <c r="V903" i="1"/>
  <c r="V904" i="1"/>
  <c r="V905" i="1"/>
  <c r="V906" i="1"/>
  <c r="V907" i="1"/>
  <c r="V908" i="1"/>
  <c r="V909" i="1"/>
  <c r="V910" i="1"/>
  <c r="V911" i="1"/>
  <c r="V912" i="1"/>
  <c r="V913" i="1"/>
  <c r="V914" i="1"/>
  <c r="V915" i="1"/>
  <c r="V916" i="1"/>
  <c r="V917" i="1"/>
  <c r="V918" i="1"/>
  <c r="V919" i="1"/>
  <c r="V920" i="1"/>
  <c r="V921" i="1"/>
  <c r="V922" i="1"/>
  <c r="V923" i="1"/>
  <c r="V924" i="1"/>
  <c r="V925" i="1"/>
  <c r="V926" i="1"/>
  <c r="V927" i="1"/>
  <c r="V928" i="1"/>
  <c r="V929" i="1"/>
  <c r="V930" i="1"/>
  <c r="V931" i="1"/>
  <c r="V932" i="1"/>
  <c r="V933" i="1"/>
  <c r="V934" i="1"/>
  <c r="V935" i="1"/>
  <c r="V936" i="1"/>
  <c r="V937" i="1"/>
  <c r="V938" i="1"/>
  <c r="V939" i="1"/>
  <c r="V940" i="1"/>
  <c r="V941" i="1"/>
  <c r="V942" i="1"/>
  <c r="V943" i="1"/>
  <c r="V944" i="1"/>
  <c r="V945" i="1"/>
  <c r="V946" i="1"/>
  <c r="V947" i="1"/>
  <c r="V948" i="1"/>
  <c r="V949" i="1"/>
  <c r="V950" i="1"/>
  <c r="V951" i="1"/>
  <c r="V952" i="1"/>
  <c r="V953" i="1"/>
  <c r="V954" i="1"/>
  <c r="V955" i="1"/>
  <c r="V956" i="1"/>
  <c r="V957" i="1"/>
  <c r="V958" i="1"/>
  <c r="V959" i="1"/>
  <c r="V960" i="1"/>
  <c r="V961" i="1"/>
  <c r="V962" i="1"/>
  <c r="V963" i="1"/>
  <c r="V964" i="1"/>
  <c r="V965" i="1"/>
  <c r="V966" i="1"/>
  <c r="V967" i="1"/>
  <c r="V968" i="1"/>
  <c r="V969" i="1"/>
  <c r="V970" i="1"/>
  <c r="V971" i="1"/>
  <c r="V972" i="1"/>
  <c r="V973" i="1"/>
  <c r="V974" i="1"/>
  <c r="V975" i="1"/>
  <c r="V976" i="1"/>
  <c r="V977" i="1"/>
  <c r="V978" i="1"/>
  <c r="V979" i="1"/>
  <c r="V980" i="1"/>
  <c r="V981" i="1"/>
  <c r="V982" i="1"/>
  <c r="V983" i="1"/>
  <c r="V984" i="1"/>
  <c r="V985" i="1"/>
  <c r="V986" i="1"/>
  <c r="V987" i="1"/>
  <c r="V989" i="1"/>
  <c r="V990" i="1"/>
  <c r="V991" i="1"/>
  <c r="V992" i="1"/>
  <c r="V993" i="1"/>
  <c r="V994" i="1"/>
  <c r="V995" i="1"/>
  <c r="V996" i="1"/>
  <c r="V997" i="1"/>
  <c r="V998" i="1"/>
  <c r="V999" i="1"/>
  <c r="V1000" i="1"/>
  <c r="V1001" i="1"/>
  <c r="D6" i="12"/>
  <c r="C6" i="12"/>
  <c r="D2" i="12"/>
  <c r="C2" i="12"/>
  <c r="C9" i="12"/>
  <c r="Q2" i="1"/>
  <c r="B2" i="11" s="1"/>
  <c r="U3" i="1"/>
  <c r="U4" i="1"/>
  <c r="U5" i="1"/>
  <c r="U6" i="1"/>
  <c r="U7" i="1"/>
  <c r="U8" i="1"/>
  <c r="U9" i="1"/>
  <c r="U10" i="1"/>
  <c r="U11" i="1"/>
  <c r="U12" i="1"/>
  <c r="U13" i="1"/>
  <c r="U14" i="1"/>
  <c r="U15" i="1"/>
  <c r="U16" i="1"/>
  <c r="U17" i="1"/>
  <c r="U18" i="1"/>
  <c r="U19" i="1"/>
  <c r="U20" i="1"/>
  <c r="U21" i="1"/>
  <c r="U22" i="1"/>
  <c r="U23" i="1"/>
  <c r="U24" i="1"/>
  <c r="U25" i="1"/>
  <c r="U26" i="1"/>
  <c r="U27" i="1"/>
  <c r="U28" i="1"/>
  <c r="U29" i="1"/>
  <c r="U30" i="1"/>
  <c r="U31" i="1"/>
  <c r="U32" i="1"/>
  <c r="U33" i="1"/>
  <c r="U34" i="1"/>
  <c r="U35" i="1"/>
  <c r="U36" i="1"/>
  <c r="U37" i="1"/>
  <c r="U38" i="1"/>
  <c r="U39" i="1"/>
  <c r="U40" i="1"/>
  <c r="U41" i="1"/>
  <c r="U42" i="1"/>
  <c r="U43" i="1"/>
  <c r="U44" i="1"/>
  <c r="U45" i="1"/>
  <c r="U46" i="1"/>
  <c r="U47" i="1"/>
  <c r="U48" i="1"/>
  <c r="U49" i="1"/>
  <c r="U50" i="1"/>
  <c r="U51" i="1"/>
  <c r="U52" i="1"/>
  <c r="U53" i="1"/>
  <c r="U54" i="1"/>
  <c r="U55" i="1"/>
  <c r="U56" i="1"/>
  <c r="U57" i="1"/>
  <c r="U58" i="1"/>
  <c r="U59" i="1"/>
  <c r="U60" i="1"/>
  <c r="U61" i="1"/>
  <c r="U62" i="1"/>
  <c r="U63" i="1"/>
  <c r="U64" i="1"/>
  <c r="U65" i="1"/>
  <c r="U66" i="1"/>
  <c r="U67" i="1"/>
  <c r="U68" i="1"/>
  <c r="U69" i="1"/>
  <c r="U70" i="1"/>
  <c r="U71" i="1"/>
  <c r="U72" i="1"/>
  <c r="U73" i="1"/>
  <c r="U74" i="1"/>
  <c r="U75" i="1"/>
  <c r="U76" i="1"/>
  <c r="U77" i="1"/>
  <c r="U78" i="1"/>
  <c r="U79" i="1"/>
  <c r="U80" i="1"/>
  <c r="U81" i="1"/>
  <c r="U82" i="1"/>
  <c r="U83" i="1"/>
  <c r="U84" i="1"/>
  <c r="U85" i="1"/>
  <c r="U86" i="1"/>
  <c r="U87" i="1"/>
  <c r="U88" i="1"/>
  <c r="U89" i="1"/>
  <c r="U90" i="1"/>
  <c r="U91" i="1"/>
  <c r="U92" i="1"/>
  <c r="U93" i="1"/>
  <c r="U94" i="1"/>
  <c r="U95" i="1"/>
  <c r="U96" i="1"/>
  <c r="U97" i="1"/>
  <c r="U98" i="1"/>
  <c r="U99" i="1"/>
  <c r="U100" i="1"/>
  <c r="U101" i="1"/>
  <c r="U102" i="1"/>
  <c r="U103" i="1"/>
  <c r="U104" i="1"/>
  <c r="U105" i="1"/>
  <c r="U106" i="1"/>
  <c r="U107" i="1"/>
  <c r="U108" i="1"/>
  <c r="U109" i="1"/>
  <c r="U110" i="1"/>
  <c r="U111" i="1"/>
  <c r="U112" i="1"/>
  <c r="U113" i="1"/>
  <c r="U114" i="1"/>
  <c r="U115" i="1"/>
  <c r="U116" i="1"/>
  <c r="U117" i="1"/>
  <c r="U118" i="1"/>
  <c r="U119" i="1"/>
  <c r="U120" i="1"/>
  <c r="U121" i="1"/>
  <c r="U122" i="1"/>
  <c r="U123" i="1"/>
  <c r="U124" i="1"/>
  <c r="U125" i="1"/>
  <c r="U126" i="1"/>
  <c r="U127" i="1"/>
  <c r="U128" i="1"/>
  <c r="U129" i="1"/>
  <c r="U130" i="1"/>
  <c r="U131" i="1"/>
  <c r="U132" i="1"/>
  <c r="U133" i="1"/>
  <c r="U134" i="1"/>
  <c r="U135" i="1"/>
  <c r="U136" i="1"/>
  <c r="U137" i="1"/>
  <c r="U138" i="1"/>
  <c r="U139" i="1"/>
  <c r="U140" i="1"/>
  <c r="U141" i="1"/>
  <c r="U142" i="1"/>
  <c r="U143" i="1"/>
  <c r="U144" i="1"/>
  <c r="U145" i="1"/>
  <c r="U146" i="1"/>
  <c r="U147" i="1"/>
  <c r="U148" i="1"/>
  <c r="U149" i="1"/>
  <c r="U150" i="1"/>
  <c r="U151" i="1"/>
  <c r="U152" i="1"/>
  <c r="U153" i="1"/>
  <c r="U154" i="1"/>
  <c r="U155" i="1"/>
  <c r="U156" i="1"/>
  <c r="U157" i="1"/>
  <c r="U158" i="1"/>
  <c r="U159" i="1"/>
  <c r="U160" i="1"/>
  <c r="U161" i="1"/>
  <c r="U162" i="1"/>
  <c r="U163" i="1"/>
  <c r="U164" i="1"/>
  <c r="U165" i="1"/>
  <c r="U166" i="1"/>
  <c r="U167" i="1"/>
  <c r="U168" i="1"/>
  <c r="U169" i="1"/>
  <c r="U170" i="1"/>
  <c r="U171" i="1"/>
  <c r="U172" i="1"/>
  <c r="U173" i="1"/>
  <c r="U174" i="1"/>
  <c r="U175" i="1"/>
  <c r="U176" i="1"/>
  <c r="U177" i="1"/>
  <c r="U178" i="1"/>
  <c r="U179" i="1"/>
  <c r="U180" i="1"/>
  <c r="U181" i="1"/>
  <c r="U182" i="1"/>
  <c r="U183" i="1"/>
  <c r="U184" i="1"/>
  <c r="U185" i="1"/>
  <c r="U186" i="1"/>
  <c r="U187" i="1"/>
  <c r="U188" i="1"/>
  <c r="U189" i="1"/>
  <c r="U190" i="1"/>
  <c r="U191" i="1"/>
  <c r="U192" i="1"/>
  <c r="U193" i="1"/>
  <c r="U194" i="1"/>
  <c r="U195" i="1"/>
  <c r="U196" i="1"/>
  <c r="U197" i="1"/>
  <c r="U198" i="1"/>
  <c r="U199" i="1"/>
  <c r="U200" i="1"/>
  <c r="U201" i="1"/>
  <c r="U202" i="1"/>
  <c r="U203" i="1"/>
  <c r="U204" i="1"/>
  <c r="U205" i="1"/>
  <c r="U206" i="1"/>
  <c r="U207" i="1"/>
  <c r="U208" i="1"/>
  <c r="U209" i="1"/>
  <c r="U210" i="1"/>
  <c r="U211" i="1"/>
  <c r="U212" i="1"/>
  <c r="U213" i="1"/>
  <c r="U214" i="1"/>
  <c r="U215" i="1"/>
  <c r="U216" i="1"/>
  <c r="U217" i="1"/>
  <c r="U218" i="1"/>
  <c r="U219" i="1"/>
  <c r="U220" i="1"/>
  <c r="U221" i="1"/>
  <c r="U222" i="1"/>
  <c r="U223" i="1"/>
  <c r="U224" i="1"/>
  <c r="U225" i="1"/>
  <c r="U226" i="1"/>
  <c r="U227" i="1"/>
  <c r="U228" i="1"/>
  <c r="U229" i="1"/>
  <c r="U230" i="1"/>
  <c r="U231" i="1"/>
  <c r="U232" i="1"/>
  <c r="U233" i="1"/>
  <c r="U234" i="1"/>
  <c r="U235" i="1"/>
  <c r="U236" i="1"/>
  <c r="U237" i="1"/>
  <c r="U238" i="1"/>
  <c r="U239" i="1"/>
  <c r="U240" i="1"/>
  <c r="U241" i="1"/>
  <c r="U242" i="1"/>
  <c r="U243" i="1"/>
  <c r="U244" i="1"/>
  <c r="U245" i="1"/>
  <c r="U246" i="1"/>
  <c r="U247" i="1"/>
  <c r="U248" i="1"/>
  <c r="U249" i="1"/>
  <c r="U250" i="1"/>
  <c r="U251" i="1"/>
  <c r="U252" i="1"/>
  <c r="U253" i="1"/>
  <c r="U254" i="1"/>
  <c r="U255" i="1"/>
  <c r="U256" i="1"/>
  <c r="U257" i="1"/>
  <c r="U258" i="1"/>
  <c r="U259" i="1"/>
  <c r="U260" i="1"/>
  <c r="U261" i="1"/>
  <c r="U262" i="1"/>
  <c r="U263" i="1"/>
  <c r="U264" i="1"/>
  <c r="U265" i="1"/>
  <c r="U266" i="1"/>
  <c r="U267" i="1"/>
  <c r="U268" i="1"/>
  <c r="U269" i="1"/>
  <c r="U270" i="1"/>
  <c r="U271" i="1"/>
  <c r="U272" i="1"/>
  <c r="U273" i="1"/>
  <c r="U274" i="1"/>
  <c r="U275" i="1"/>
  <c r="U276" i="1"/>
  <c r="U277" i="1"/>
  <c r="U278" i="1"/>
  <c r="U279" i="1"/>
  <c r="U280" i="1"/>
  <c r="U281" i="1"/>
  <c r="U282" i="1"/>
  <c r="U283" i="1"/>
  <c r="U284" i="1"/>
  <c r="U285" i="1"/>
  <c r="U286" i="1"/>
  <c r="U287" i="1"/>
  <c r="U288" i="1"/>
  <c r="U289" i="1"/>
  <c r="U290" i="1"/>
  <c r="U291" i="1"/>
  <c r="U292" i="1"/>
  <c r="U293" i="1"/>
  <c r="U294" i="1"/>
  <c r="U295" i="1"/>
  <c r="U296" i="1"/>
  <c r="U297" i="1"/>
  <c r="U298" i="1"/>
  <c r="U299" i="1"/>
  <c r="U300" i="1"/>
  <c r="U301" i="1"/>
  <c r="U302" i="1"/>
  <c r="U303" i="1"/>
  <c r="U304" i="1"/>
  <c r="U305" i="1"/>
  <c r="U306" i="1"/>
  <c r="U307" i="1"/>
  <c r="U308" i="1"/>
  <c r="U309" i="1"/>
  <c r="U310" i="1"/>
  <c r="U311" i="1"/>
  <c r="U312" i="1"/>
  <c r="U313" i="1"/>
  <c r="U314" i="1"/>
  <c r="U315" i="1"/>
  <c r="U316" i="1"/>
  <c r="U317" i="1"/>
  <c r="U318" i="1"/>
  <c r="U319" i="1"/>
  <c r="U320" i="1"/>
  <c r="U321" i="1"/>
  <c r="U322" i="1"/>
  <c r="U323" i="1"/>
  <c r="U324" i="1"/>
  <c r="U325" i="1"/>
  <c r="U326" i="1"/>
  <c r="U327" i="1"/>
  <c r="U328" i="1"/>
  <c r="U329" i="1"/>
  <c r="U330" i="1"/>
  <c r="U331" i="1"/>
  <c r="U332" i="1"/>
  <c r="U333" i="1"/>
  <c r="U334" i="1"/>
  <c r="U335" i="1"/>
  <c r="U336" i="1"/>
  <c r="U337" i="1"/>
  <c r="U338" i="1"/>
  <c r="U339" i="1"/>
  <c r="U340" i="1"/>
  <c r="U341" i="1"/>
  <c r="U342" i="1"/>
  <c r="U343" i="1"/>
  <c r="U344" i="1"/>
  <c r="U345" i="1"/>
  <c r="U346" i="1"/>
  <c r="U347" i="1"/>
  <c r="U348" i="1"/>
  <c r="U349" i="1"/>
  <c r="U350" i="1"/>
  <c r="U351" i="1"/>
  <c r="U352" i="1"/>
  <c r="U353" i="1"/>
  <c r="U354" i="1"/>
  <c r="U355" i="1"/>
  <c r="U356" i="1"/>
  <c r="U357" i="1"/>
  <c r="U358" i="1"/>
  <c r="U359" i="1"/>
  <c r="U360" i="1"/>
  <c r="U361" i="1"/>
  <c r="U362" i="1"/>
  <c r="U363" i="1"/>
  <c r="U364" i="1"/>
  <c r="U365" i="1"/>
  <c r="U366" i="1"/>
  <c r="U367" i="1"/>
  <c r="U368" i="1"/>
  <c r="U369" i="1"/>
  <c r="U370" i="1"/>
  <c r="U371" i="1"/>
  <c r="U372" i="1"/>
  <c r="U373" i="1"/>
  <c r="U374" i="1"/>
  <c r="U375" i="1"/>
  <c r="U376" i="1"/>
  <c r="U377" i="1"/>
  <c r="U378" i="1"/>
  <c r="U379" i="1"/>
  <c r="U380" i="1"/>
  <c r="U381" i="1"/>
  <c r="U382" i="1"/>
  <c r="U383" i="1"/>
  <c r="U384" i="1"/>
  <c r="U385" i="1"/>
  <c r="U386" i="1"/>
  <c r="U387" i="1"/>
  <c r="U388" i="1"/>
  <c r="U389" i="1"/>
  <c r="U390" i="1"/>
  <c r="U391" i="1"/>
  <c r="U392" i="1"/>
  <c r="U393" i="1"/>
  <c r="U394" i="1"/>
  <c r="U395" i="1"/>
  <c r="U396" i="1"/>
  <c r="U397" i="1"/>
  <c r="U398" i="1"/>
  <c r="U399" i="1"/>
  <c r="U400" i="1"/>
  <c r="U401" i="1"/>
  <c r="U402" i="1"/>
  <c r="U403" i="1"/>
  <c r="U404" i="1"/>
  <c r="U405" i="1"/>
  <c r="U406" i="1"/>
  <c r="U407" i="1"/>
  <c r="U408" i="1"/>
  <c r="U409" i="1"/>
  <c r="U410" i="1"/>
  <c r="U411" i="1"/>
  <c r="U412" i="1"/>
  <c r="U413" i="1"/>
  <c r="U414" i="1"/>
  <c r="U415" i="1"/>
  <c r="U416" i="1"/>
  <c r="U417" i="1"/>
  <c r="U418" i="1"/>
  <c r="U419" i="1"/>
  <c r="U420" i="1"/>
  <c r="U421" i="1"/>
  <c r="U422" i="1"/>
  <c r="U423" i="1"/>
  <c r="U424" i="1"/>
  <c r="U425" i="1"/>
  <c r="U426" i="1"/>
  <c r="U427" i="1"/>
  <c r="U428" i="1"/>
  <c r="U429" i="1"/>
  <c r="U430" i="1"/>
  <c r="U431" i="1"/>
  <c r="U432" i="1"/>
  <c r="U433" i="1"/>
  <c r="U434" i="1"/>
  <c r="U435" i="1"/>
  <c r="U436" i="1"/>
  <c r="U437" i="1"/>
  <c r="U438" i="1"/>
  <c r="U439" i="1"/>
  <c r="U440" i="1"/>
  <c r="U441" i="1"/>
  <c r="U442" i="1"/>
  <c r="U443" i="1"/>
  <c r="U444" i="1"/>
  <c r="U445" i="1"/>
  <c r="U446" i="1"/>
  <c r="U447" i="1"/>
  <c r="U448" i="1"/>
  <c r="U449" i="1"/>
  <c r="U450" i="1"/>
  <c r="U451" i="1"/>
  <c r="U452" i="1"/>
  <c r="U453" i="1"/>
  <c r="U454" i="1"/>
  <c r="U455" i="1"/>
  <c r="U456" i="1"/>
  <c r="U457" i="1"/>
  <c r="U458" i="1"/>
  <c r="U459" i="1"/>
  <c r="U460" i="1"/>
  <c r="U461" i="1"/>
  <c r="U462" i="1"/>
  <c r="U463" i="1"/>
  <c r="U464" i="1"/>
  <c r="U465" i="1"/>
  <c r="U466" i="1"/>
  <c r="U467" i="1"/>
  <c r="U468" i="1"/>
  <c r="U469" i="1"/>
  <c r="U470" i="1"/>
  <c r="U471" i="1"/>
  <c r="U472" i="1"/>
  <c r="U473" i="1"/>
  <c r="U474" i="1"/>
  <c r="U475" i="1"/>
  <c r="U476" i="1"/>
  <c r="U477" i="1"/>
  <c r="U478" i="1"/>
  <c r="U479" i="1"/>
  <c r="U480" i="1"/>
  <c r="U481" i="1"/>
  <c r="U482" i="1"/>
  <c r="U483" i="1"/>
  <c r="U484" i="1"/>
  <c r="U485" i="1"/>
  <c r="U486" i="1"/>
  <c r="U487" i="1"/>
  <c r="U488" i="1"/>
  <c r="U489" i="1"/>
  <c r="U490" i="1"/>
  <c r="U491" i="1"/>
  <c r="U492" i="1"/>
  <c r="U493" i="1"/>
  <c r="U494" i="1"/>
  <c r="U495" i="1"/>
  <c r="U496" i="1"/>
  <c r="U497" i="1"/>
  <c r="U498" i="1"/>
  <c r="U499" i="1"/>
  <c r="U500" i="1"/>
  <c r="U501" i="1"/>
  <c r="U502" i="1"/>
  <c r="U503" i="1"/>
  <c r="U504" i="1"/>
  <c r="U505" i="1"/>
  <c r="U506" i="1"/>
  <c r="U507" i="1"/>
  <c r="U508" i="1"/>
  <c r="U509" i="1"/>
  <c r="U510" i="1"/>
  <c r="U511" i="1"/>
  <c r="U512" i="1"/>
  <c r="U513" i="1"/>
  <c r="U514" i="1"/>
  <c r="U515" i="1"/>
  <c r="U516" i="1"/>
  <c r="U517" i="1"/>
  <c r="U518" i="1"/>
  <c r="U519" i="1"/>
  <c r="U520" i="1"/>
  <c r="U521" i="1"/>
  <c r="U522" i="1"/>
  <c r="U523" i="1"/>
  <c r="U524" i="1"/>
  <c r="U525" i="1"/>
  <c r="U526" i="1"/>
  <c r="U527" i="1"/>
  <c r="U528" i="1"/>
  <c r="U529" i="1"/>
  <c r="U530" i="1"/>
  <c r="U531" i="1"/>
  <c r="U532" i="1"/>
  <c r="U533" i="1"/>
  <c r="U534" i="1"/>
  <c r="U535" i="1"/>
  <c r="U536" i="1"/>
  <c r="U537" i="1"/>
  <c r="U538" i="1"/>
  <c r="U539" i="1"/>
  <c r="U540" i="1"/>
  <c r="U541" i="1"/>
  <c r="U542" i="1"/>
  <c r="U543" i="1"/>
  <c r="U544" i="1"/>
  <c r="U545" i="1"/>
  <c r="U546" i="1"/>
  <c r="U547" i="1"/>
  <c r="U548" i="1"/>
  <c r="U549" i="1"/>
  <c r="U550" i="1"/>
  <c r="U551" i="1"/>
  <c r="U552" i="1"/>
  <c r="U553" i="1"/>
  <c r="U554" i="1"/>
  <c r="U555" i="1"/>
  <c r="U556" i="1"/>
  <c r="U557" i="1"/>
  <c r="U558" i="1"/>
  <c r="U559" i="1"/>
  <c r="U560" i="1"/>
  <c r="U561" i="1"/>
  <c r="U562" i="1"/>
  <c r="U563" i="1"/>
  <c r="U564" i="1"/>
  <c r="U565" i="1"/>
  <c r="U566" i="1"/>
  <c r="U567" i="1"/>
  <c r="U568" i="1"/>
  <c r="U569" i="1"/>
  <c r="U570" i="1"/>
  <c r="U571" i="1"/>
  <c r="U572" i="1"/>
  <c r="U573" i="1"/>
  <c r="U574" i="1"/>
  <c r="U575" i="1"/>
  <c r="U576" i="1"/>
  <c r="U577" i="1"/>
  <c r="U578" i="1"/>
  <c r="U579" i="1"/>
  <c r="U580" i="1"/>
  <c r="U581" i="1"/>
  <c r="U582" i="1"/>
  <c r="U583" i="1"/>
  <c r="U584" i="1"/>
  <c r="U585" i="1"/>
  <c r="U586" i="1"/>
  <c r="U587" i="1"/>
  <c r="U588" i="1"/>
  <c r="U589" i="1"/>
  <c r="U590" i="1"/>
  <c r="U591" i="1"/>
  <c r="U592" i="1"/>
  <c r="U593" i="1"/>
  <c r="U594" i="1"/>
  <c r="U595" i="1"/>
  <c r="U596" i="1"/>
  <c r="U597" i="1"/>
  <c r="U598" i="1"/>
  <c r="U599" i="1"/>
  <c r="U600" i="1"/>
  <c r="U601" i="1"/>
  <c r="U602" i="1"/>
  <c r="U603" i="1"/>
  <c r="U604" i="1"/>
  <c r="U605" i="1"/>
  <c r="U606" i="1"/>
  <c r="U607" i="1"/>
  <c r="U608" i="1"/>
  <c r="U609" i="1"/>
  <c r="U610" i="1"/>
  <c r="U611" i="1"/>
  <c r="U612" i="1"/>
  <c r="U613" i="1"/>
  <c r="U614" i="1"/>
  <c r="U615" i="1"/>
  <c r="U616" i="1"/>
  <c r="U617" i="1"/>
  <c r="U618" i="1"/>
  <c r="U619" i="1"/>
  <c r="U620" i="1"/>
  <c r="U621" i="1"/>
  <c r="U622" i="1"/>
  <c r="U623" i="1"/>
  <c r="U624" i="1"/>
  <c r="U625" i="1"/>
  <c r="U626" i="1"/>
  <c r="U627" i="1"/>
  <c r="U628" i="1"/>
  <c r="U629" i="1"/>
  <c r="U630" i="1"/>
  <c r="U631" i="1"/>
  <c r="U632" i="1"/>
  <c r="U633" i="1"/>
  <c r="U634" i="1"/>
  <c r="U635" i="1"/>
  <c r="U636" i="1"/>
  <c r="U637" i="1"/>
  <c r="U638" i="1"/>
  <c r="U639" i="1"/>
  <c r="U640" i="1"/>
  <c r="U641" i="1"/>
  <c r="U642" i="1"/>
  <c r="U643" i="1"/>
  <c r="U644" i="1"/>
  <c r="U645" i="1"/>
  <c r="U646" i="1"/>
  <c r="U647" i="1"/>
  <c r="U648" i="1"/>
  <c r="U649" i="1"/>
  <c r="U650" i="1"/>
  <c r="U651" i="1"/>
  <c r="U652" i="1"/>
  <c r="U653" i="1"/>
  <c r="U654" i="1"/>
  <c r="U655" i="1"/>
  <c r="U656" i="1"/>
  <c r="U657" i="1"/>
  <c r="U658" i="1"/>
  <c r="U659" i="1"/>
  <c r="U660" i="1"/>
  <c r="U661" i="1"/>
  <c r="U662" i="1"/>
  <c r="U663" i="1"/>
  <c r="U664" i="1"/>
  <c r="U665" i="1"/>
  <c r="U666" i="1"/>
  <c r="U667" i="1"/>
  <c r="U668" i="1"/>
  <c r="U669" i="1"/>
  <c r="U670" i="1"/>
  <c r="U671" i="1"/>
  <c r="U672" i="1"/>
  <c r="U673" i="1"/>
  <c r="U674" i="1"/>
  <c r="U675" i="1"/>
  <c r="U676" i="1"/>
  <c r="U677" i="1"/>
  <c r="U678" i="1"/>
  <c r="U679" i="1"/>
  <c r="U680" i="1"/>
  <c r="U681" i="1"/>
  <c r="U682" i="1"/>
  <c r="U683" i="1"/>
  <c r="U684" i="1"/>
  <c r="U685" i="1"/>
  <c r="U686" i="1"/>
  <c r="U687" i="1"/>
  <c r="U688" i="1"/>
  <c r="U689" i="1"/>
  <c r="U690" i="1"/>
  <c r="U691" i="1"/>
  <c r="U692" i="1"/>
  <c r="U693" i="1"/>
  <c r="U694" i="1"/>
  <c r="U695" i="1"/>
  <c r="U696" i="1"/>
  <c r="U697" i="1"/>
  <c r="U698" i="1"/>
  <c r="U699" i="1"/>
  <c r="U700" i="1"/>
  <c r="U701" i="1"/>
  <c r="U702" i="1"/>
  <c r="U703" i="1"/>
  <c r="U704" i="1"/>
  <c r="U705" i="1"/>
  <c r="U706" i="1"/>
  <c r="U707" i="1"/>
  <c r="U708" i="1"/>
  <c r="U709" i="1"/>
  <c r="U710" i="1"/>
  <c r="U711" i="1"/>
  <c r="U712" i="1"/>
  <c r="U713" i="1"/>
  <c r="U714" i="1"/>
  <c r="U715" i="1"/>
  <c r="U716" i="1"/>
  <c r="U717" i="1"/>
  <c r="U718" i="1"/>
  <c r="U719" i="1"/>
  <c r="U720" i="1"/>
  <c r="U721" i="1"/>
  <c r="U722" i="1"/>
  <c r="U723" i="1"/>
  <c r="U724" i="1"/>
  <c r="U725" i="1"/>
  <c r="U726" i="1"/>
  <c r="U727" i="1"/>
  <c r="U728" i="1"/>
  <c r="U729" i="1"/>
  <c r="U730" i="1"/>
  <c r="U731" i="1"/>
  <c r="U732" i="1"/>
  <c r="U733" i="1"/>
  <c r="U734" i="1"/>
  <c r="U735" i="1"/>
  <c r="U736" i="1"/>
  <c r="U737" i="1"/>
  <c r="U738" i="1"/>
  <c r="U739" i="1"/>
  <c r="U740" i="1"/>
  <c r="U741" i="1"/>
  <c r="U742" i="1"/>
  <c r="U743" i="1"/>
  <c r="U744" i="1"/>
  <c r="U745" i="1"/>
  <c r="U746" i="1"/>
  <c r="U747" i="1"/>
  <c r="U748" i="1"/>
  <c r="U749" i="1"/>
  <c r="U750" i="1"/>
  <c r="U751" i="1"/>
  <c r="U752" i="1"/>
  <c r="U753" i="1"/>
  <c r="U754" i="1"/>
  <c r="U755" i="1"/>
  <c r="U756" i="1"/>
  <c r="U757" i="1"/>
  <c r="U758" i="1"/>
  <c r="U759" i="1"/>
  <c r="U760" i="1"/>
  <c r="U761" i="1"/>
  <c r="U762" i="1"/>
  <c r="U763" i="1"/>
  <c r="U764" i="1"/>
  <c r="U765" i="1"/>
  <c r="U766" i="1"/>
  <c r="U767" i="1"/>
  <c r="U768" i="1"/>
  <c r="U769" i="1"/>
  <c r="U770" i="1"/>
  <c r="U771" i="1"/>
  <c r="U772" i="1"/>
  <c r="U773" i="1"/>
  <c r="U774" i="1"/>
  <c r="U775" i="1"/>
  <c r="U776" i="1"/>
  <c r="U777" i="1"/>
  <c r="U778" i="1"/>
  <c r="U779" i="1"/>
  <c r="U780" i="1"/>
  <c r="U781" i="1"/>
  <c r="U782" i="1"/>
  <c r="U783" i="1"/>
  <c r="U784" i="1"/>
  <c r="U785" i="1"/>
  <c r="U786" i="1"/>
  <c r="U787" i="1"/>
  <c r="U788" i="1"/>
  <c r="U789" i="1"/>
  <c r="U790" i="1"/>
  <c r="U791" i="1"/>
  <c r="U792" i="1"/>
  <c r="U793" i="1"/>
  <c r="U794" i="1"/>
  <c r="U795" i="1"/>
  <c r="U796" i="1"/>
  <c r="U797" i="1"/>
  <c r="U798" i="1"/>
  <c r="U799" i="1"/>
  <c r="U800" i="1"/>
  <c r="U801" i="1"/>
  <c r="U802" i="1"/>
  <c r="U803" i="1"/>
  <c r="U804" i="1"/>
  <c r="U805" i="1"/>
  <c r="U806" i="1"/>
  <c r="U807" i="1"/>
  <c r="U808" i="1"/>
  <c r="U809" i="1"/>
  <c r="U810" i="1"/>
  <c r="U811" i="1"/>
  <c r="U812" i="1"/>
  <c r="U813" i="1"/>
  <c r="U814" i="1"/>
  <c r="U815" i="1"/>
  <c r="U816" i="1"/>
  <c r="U817" i="1"/>
  <c r="U818" i="1"/>
  <c r="U819" i="1"/>
  <c r="U820" i="1"/>
  <c r="U821" i="1"/>
  <c r="U822" i="1"/>
  <c r="U823" i="1"/>
  <c r="U824" i="1"/>
  <c r="U825" i="1"/>
  <c r="U826" i="1"/>
  <c r="U827" i="1"/>
  <c r="U828" i="1"/>
  <c r="U829" i="1"/>
  <c r="U830" i="1"/>
  <c r="U831" i="1"/>
  <c r="U832" i="1"/>
  <c r="U833" i="1"/>
  <c r="U834" i="1"/>
  <c r="U835" i="1"/>
  <c r="U836" i="1"/>
  <c r="U837" i="1"/>
  <c r="U838" i="1"/>
  <c r="U839" i="1"/>
  <c r="U840" i="1"/>
  <c r="U841" i="1"/>
  <c r="U842" i="1"/>
  <c r="U843" i="1"/>
  <c r="U844" i="1"/>
  <c r="U845" i="1"/>
  <c r="U846" i="1"/>
  <c r="U847" i="1"/>
  <c r="U848" i="1"/>
  <c r="U849" i="1"/>
  <c r="U850" i="1"/>
  <c r="U851" i="1"/>
  <c r="U852" i="1"/>
  <c r="U853" i="1"/>
  <c r="U854" i="1"/>
  <c r="U855" i="1"/>
  <c r="U856" i="1"/>
  <c r="U857" i="1"/>
  <c r="U858" i="1"/>
  <c r="U859" i="1"/>
  <c r="U860" i="1"/>
  <c r="U861" i="1"/>
  <c r="U862" i="1"/>
  <c r="U863" i="1"/>
  <c r="U864" i="1"/>
  <c r="U865" i="1"/>
  <c r="U866" i="1"/>
  <c r="U867" i="1"/>
  <c r="U868" i="1"/>
  <c r="U869" i="1"/>
  <c r="U870" i="1"/>
  <c r="U871" i="1"/>
  <c r="U872" i="1"/>
  <c r="U873" i="1"/>
  <c r="U874" i="1"/>
  <c r="U875" i="1"/>
  <c r="U876" i="1"/>
  <c r="U877" i="1"/>
  <c r="U878" i="1"/>
  <c r="U879" i="1"/>
  <c r="U880" i="1"/>
  <c r="U881" i="1"/>
  <c r="U882" i="1"/>
  <c r="U883" i="1"/>
  <c r="U884" i="1"/>
  <c r="U885" i="1"/>
  <c r="U886" i="1"/>
  <c r="U887" i="1"/>
  <c r="U888" i="1"/>
  <c r="U889" i="1"/>
  <c r="U890" i="1"/>
  <c r="U891" i="1"/>
  <c r="U892" i="1"/>
  <c r="U893" i="1"/>
  <c r="U894" i="1"/>
  <c r="U895" i="1"/>
  <c r="U896" i="1"/>
  <c r="U897" i="1"/>
  <c r="U898" i="1"/>
  <c r="U899" i="1"/>
  <c r="U900" i="1"/>
  <c r="U901" i="1"/>
  <c r="U902" i="1"/>
  <c r="U903" i="1"/>
  <c r="U904" i="1"/>
  <c r="U905" i="1"/>
  <c r="U906" i="1"/>
  <c r="U907" i="1"/>
  <c r="U908" i="1"/>
  <c r="U909" i="1"/>
  <c r="U910" i="1"/>
  <c r="U911" i="1"/>
  <c r="U912" i="1"/>
  <c r="U913" i="1"/>
  <c r="U914" i="1"/>
  <c r="U915" i="1"/>
  <c r="U916" i="1"/>
  <c r="U917" i="1"/>
  <c r="U918" i="1"/>
  <c r="U919" i="1"/>
  <c r="U920" i="1"/>
  <c r="U921" i="1"/>
  <c r="U922" i="1"/>
  <c r="U923" i="1"/>
  <c r="U924" i="1"/>
  <c r="U925" i="1"/>
  <c r="U926" i="1"/>
  <c r="U927" i="1"/>
  <c r="U928" i="1"/>
  <c r="U929" i="1"/>
  <c r="U930" i="1"/>
  <c r="U931" i="1"/>
  <c r="U932" i="1"/>
  <c r="U933" i="1"/>
  <c r="U934" i="1"/>
  <c r="U935" i="1"/>
  <c r="U936" i="1"/>
  <c r="U937" i="1"/>
  <c r="U938" i="1"/>
  <c r="U939" i="1"/>
  <c r="U940" i="1"/>
  <c r="U941" i="1"/>
  <c r="U942" i="1"/>
  <c r="U943" i="1"/>
  <c r="U944" i="1"/>
  <c r="U945" i="1"/>
  <c r="U946" i="1"/>
  <c r="U947" i="1"/>
  <c r="U948" i="1"/>
  <c r="U949" i="1"/>
  <c r="U950" i="1"/>
  <c r="U951" i="1"/>
  <c r="U952" i="1"/>
  <c r="U953" i="1"/>
  <c r="U954" i="1"/>
  <c r="U955" i="1"/>
  <c r="U956" i="1"/>
  <c r="U957" i="1"/>
  <c r="U958" i="1"/>
  <c r="U959" i="1"/>
  <c r="U960" i="1"/>
  <c r="U961" i="1"/>
  <c r="U962" i="1"/>
  <c r="U963" i="1"/>
  <c r="U964" i="1"/>
  <c r="U965" i="1"/>
  <c r="U966" i="1"/>
  <c r="U967" i="1"/>
  <c r="U968" i="1"/>
  <c r="U969" i="1"/>
  <c r="U970" i="1"/>
  <c r="U971" i="1"/>
  <c r="U972" i="1"/>
  <c r="U973" i="1"/>
  <c r="U974" i="1"/>
  <c r="U975" i="1"/>
  <c r="U976" i="1"/>
  <c r="U977" i="1"/>
  <c r="U978" i="1"/>
  <c r="U979" i="1"/>
  <c r="U980" i="1"/>
  <c r="U981" i="1"/>
  <c r="U982" i="1"/>
  <c r="U983" i="1"/>
  <c r="U984" i="1"/>
  <c r="U985" i="1"/>
  <c r="U986" i="1"/>
  <c r="U987" i="1"/>
  <c r="U988" i="1"/>
  <c r="U989" i="1"/>
  <c r="U990" i="1"/>
  <c r="U991" i="1"/>
  <c r="U992" i="1"/>
  <c r="U993" i="1"/>
  <c r="U994" i="1"/>
  <c r="U995" i="1"/>
  <c r="U996" i="1"/>
  <c r="U997" i="1"/>
  <c r="U998" i="1"/>
  <c r="U999" i="1"/>
  <c r="U1000" i="1"/>
  <c r="U1001" i="1"/>
  <c r="S2" i="1"/>
  <c r="S4" i="1"/>
  <c r="S5" i="1"/>
  <c r="S6" i="1"/>
  <c r="S7" i="1"/>
  <c r="S8" i="1"/>
  <c r="S9" i="1"/>
  <c r="S10" i="1"/>
  <c r="S11" i="1"/>
  <c r="S12" i="1"/>
  <c r="S13" i="1"/>
  <c r="S14" i="1"/>
  <c r="S15" i="1"/>
  <c r="S16" i="1"/>
  <c r="S17" i="1"/>
  <c r="S18" i="1"/>
  <c r="S19" i="1"/>
  <c r="S20" i="1"/>
  <c r="S21" i="1"/>
  <c r="S22" i="1"/>
  <c r="S23" i="1"/>
  <c r="S24" i="1"/>
  <c r="S25" i="1"/>
  <c r="S26" i="1"/>
  <c r="S27" i="1"/>
  <c r="S28" i="1"/>
  <c r="S29" i="1"/>
  <c r="S30" i="1"/>
  <c r="S31" i="1"/>
  <c r="S32" i="1"/>
  <c r="S33" i="1"/>
  <c r="S34" i="1"/>
  <c r="S35" i="1"/>
  <c r="S36" i="1"/>
  <c r="S37" i="1"/>
  <c r="S38" i="1"/>
  <c r="S39" i="1"/>
  <c r="S40" i="1"/>
  <c r="S41" i="1"/>
  <c r="S42" i="1"/>
  <c r="S43" i="1"/>
  <c r="S44" i="1"/>
  <c r="S45" i="1"/>
  <c r="S46" i="1"/>
  <c r="S47" i="1"/>
  <c r="S48" i="1"/>
  <c r="S49" i="1"/>
  <c r="S50" i="1"/>
  <c r="S51" i="1"/>
  <c r="S52" i="1"/>
  <c r="S53" i="1"/>
  <c r="S54" i="1"/>
  <c r="S55" i="1"/>
  <c r="S56" i="1"/>
  <c r="S57" i="1"/>
  <c r="S58" i="1"/>
  <c r="S59" i="1"/>
  <c r="S60" i="1"/>
  <c r="S61" i="1"/>
  <c r="S62" i="1"/>
  <c r="S63" i="1"/>
  <c r="S64" i="1"/>
  <c r="S65" i="1"/>
  <c r="S66" i="1"/>
  <c r="S67" i="1"/>
  <c r="S68" i="1"/>
  <c r="S69" i="1"/>
  <c r="S70" i="1"/>
  <c r="S71" i="1"/>
  <c r="S72" i="1"/>
  <c r="S73" i="1"/>
  <c r="S74" i="1"/>
  <c r="S75" i="1"/>
  <c r="S76" i="1"/>
  <c r="S77" i="1"/>
  <c r="S78" i="1"/>
  <c r="S79" i="1"/>
  <c r="S80" i="1"/>
  <c r="S81" i="1"/>
  <c r="S82" i="1"/>
  <c r="S83" i="1"/>
  <c r="S84" i="1"/>
  <c r="S85" i="1"/>
  <c r="S86" i="1"/>
  <c r="S87" i="1"/>
  <c r="S88" i="1"/>
  <c r="S89" i="1"/>
  <c r="S90" i="1"/>
  <c r="S91" i="1"/>
  <c r="S92" i="1"/>
  <c r="S93" i="1"/>
  <c r="S94" i="1"/>
  <c r="S95" i="1"/>
  <c r="S96" i="1"/>
  <c r="S97" i="1"/>
  <c r="S98" i="1"/>
  <c r="S99" i="1"/>
  <c r="S100" i="1"/>
  <c r="S101" i="1"/>
  <c r="S102" i="1"/>
  <c r="S103" i="1"/>
  <c r="S104" i="1"/>
  <c r="S105" i="1"/>
  <c r="S106" i="1"/>
  <c r="S107" i="1"/>
  <c r="S108" i="1"/>
  <c r="S109" i="1"/>
  <c r="S110" i="1"/>
  <c r="S111" i="1"/>
  <c r="S112" i="1"/>
  <c r="S113" i="1"/>
  <c r="S114" i="1"/>
  <c r="S115" i="1"/>
  <c r="S116" i="1"/>
  <c r="S117" i="1"/>
  <c r="S118" i="1"/>
  <c r="S119" i="1"/>
  <c r="S120" i="1"/>
  <c r="S121" i="1"/>
  <c r="S122" i="1"/>
  <c r="S123" i="1"/>
  <c r="S124" i="1"/>
  <c r="S125" i="1"/>
  <c r="S126" i="1"/>
  <c r="S127" i="1"/>
  <c r="S128" i="1"/>
  <c r="S129" i="1"/>
  <c r="S130" i="1"/>
  <c r="S131" i="1"/>
  <c r="S132" i="1"/>
  <c r="S133" i="1"/>
  <c r="S134" i="1"/>
  <c r="S135" i="1"/>
  <c r="S136" i="1"/>
  <c r="S137" i="1"/>
  <c r="S138" i="1"/>
  <c r="S139" i="1"/>
  <c r="S140" i="1"/>
  <c r="S141" i="1"/>
  <c r="S142" i="1"/>
  <c r="S143" i="1"/>
  <c r="S144" i="1"/>
  <c r="S145" i="1"/>
  <c r="S146" i="1"/>
  <c r="S147" i="1"/>
  <c r="S148" i="1"/>
  <c r="S149" i="1"/>
  <c r="S150" i="1"/>
  <c r="S151" i="1"/>
  <c r="S152" i="1"/>
  <c r="S153" i="1"/>
  <c r="S154" i="1"/>
  <c r="S155" i="1"/>
  <c r="S156" i="1"/>
  <c r="S157" i="1"/>
  <c r="S158" i="1"/>
  <c r="S159" i="1"/>
  <c r="S160" i="1"/>
  <c r="S161" i="1"/>
  <c r="S162" i="1"/>
  <c r="S163" i="1"/>
  <c r="S164" i="1"/>
  <c r="S165" i="1"/>
  <c r="S166" i="1"/>
  <c r="S167" i="1"/>
  <c r="S168" i="1"/>
  <c r="S169" i="1"/>
  <c r="S170" i="1"/>
  <c r="S171" i="1"/>
  <c r="S172" i="1"/>
  <c r="S173" i="1"/>
  <c r="S174" i="1"/>
  <c r="S175" i="1"/>
  <c r="S176" i="1"/>
  <c r="S177" i="1"/>
  <c r="S178" i="1"/>
  <c r="S179" i="1"/>
  <c r="S180" i="1"/>
  <c r="S181" i="1"/>
  <c r="S182" i="1"/>
  <c r="S183" i="1"/>
  <c r="S184" i="1"/>
  <c r="S185" i="1"/>
  <c r="S186" i="1"/>
  <c r="S187" i="1"/>
  <c r="S188" i="1"/>
  <c r="S189" i="1"/>
  <c r="S190" i="1"/>
  <c r="S191" i="1"/>
  <c r="S192" i="1"/>
  <c r="S193" i="1"/>
  <c r="S194" i="1"/>
  <c r="S195" i="1"/>
  <c r="S196" i="1"/>
  <c r="S197" i="1"/>
  <c r="S198" i="1"/>
  <c r="S199" i="1"/>
  <c r="S200" i="1"/>
  <c r="S201" i="1"/>
  <c r="S202" i="1"/>
  <c r="S203" i="1"/>
  <c r="S204" i="1"/>
  <c r="S205" i="1"/>
  <c r="S206" i="1"/>
  <c r="S207" i="1"/>
  <c r="S208" i="1"/>
  <c r="S209" i="1"/>
  <c r="S210" i="1"/>
  <c r="S211" i="1"/>
  <c r="S212" i="1"/>
  <c r="S213" i="1"/>
  <c r="S214" i="1"/>
  <c r="S215" i="1"/>
  <c r="S216" i="1"/>
  <c r="S217" i="1"/>
  <c r="S218" i="1"/>
  <c r="S219" i="1"/>
  <c r="S220" i="1"/>
  <c r="S221" i="1"/>
  <c r="S222" i="1"/>
  <c r="S223" i="1"/>
  <c r="S224" i="1"/>
  <c r="S225" i="1"/>
  <c r="S226" i="1"/>
  <c r="S227" i="1"/>
  <c r="S228" i="1"/>
  <c r="S229" i="1"/>
  <c r="S230" i="1"/>
  <c r="S231" i="1"/>
  <c r="S232" i="1"/>
  <c r="S233" i="1"/>
  <c r="S234" i="1"/>
  <c r="S235" i="1"/>
  <c r="S236" i="1"/>
  <c r="S237" i="1"/>
  <c r="S238" i="1"/>
  <c r="S239" i="1"/>
  <c r="S240" i="1"/>
  <c r="S241" i="1"/>
  <c r="S242" i="1"/>
  <c r="S243" i="1"/>
  <c r="S244" i="1"/>
  <c r="S245" i="1"/>
  <c r="S246" i="1"/>
  <c r="S247" i="1"/>
  <c r="S248" i="1"/>
  <c r="S249" i="1"/>
  <c r="S250" i="1"/>
  <c r="S251" i="1"/>
  <c r="S252" i="1"/>
  <c r="S253" i="1"/>
  <c r="S254" i="1"/>
  <c r="S255" i="1"/>
  <c r="S256" i="1"/>
  <c r="S257" i="1"/>
  <c r="S258" i="1"/>
  <c r="S259" i="1"/>
  <c r="S260" i="1"/>
  <c r="S261" i="1"/>
  <c r="S262" i="1"/>
  <c r="S263" i="1"/>
  <c r="S264" i="1"/>
  <c r="S265" i="1"/>
  <c r="S266" i="1"/>
  <c r="S267" i="1"/>
  <c r="S268" i="1"/>
  <c r="S269" i="1"/>
  <c r="S270" i="1"/>
  <c r="S271" i="1"/>
  <c r="S272" i="1"/>
  <c r="S273" i="1"/>
  <c r="S274" i="1"/>
  <c r="S275" i="1"/>
  <c r="S276" i="1"/>
  <c r="S277" i="1"/>
  <c r="S278" i="1"/>
  <c r="S279" i="1"/>
  <c r="S280" i="1"/>
  <c r="S281" i="1"/>
  <c r="S282" i="1"/>
  <c r="S283" i="1"/>
  <c r="S284" i="1"/>
  <c r="S285" i="1"/>
  <c r="S286" i="1"/>
  <c r="S287" i="1"/>
  <c r="S288" i="1"/>
  <c r="S289" i="1"/>
  <c r="S290" i="1"/>
  <c r="S291" i="1"/>
  <c r="S292" i="1"/>
  <c r="S293" i="1"/>
  <c r="S294" i="1"/>
  <c r="S295" i="1"/>
  <c r="S296" i="1"/>
  <c r="S297" i="1"/>
  <c r="S298" i="1"/>
  <c r="S299" i="1"/>
  <c r="S300" i="1"/>
  <c r="S301" i="1"/>
  <c r="S302" i="1"/>
  <c r="S303" i="1"/>
  <c r="S304" i="1"/>
  <c r="S305" i="1"/>
  <c r="S306" i="1"/>
  <c r="S307" i="1"/>
  <c r="S308" i="1"/>
  <c r="S309" i="1"/>
  <c r="S310" i="1"/>
  <c r="S311" i="1"/>
  <c r="S312" i="1"/>
  <c r="S313" i="1"/>
  <c r="S314" i="1"/>
  <c r="S315" i="1"/>
  <c r="S316" i="1"/>
  <c r="S317" i="1"/>
  <c r="S318" i="1"/>
  <c r="S319" i="1"/>
  <c r="S320" i="1"/>
  <c r="S321" i="1"/>
  <c r="S322" i="1"/>
  <c r="S323" i="1"/>
  <c r="S324" i="1"/>
  <c r="S325" i="1"/>
  <c r="S326" i="1"/>
  <c r="S327" i="1"/>
  <c r="S328" i="1"/>
  <c r="S329" i="1"/>
  <c r="S330" i="1"/>
  <c r="S331" i="1"/>
  <c r="S332" i="1"/>
  <c r="S333" i="1"/>
  <c r="S334" i="1"/>
  <c r="S335" i="1"/>
  <c r="S336" i="1"/>
  <c r="S337" i="1"/>
  <c r="S338" i="1"/>
  <c r="S339" i="1"/>
  <c r="S340" i="1"/>
  <c r="S341" i="1"/>
  <c r="S342" i="1"/>
  <c r="S343" i="1"/>
  <c r="S344" i="1"/>
  <c r="S345" i="1"/>
  <c r="S346" i="1"/>
  <c r="S347" i="1"/>
  <c r="S348" i="1"/>
  <c r="S349" i="1"/>
  <c r="S350" i="1"/>
  <c r="S351" i="1"/>
  <c r="S352" i="1"/>
  <c r="S353" i="1"/>
  <c r="S354" i="1"/>
  <c r="S355" i="1"/>
  <c r="S356" i="1"/>
  <c r="S357" i="1"/>
  <c r="S358" i="1"/>
  <c r="S359" i="1"/>
  <c r="S360" i="1"/>
  <c r="S361" i="1"/>
  <c r="S362" i="1"/>
  <c r="S363" i="1"/>
  <c r="S364" i="1"/>
  <c r="S365" i="1"/>
  <c r="S366" i="1"/>
  <c r="S367" i="1"/>
  <c r="S368" i="1"/>
  <c r="S369" i="1"/>
  <c r="S370" i="1"/>
  <c r="S371" i="1"/>
  <c r="S372" i="1"/>
  <c r="S373" i="1"/>
  <c r="S374" i="1"/>
  <c r="S375" i="1"/>
  <c r="S376" i="1"/>
  <c r="S377" i="1"/>
  <c r="S378" i="1"/>
  <c r="S379" i="1"/>
  <c r="S380" i="1"/>
  <c r="S381" i="1"/>
  <c r="S382" i="1"/>
  <c r="S383" i="1"/>
  <c r="S384" i="1"/>
  <c r="S385" i="1"/>
  <c r="S386" i="1"/>
  <c r="S387" i="1"/>
  <c r="S388" i="1"/>
  <c r="S389" i="1"/>
  <c r="S390" i="1"/>
  <c r="S391" i="1"/>
  <c r="S392" i="1"/>
  <c r="S393" i="1"/>
  <c r="S394" i="1"/>
  <c r="S395" i="1"/>
  <c r="S396" i="1"/>
  <c r="S397" i="1"/>
  <c r="S398" i="1"/>
  <c r="S399" i="1"/>
  <c r="S400" i="1"/>
  <c r="S401" i="1"/>
  <c r="S402" i="1"/>
  <c r="S403" i="1"/>
  <c r="S404" i="1"/>
  <c r="S405" i="1"/>
  <c r="S406" i="1"/>
  <c r="S407" i="1"/>
  <c r="S408" i="1"/>
  <c r="S409" i="1"/>
  <c r="S410" i="1"/>
  <c r="S411" i="1"/>
  <c r="S412" i="1"/>
  <c r="S413" i="1"/>
  <c r="S414" i="1"/>
  <c r="S415" i="1"/>
  <c r="S416" i="1"/>
  <c r="S417" i="1"/>
  <c r="S418" i="1"/>
  <c r="S419" i="1"/>
  <c r="S420" i="1"/>
  <c r="S421" i="1"/>
  <c r="S422" i="1"/>
  <c r="S423" i="1"/>
  <c r="S424" i="1"/>
  <c r="S425" i="1"/>
  <c r="S426" i="1"/>
  <c r="S427" i="1"/>
  <c r="S428" i="1"/>
  <c r="S429" i="1"/>
  <c r="S430" i="1"/>
  <c r="S431" i="1"/>
  <c r="S432" i="1"/>
  <c r="S433" i="1"/>
  <c r="S434" i="1"/>
  <c r="S435" i="1"/>
  <c r="S436" i="1"/>
  <c r="S437" i="1"/>
  <c r="S438" i="1"/>
  <c r="S439" i="1"/>
  <c r="S440" i="1"/>
  <c r="S441" i="1"/>
  <c r="S442" i="1"/>
  <c r="S443" i="1"/>
  <c r="S444" i="1"/>
  <c r="S445" i="1"/>
  <c r="S446" i="1"/>
  <c r="S447" i="1"/>
  <c r="S448" i="1"/>
  <c r="S449" i="1"/>
  <c r="S450" i="1"/>
  <c r="S451" i="1"/>
  <c r="S452" i="1"/>
  <c r="S453" i="1"/>
  <c r="S454" i="1"/>
  <c r="S455" i="1"/>
  <c r="S456" i="1"/>
  <c r="S457" i="1"/>
  <c r="S458" i="1"/>
  <c r="S459" i="1"/>
  <c r="S460" i="1"/>
  <c r="S461" i="1"/>
  <c r="S462" i="1"/>
  <c r="S463" i="1"/>
  <c r="S464" i="1"/>
  <c r="S465" i="1"/>
  <c r="S466" i="1"/>
  <c r="S467" i="1"/>
  <c r="S468" i="1"/>
  <c r="S469" i="1"/>
  <c r="S470" i="1"/>
  <c r="S471" i="1"/>
  <c r="S472" i="1"/>
  <c r="S473" i="1"/>
  <c r="S474" i="1"/>
  <c r="S475" i="1"/>
  <c r="S476" i="1"/>
  <c r="S477" i="1"/>
  <c r="S478" i="1"/>
  <c r="S479" i="1"/>
  <c r="S480" i="1"/>
  <c r="S481" i="1"/>
  <c r="S482" i="1"/>
  <c r="S483" i="1"/>
  <c r="S484" i="1"/>
  <c r="S485" i="1"/>
  <c r="S486" i="1"/>
  <c r="S487" i="1"/>
  <c r="S488" i="1"/>
  <c r="S489" i="1"/>
  <c r="S490" i="1"/>
  <c r="S491" i="1"/>
  <c r="S492" i="1"/>
  <c r="S493" i="1"/>
  <c r="S494" i="1"/>
  <c r="S495" i="1"/>
  <c r="S496" i="1"/>
  <c r="S497" i="1"/>
  <c r="S498" i="1"/>
  <c r="S499" i="1"/>
  <c r="S500" i="1"/>
  <c r="S501" i="1"/>
  <c r="S502" i="1"/>
  <c r="S503" i="1"/>
  <c r="S504" i="1"/>
  <c r="S505" i="1"/>
  <c r="S506" i="1"/>
  <c r="S507" i="1"/>
  <c r="S508" i="1"/>
  <c r="S509" i="1"/>
  <c r="S510" i="1"/>
  <c r="S511" i="1"/>
  <c r="S512" i="1"/>
  <c r="S513" i="1"/>
  <c r="S514" i="1"/>
  <c r="S515" i="1"/>
  <c r="S516" i="1"/>
  <c r="S517" i="1"/>
  <c r="S518" i="1"/>
  <c r="S519" i="1"/>
  <c r="S520" i="1"/>
  <c r="S521" i="1"/>
  <c r="S522" i="1"/>
  <c r="S523" i="1"/>
  <c r="S524" i="1"/>
  <c r="S525" i="1"/>
  <c r="S526" i="1"/>
  <c r="S527" i="1"/>
  <c r="S528" i="1"/>
  <c r="S529" i="1"/>
  <c r="S530" i="1"/>
  <c r="S531" i="1"/>
  <c r="S532" i="1"/>
  <c r="S533" i="1"/>
  <c r="S534" i="1"/>
  <c r="S535" i="1"/>
  <c r="S536" i="1"/>
  <c r="S537" i="1"/>
  <c r="S538" i="1"/>
  <c r="S539" i="1"/>
  <c r="S540" i="1"/>
  <c r="S541" i="1"/>
  <c r="S542" i="1"/>
  <c r="S543" i="1"/>
  <c r="S544" i="1"/>
  <c r="S545" i="1"/>
  <c r="S546" i="1"/>
  <c r="S547" i="1"/>
  <c r="S548" i="1"/>
  <c r="S549" i="1"/>
  <c r="S550" i="1"/>
  <c r="S551" i="1"/>
  <c r="S552" i="1"/>
  <c r="S553" i="1"/>
  <c r="S554" i="1"/>
  <c r="S555" i="1"/>
  <c r="S556" i="1"/>
  <c r="S557" i="1"/>
  <c r="S558" i="1"/>
  <c r="S559" i="1"/>
  <c r="S560" i="1"/>
  <c r="S561" i="1"/>
  <c r="S562" i="1"/>
  <c r="S563" i="1"/>
  <c r="S564" i="1"/>
  <c r="S565" i="1"/>
  <c r="S566" i="1"/>
  <c r="S567" i="1"/>
  <c r="S568" i="1"/>
  <c r="S569" i="1"/>
  <c r="S570" i="1"/>
  <c r="S571" i="1"/>
  <c r="S572" i="1"/>
  <c r="S573" i="1"/>
  <c r="S574" i="1"/>
  <c r="S575" i="1"/>
  <c r="S576" i="1"/>
  <c r="S577" i="1"/>
  <c r="S578" i="1"/>
  <c r="S579" i="1"/>
  <c r="S580" i="1"/>
  <c r="S581" i="1"/>
  <c r="S582" i="1"/>
  <c r="S583" i="1"/>
  <c r="S584" i="1"/>
  <c r="S585" i="1"/>
  <c r="S586" i="1"/>
  <c r="S587" i="1"/>
  <c r="S588" i="1"/>
  <c r="S589" i="1"/>
  <c r="S590" i="1"/>
  <c r="S591" i="1"/>
  <c r="S592" i="1"/>
  <c r="S593" i="1"/>
  <c r="S594" i="1"/>
  <c r="S595" i="1"/>
  <c r="S596" i="1"/>
  <c r="S597" i="1"/>
  <c r="S598" i="1"/>
  <c r="S599" i="1"/>
  <c r="S600" i="1"/>
  <c r="S601" i="1"/>
  <c r="S602" i="1"/>
  <c r="S603" i="1"/>
  <c r="S604" i="1"/>
  <c r="S605" i="1"/>
  <c r="S606" i="1"/>
  <c r="S607" i="1"/>
  <c r="S608" i="1"/>
  <c r="S609" i="1"/>
  <c r="S610" i="1"/>
  <c r="S611" i="1"/>
  <c r="S612" i="1"/>
  <c r="S613" i="1"/>
  <c r="S614" i="1"/>
  <c r="S615" i="1"/>
  <c r="S616" i="1"/>
  <c r="S617" i="1"/>
  <c r="S618" i="1"/>
  <c r="S619" i="1"/>
  <c r="S620" i="1"/>
  <c r="S621" i="1"/>
  <c r="S622" i="1"/>
  <c r="S623" i="1"/>
  <c r="S624" i="1"/>
  <c r="S625" i="1"/>
  <c r="S626" i="1"/>
  <c r="S627" i="1"/>
  <c r="S628" i="1"/>
  <c r="S629" i="1"/>
  <c r="S630" i="1"/>
  <c r="S631" i="1"/>
  <c r="S632" i="1"/>
  <c r="S633" i="1"/>
  <c r="S634" i="1"/>
  <c r="S635" i="1"/>
  <c r="S636" i="1"/>
  <c r="S637" i="1"/>
  <c r="S638" i="1"/>
  <c r="S639" i="1"/>
  <c r="S640" i="1"/>
  <c r="S641" i="1"/>
  <c r="S642" i="1"/>
  <c r="S643" i="1"/>
  <c r="S644" i="1"/>
  <c r="S645" i="1"/>
  <c r="S646" i="1"/>
  <c r="S647" i="1"/>
  <c r="S648" i="1"/>
  <c r="S649" i="1"/>
  <c r="S650" i="1"/>
  <c r="S651" i="1"/>
  <c r="S652" i="1"/>
  <c r="S653" i="1"/>
  <c r="S654" i="1"/>
  <c r="S655" i="1"/>
  <c r="S656" i="1"/>
  <c r="S657" i="1"/>
  <c r="S658" i="1"/>
  <c r="S659" i="1"/>
  <c r="S660" i="1"/>
  <c r="S661" i="1"/>
  <c r="S662" i="1"/>
  <c r="S663" i="1"/>
  <c r="S664" i="1"/>
  <c r="S665" i="1"/>
  <c r="S666" i="1"/>
  <c r="S667" i="1"/>
  <c r="S668" i="1"/>
  <c r="S669" i="1"/>
  <c r="S670" i="1"/>
  <c r="S671" i="1"/>
  <c r="S672" i="1"/>
  <c r="S673" i="1"/>
  <c r="S674" i="1"/>
  <c r="S675" i="1"/>
  <c r="S676" i="1"/>
  <c r="S677" i="1"/>
  <c r="S678" i="1"/>
  <c r="S679" i="1"/>
  <c r="S680" i="1"/>
  <c r="S681" i="1"/>
  <c r="S682" i="1"/>
  <c r="S683" i="1"/>
  <c r="S684" i="1"/>
  <c r="S685" i="1"/>
  <c r="S686" i="1"/>
  <c r="S687" i="1"/>
  <c r="S688" i="1"/>
  <c r="S689" i="1"/>
  <c r="S690" i="1"/>
  <c r="S691" i="1"/>
  <c r="S692" i="1"/>
  <c r="S693" i="1"/>
  <c r="S694" i="1"/>
  <c r="S695" i="1"/>
  <c r="S696" i="1"/>
  <c r="S697" i="1"/>
  <c r="S698" i="1"/>
  <c r="S699" i="1"/>
  <c r="S700" i="1"/>
  <c r="S701" i="1"/>
  <c r="S702" i="1"/>
  <c r="S703" i="1"/>
  <c r="S704" i="1"/>
  <c r="S705" i="1"/>
  <c r="S706" i="1"/>
  <c r="S707" i="1"/>
  <c r="S708" i="1"/>
  <c r="S709" i="1"/>
  <c r="S710" i="1"/>
  <c r="S711" i="1"/>
  <c r="S712" i="1"/>
  <c r="S713" i="1"/>
  <c r="S714" i="1"/>
  <c r="S715" i="1"/>
  <c r="S716" i="1"/>
  <c r="S717" i="1"/>
  <c r="S718" i="1"/>
  <c r="S719" i="1"/>
  <c r="S720" i="1"/>
  <c r="S721" i="1"/>
  <c r="S722" i="1"/>
  <c r="S723" i="1"/>
  <c r="S724" i="1"/>
  <c r="S725" i="1"/>
  <c r="S726" i="1"/>
  <c r="S727" i="1"/>
  <c r="S728" i="1"/>
  <c r="S729" i="1"/>
  <c r="S730" i="1"/>
  <c r="S731" i="1"/>
  <c r="S732" i="1"/>
  <c r="S733" i="1"/>
  <c r="S734" i="1"/>
  <c r="S735" i="1"/>
  <c r="S736" i="1"/>
  <c r="S737" i="1"/>
  <c r="S738" i="1"/>
  <c r="S739" i="1"/>
  <c r="S740" i="1"/>
  <c r="S741" i="1"/>
  <c r="S742" i="1"/>
  <c r="S743" i="1"/>
  <c r="S744" i="1"/>
  <c r="S745" i="1"/>
  <c r="S746" i="1"/>
  <c r="S747" i="1"/>
  <c r="S748" i="1"/>
  <c r="S749" i="1"/>
  <c r="S750" i="1"/>
  <c r="S751" i="1"/>
  <c r="S752" i="1"/>
  <c r="S753" i="1"/>
  <c r="S754" i="1"/>
  <c r="S755" i="1"/>
  <c r="S756" i="1"/>
  <c r="S757" i="1"/>
  <c r="S758" i="1"/>
  <c r="S759" i="1"/>
  <c r="S760" i="1"/>
  <c r="S761" i="1"/>
  <c r="S762" i="1"/>
  <c r="S763" i="1"/>
  <c r="S764" i="1"/>
  <c r="S765" i="1"/>
  <c r="S766" i="1"/>
  <c r="S767" i="1"/>
  <c r="S768" i="1"/>
  <c r="S769" i="1"/>
  <c r="S770" i="1"/>
  <c r="S771" i="1"/>
  <c r="S772" i="1"/>
  <c r="S773" i="1"/>
  <c r="S774" i="1"/>
  <c r="S775" i="1"/>
  <c r="S776" i="1"/>
  <c r="S777" i="1"/>
  <c r="S778" i="1"/>
  <c r="S779" i="1"/>
  <c r="S780" i="1"/>
  <c r="S781" i="1"/>
  <c r="S782" i="1"/>
  <c r="S783" i="1"/>
  <c r="S784" i="1"/>
  <c r="S785" i="1"/>
  <c r="S786" i="1"/>
  <c r="S787" i="1"/>
  <c r="S788" i="1"/>
  <c r="S789" i="1"/>
  <c r="S790" i="1"/>
  <c r="S791" i="1"/>
  <c r="S792" i="1"/>
  <c r="S793" i="1"/>
  <c r="S794" i="1"/>
  <c r="S795" i="1"/>
  <c r="S796" i="1"/>
  <c r="S797" i="1"/>
  <c r="S798" i="1"/>
  <c r="S799" i="1"/>
  <c r="S800" i="1"/>
  <c r="S801" i="1"/>
  <c r="S802" i="1"/>
  <c r="S803" i="1"/>
  <c r="S804" i="1"/>
  <c r="S805" i="1"/>
  <c r="S806" i="1"/>
  <c r="S807" i="1"/>
  <c r="S808" i="1"/>
  <c r="S809" i="1"/>
  <c r="S810" i="1"/>
  <c r="S811" i="1"/>
  <c r="S812" i="1"/>
  <c r="S813" i="1"/>
  <c r="S814" i="1"/>
  <c r="S815" i="1"/>
  <c r="S816" i="1"/>
  <c r="S817" i="1"/>
  <c r="S818" i="1"/>
  <c r="S819" i="1"/>
  <c r="S820" i="1"/>
  <c r="S821" i="1"/>
  <c r="S822" i="1"/>
  <c r="S823" i="1"/>
  <c r="S824" i="1"/>
  <c r="S825" i="1"/>
  <c r="S826" i="1"/>
  <c r="S827" i="1"/>
  <c r="S828" i="1"/>
  <c r="S829" i="1"/>
  <c r="S830" i="1"/>
  <c r="S831" i="1"/>
  <c r="S832" i="1"/>
  <c r="S833" i="1"/>
  <c r="S834" i="1"/>
  <c r="S835" i="1"/>
  <c r="S836" i="1"/>
  <c r="S837" i="1"/>
  <c r="S838" i="1"/>
  <c r="S839" i="1"/>
  <c r="S840" i="1"/>
  <c r="S841" i="1"/>
  <c r="S842" i="1"/>
  <c r="S843" i="1"/>
  <c r="S844" i="1"/>
  <c r="S845" i="1"/>
  <c r="S846" i="1"/>
  <c r="S847" i="1"/>
  <c r="S848" i="1"/>
  <c r="S849" i="1"/>
  <c r="S850" i="1"/>
  <c r="S851" i="1"/>
  <c r="S852" i="1"/>
  <c r="S853" i="1"/>
  <c r="S854" i="1"/>
  <c r="S855" i="1"/>
  <c r="S856" i="1"/>
  <c r="S857" i="1"/>
  <c r="S858" i="1"/>
  <c r="S859" i="1"/>
  <c r="S860" i="1"/>
  <c r="S861" i="1"/>
  <c r="S862" i="1"/>
  <c r="S863" i="1"/>
  <c r="S864" i="1"/>
  <c r="S865" i="1"/>
  <c r="S866" i="1"/>
  <c r="S867" i="1"/>
  <c r="S868" i="1"/>
  <c r="S869" i="1"/>
  <c r="S870" i="1"/>
  <c r="S871" i="1"/>
  <c r="S872" i="1"/>
  <c r="S873" i="1"/>
  <c r="S874" i="1"/>
  <c r="S875" i="1"/>
  <c r="S876" i="1"/>
  <c r="S877" i="1"/>
  <c r="S878" i="1"/>
  <c r="S879" i="1"/>
  <c r="S880" i="1"/>
  <c r="S881" i="1"/>
  <c r="S882" i="1"/>
  <c r="S883" i="1"/>
  <c r="S884" i="1"/>
  <c r="S885" i="1"/>
  <c r="S886" i="1"/>
  <c r="S887" i="1"/>
  <c r="S888" i="1"/>
  <c r="S889" i="1"/>
  <c r="S890" i="1"/>
  <c r="S891" i="1"/>
  <c r="S892" i="1"/>
  <c r="S893" i="1"/>
  <c r="S894" i="1"/>
  <c r="S895" i="1"/>
  <c r="S896" i="1"/>
  <c r="S897" i="1"/>
  <c r="S898" i="1"/>
  <c r="S899" i="1"/>
  <c r="S900" i="1"/>
  <c r="S901" i="1"/>
  <c r="S902" i="1"/>
  <c r="S903" i="1"/>
  <c r="S904" i="1"/>
  <c r="S905" i="1"/>
  <c r="S906" i="1"/>
  <c r="S907" i="1"/>
  <c r="S908" i="1"/>
  <c r="S909" i="1"/>
  <c r="S910" i="1"/>
  <c r="S911" i="1"/>
  <c r="S912" i="1"/>
  <c r="S913" i="1"/>
  <c r="S914" i="1"/>
  <c r="S915" i="1"/>
  <c r="S916" i="1"/>
  <c r="S917" i="1"/>
  <c r="S918" i="1"/>
  <c r="S919" i="1"/>
  <c r="S920" i="1"/>
  <c r="S921" i="1"/>
  <c r="S922" i="1"/>
  <c r="S923" i="1"/>
  <c r="S924" i="1"/>
  <c r="S925" i="1"/>
  <c r="S926" i="1"/>
  <c r="S927" i="1"/>
  <c r="S928" i="1"/>
  <c r="S929" i="1"/>
  <c r="S930" i="1"/>
  <c r="S931" i="1"/>
  <c r="S932" i="1"/>
  <c r="S933" i="1"/>
  <c r="S934" i="1"/>
  <c r="S935" i="1"/>
  <c r="S936" i="1"/>
  <c r="S937" i="1"/>
  <c r="S938" i="1"/>
  <c r="S939" i="1"/>
  <c r="S940" i="1"/>
  <c r="S941" i="1"/>
  <c r="S942" i="1"/>
  <c r="S943" i="1"/>
  <c r="S944" i="1"/>
  <c r="S945" i="1"/>
  <c r="S946" i="1"/>
  <c r="S947" i="1"/>
  <c r="S948" i="1"/>
  <c r="S949" i="1"/>
  <c r="S950" i="1"/>
  <c r="S951" i="1"/>
  <c r="S952" i="1"/>
  <c r="S953" i="1"/>
  <c r="S954" i="1"/>
  <c r="S955" i="1"/>
  <c r="S956" i="1"/>
  <c r="S957" i="1"/>
  <c r="S958" i="1"/>
  <c r="S959" i="1"/>
  <c r="S960" i="1"/>
  <c r="S961" i="1"/>
  <c r="S962" i="1"/>
  <c r="S963" i="1"/>
  <c r="S964" i="1"/>
  <c r="S965" i="1"/>
  <c r="S966" i="1"/>
  <c r="S967" i="1"/>
  <c r="S968" i="1"/>
  <c r="S969" i="1"/>
  <c r="S970" i="1"/>
  <c r="S971" i="1"/>
  <c r="S972" i="1"/>
  <c r="S973" i="1"/>
  <c r="S974" i="1"/>
  <c r="S975" i="1"/>
  <c r="S976" i="1"/>
  <c r="S977" i="1"/>
  <c r="S978" i="1"/>
  <c r="S979" i="1"/>
  <c r="S980" i="1"/>
  <c r="S981" i="1"/>
  <c r="S982" i="1"/>
  <c r="S983" i="1"/>
  <c r="S984" i="1"/>
  <c r="S985" i="1"/>
  <c r="S986" i="1"/>
  <c r="S987" i="1"/>
  <c r="S988" i="1"/>
  <c r="S989" i="1"/>
  <c r="S990" i="1"/>
  <c r="S991" i="1"/>
  <c r="S992" i="1"/>
  <c r="S993" i="1"/>
  <c r="S994" i="1"/>
  <c r="S995" i="1"/>
  <c r="S996" i="1"/>
  <c r="S997" i="1"/>
  <c r="S998" i="1"/>
  <c r="S999" i="1"/>
  <c r="S1000" i="1"/>
  <c r="S1001" i="1"/>
  <c r="R2" i="1"/>
  <c r="R4" i="1"/>
  <c r="R5" i="1"/>
  <c r="R6" i="1"/>
  <c r="R7" i="1"/>
  <c r="R8" i="1"/>
  <c r="R9" i="1"/>
  <c r="R10" i="1"/>
  <c r="R11" i="1"/>
  <c r="R12" i="1"/>
  <c r="R13" i="1"/>
  <c r="R14" i="1"/>
  <c r="R15" i="1"/>
  <c r="R16" i="1"/>
  <c r="R17" i="1"/>
  <c r="R18" i="1"/>
  <c r="R19" i="1"/>
  <c r="R20" i="1"/>
  <c r="R21" i="1"/>
  <c r="R22" i="1"/>
  <c r="R23" i="1"/>
  <c r="R24" i="1"/>
  <c r="R25" i="1"/>
  <c r="R26" i="1"/>
  <c r="R27" i="1"/>
  <c r="R28" i="1"/>
  <c r="R29" i="1"/>
  <c r="R30" i="1"/>
  <c r="R31" i="1"/>
  <c r="R32" i="1"/>
  <c r="R33" i="1"/>
  <c r="R34" i="1"/>
  <c r="R35" i="1"/>
  <c r="R36" i="1"/>
  <c r="R37" i="1"/>
  <c r="R38" i="1"/>
  <c r="R39" i="1"/>
  <c r="R40" i="1"/>
  <c r="R41" i="1"/>
  <c r="R42" i="1"/>
  <c r="R43" i="1"/>
  <c r="R44" i="1"/>
  <c r="R45" i="1"/>
  <c r="R46" i="1"/>
  <c r="R47" i="1"/>
  <c r="R48" i="1"/>
  <c r="R49" i="1"/>
  <c r="R50" i="1"/>
  <c r="R51" i="1"/>
  <c r="R52" i="1"/>
  <c r="R53" i="1"/>
  <c r="R54" i="1"/>
  <c r="R55" i="1"/>
  <c r="R56" i="1"/>
  <c r="R57" i="1"/>
  <c r="R58" i="1"/>
  <c r="R59" i="1"/>
  <c r="R60" i="1"/>
  <c r="R61" i="1"/>
  <c r="R62" i="1"/>
  <c r="R63" i="1"/>
  <c r="R64" i="1"/>
  <c r="R65" i="1"/>
  <c r="R66" i="1"/>
  <c r="R67" i="1"/>
  <c r="R68" i="1"/>
  <c r="R69" i="1"/>
  <c r="R70" i="1"/>
  <c r="R71" i="1"/>
  <c r="R72" i="1"/>
  <c r="R73" i="1"/>
  <c r="R74" i="1"/>
  <c r="R75" i="1"/>
  <c r="R76" i="1"/>
  <c r="R77" i="1"/>
  <c r="R78" i="1"/>
  <c r="R79" i="1"/>
  <c r="R80" i="1"/>
  <c r="R81" i="1"/>
  <c r="R82" i="1"/>
  <c r="R83" i="1"/>
  <c r="R84" i="1"/>
  <c r="R85" i="1"/>
  <c r="R86" i="1"/>
  <c r="R87" i="1"/>
  <c r="R88" i="1"/>
  <c r="R89" i="1"/>
  <c r="R90" i="1"/>
  <c r="R91" i="1"/>
  <c r="R92" i="1"/>
  <c r="R93" i="1"/>
  <c r="R94" i="1"/>
  <c r="R95" i="1"/>
  <c r="R96" i="1"/>
  <c r="R97" i="1"/>
  <c r="R98" i="1"/>
  <c r="R99" i="1"/>
  <c r="R100" i="1"/>
  <c r="R101" i="1"/>
  <c r="R102" i="1"/>
  <c r="R103" i="1"/>
  <c r="R104" i="1"/>
  <c r="R105" i="1"/>
  <c r="R106" i="1"/>
  <c r="R107" i="1"/>
  <c r="R108" i="1"/>
  <c r="R109" i="1"/>
  <c r="R110" i="1"/>
  <c r="R111" i="1"/>
  <c r="R112" i="1"/>
  <c r="R113" i="1"/>
  <c r="R114" i="1"/>
  <c r="R115" i="1"/>
  <c r="R116" i="1"/>
  <c r="R117" i="1"/>
  <c r="R118" i="1"/>
  <c r="R119" i="1"/>
  <c r="R120" i="1"/>
  <c r="R121" i="1"/>
  <c r="R122" i="1"/>
  <c r="R123" i="1"/>
  <c r="R124" i="1"/>
  <c r="R125" i="1"/>
  <c r="R126" i="1"/>
  <c r="R127" i="1"/>
  <c r="R128" i="1"/>
  <c r="R129" i="1"/>
  <c r="R130" i="1"/>
  <c r="R131" i="1"/>
  <c r="R132" i="1"/>
  <c r="R133" i="1"/>
  <c r="R134" i="1"/>
  <c r="R135" i="1"/>
  <c r="R136" i="1"/>
  <c r="R137" i="1"/>
  <c r="R138" i="1"/>
  <c r="R139" i="1"/>
  <c r="R140" i="1"/>
  <c r="R141" i="1"/>
  <c r="R142" i="1"/>
  <c r="R143" i="1"/>
  <c r="R144" i="1"/>
  <c r="R145" i="1"/>
  <c r="R146" i="1"/>
  <c r="R147" i="1"/>
  <c r="R148" i="1"/>
  <c r="R149" i="1"/>
  <c r="R150" i="1"/>
  <c r="R151" i="1"/>
  <c r="R152" i="1"/>
  <c r="R153" i="1"/>
  <c r="R154" i="1"/>
  <c r="R155" i="1"/>
  <c r="R156" i="1"/>
  <c r="R157" i="1"/>
  <c r="R158" i="1"/>
  <c r="R159" i="1"/>
  <c r="R160" i="1"/>
  <c r="R161" i="1"/>
  <c r="R162" i="1"/>
  <c r="R163" i="1"/>
  <c r="R164" i="1"/>
  <c r="R165" i="1"/>
  <c r="R166" i="1"/>
  <c r="R167" i="1"/>
  <c r="R168" i="1"/>
  <c r="R169" i="1"/>
  <c r="R170" i="1"/>
  <c r="R171" i="1"/>
  <c r="R172" i="1"/>
  <c r="R173" i="1"/>
  <c r="R174" i="1"/>
  <c r="R175" i="1"/>
  <c r="R176" i="1"/>
  <c r="R177" i="1"/>
  <c r="R178" i="1"/>
  <c r="R179" i="1"/>
  <c r="R180" i="1"/>
  <c r="R181" i="1"/>
  <c r="R182" i="1"/>
  <c r="R183" i="1"/>
  <c r="R184" i="1"/>
  <c r="R185" i="1"/>
  <c r="R186" i="1"/>
  <c r="R187" i="1"/>
  <c r="R188" i="1"/>
  <c r="R189" i="1"/>
  <c r="R190" i="1"/>
  <c r="R191" i="1"/>
  <c r="R192" i="1"/>
  <c r="R193" i="1"/>
  <c r="R194" i="1"/>
  <c r="R195" i="1"/>
  <c r="R196" i="1"/>
  <c r="R197" i="1"/>
  <c r="R198" i="1"/>
  <c r="R199" i="1"/>
  <c r="R200" i="1"/>
  <c r="R201" i="1"/>
  <c r="R202" i="1"/>
  <c r="R203" i="1"/>
  <c r="R204" i="1"/>
  <c r="R205" i="1"/>
  <c r="R206" i="1"/>
  <c r="R207" i="1"/>
  <c r="R208" i="1"/>
  <c r="R209" i="1"/>
  <c r="R210" i="1"/>
  <c r="R211" i="1"/>
  <c r="R212" i="1"/>
  <c r="R213" i="1"/>
  <c r="R214" i="1"/>
  <c r="R215" i="1"/>
  <c r="R216" i="1"/>
  <c r="R217" i="1"/>
  <c r="R218" i="1"/>
  <c r="R219" i="1"/>
  <c r="R220" i="1"/>
  <c r="R221" i="1"/>
  <c r="R222" i="1"/>
  <c r="R223" i="1"/>
  <c r="R224" i="1"/>
  <c r="R225" i="1"/>
  <c r="R226" i="1"/>
  <c r="R227" i="1"/>
  <c r="R228" i="1"/>
  <c r="R229" i="1"/>
  <c r="R230" i="1"/>
  <c r="R231" i="1"/>
  <c r="R232" i="1"/>
  <c r="R233" i="1"/>
  <c r="R234" i="1"/>
  <c r="R235" i="1"/>
  <c r="R236" i="1"/>
  <c r="R237" i="1"/>
  <c r="R238" i="1"/>
  <c r="R239" i="1"/>
  <c r="R240" i="1"/>
  <c r="R241" i="1"/>
  <c r="R242" i="1"/>
  <c r="R243" i="1"/>
  <c r="R244" i="1"/>
  <c r="R245" i="1"/>
  <c r="R246" i="1"/>
  <c r="R247" i="1"/>
  <c r="R248" i="1"/>
  <c r="R249" i="1"/>
  <c r="R250" i="1"/>
  <c r="R251" i="1"/>
  <c r="R252" i="1"/>
  <c r="R253" i="1"/>
  <c r="R254" i="1"/>
  <c r="R255" i="1"/>
  <c r="R256" i="1"/>
  <c r="R257" i="1"/>
  <c r="R258" i="1"/>
  <c r="R259" i="1"/>
  <c r="R260" i="1"/>
  <c r="R261" i="1"/>
  <c r="R262" i="1"/>
  <c r="R263" i="1"/>
  <c r="R264" i="1"/>
  <c r="R265" i="1"/>
  <c r="R266" i="1"/>
  <c r="R267" i="1"/>
  <c r="R268" i="1"/>
  <c r="R269" i="1"/>
  <c r="R270" i="1"/>
  <c r="R271" i="1"/>
  <c r="R272" i="1"/>
  <c r="R273" i="1"/>
  <c r="R274" i="1"/>
  <c r="R275" i="1"/>
  <c r="R276" i="1"/>
  <c r="R277" i="1"/>
  <c r="R278" i="1"/>
  <c r="R279" i="1"/>
  <c r="R280" i="1"/>
  <c r="R281" i="1"/>
  <c r="R282" i="1"/>
  <c r="R283" i="1"/>
  <c r="R284" i="1"/>
  <c r="R285" i="1"/>
  <c r="R286" i="1"/>
  <c r="R287" i="1"/>
  <c r="R288" i="1"/>
  <c r="R289" i="1"/>
  <c r="R290" i="1"/>
  <c r="R291" i="1"/>
  <c r="R292" i="1"/>
  <c r="R293" i="1"/>
  <c r="R294" i="1"/>
  <c r="R295" i="1"/>
  <c r="R296" i="1"/>
  <c r="R297" i="1"/>
  <c r="R298" i="1"/>
  <c r="R299" i="1"/>
  <c r="R300" i="1"/>
  <c r="R301" i="1"/>
  <c r="R302" i="1"/>
  <c r="R303" i="1"/>
  <c r="R304" i="1"/>
  <c r="R305" i="1"/>
  <c r="R306" i="1"/>
  <c r="R307" i="1"/>
  <c r="R308" i="1"/>
  <c r="R309" i="1"/>
  <c r="R310" i="1"/>
  <c r="R311" i="1"/>
  <c r="R312" i="1"/>
  <c r="R313" i="1"/>
  <c r="R314" i="1"/>
  <c r="R315" i="1"/>
  <c r="R316" i="1"/>
  <c r="R317" i="1"/>
  <c r="R318" i="1"/>
  <c r="R319" i="1"/>
  <c r="R320" i="1"/>
  <c r="R321" i="1"/>
  <c r="R322" i="1"/>
  <c r="R323" i="1"/>
  <c r="R324" i="1"/>
  <c r="R325" i="1"/>
  <c r="R326" i="1"/>
  <c r="R327" i="1"/>
  <c r="R328" i="1"/>
  <c r="R329" i="1"/>
  <c r="R330" i="1"/>
  <c r="R331" i="1"/>
  <c r="R332" i="1"/>
  <c r="R333" i="1"/>
  <c r="R334" i="1"/>
  <c r="R335" i="1"/>
  <c r="R336" i="1"/>
  <c r="R337" i="1"/>
  <c r="R338" i="1"/>
  <c r="R339" i="1"/>
  <c r="R340" i="1"/>
  <c r="R341" i="1"/>
  <c r="R342" i="1"/>
  <c r="R343" i="1"/>
  <c r="R344" i="1"/>
  <c r="R345" i="1"/>
  <c r="R346" i="1"/>
  <c r="R347" i="1"/>
  <c r="R348" i="1"/>
  <c r="R349" i="1"/>
  <c r="R350" i="1"/>
  <c r="R351" i="1"/>
  <c r="R352" i="1"/>
  <c r="R353" i="1"/>
  <c r="R354" i="1"/>
  <c r="R355" i="1"/>
  <c r="R356" i="1"/>
  <c r="R357" i="1"/>
  <c r="R358" i="1"/>
  <c r="R359" i="1"/>
  <c r="R360" i="1"/>
  <c r="R361" i="1"/>
  <c r="R362" i="1"/>
  <c r="R363" i="1"/>
  <c r="R364" i="1"/>
  <c r="R365" i="1"/>
  <c r="R366" i="1"/>
  <c r="R367" i="1"/>
  <c r="R368" i="1"/>
  <c r="R369" i="1"/>
  <c r="R370" i="1"/>
  <c r="R371" i="1"/>
  <c r="R372" i="1"/>
  <c r="R373" i="1"/>
  <c r="R374" i="1"/>
  <c r="R375" i="1"/>
  <c r="R376" i="1"/>
  <c r="R377" i="1"/>
  <c r="R378" i="1"/>
  <c r="R379" i="1"/>
  <c r="R380" i="1"/>
  <c r="R381" i="1"/>
  <c r="R382" i="1"/>
  <c r="R383" i="1"/>
  <c r="R384" i="1"/>
  <c r="R385" i="1"/>
  <c r="R386" i="1"/>
  <c r="R387" i="1"/>
  <c r="R388" i="1"/>
  <c r="R389" i="1"/>
  <c r="R390" i="1"/>
  <c r="R391" i="1"/>
  <c r="R392" i="1"/>
  <c r="R393" i="1"/>
  <c r="R394" i="1"/>
  <c r="R395" i="1"/>
  <c r="R396" i="1"/>
  <c r="R397" i="1"/>
  <c r="R398" i="1"/>
  <c r="R399" i="1"/>
  <c r="R400" i="1"/>
  <c r="R401" i="1"/>
  <c r="R402" i="1"/>
  <c r="R403" i="1"/>
  <c r="R404" i="1"/>
  <c r="R405" i="1"/>
  <c r="R406" i="1"/>
  <c r="R407" i="1"/>
  <c r="R408" i="1"/>
  <c r="R409" i="1"/>
  <c r="R410" i="1"/>
  <c r="R411" i="1"/>
  <c r="R412" i="1"/>
  <c r="R413" i="1"/>
  <c r="R414" i="1"/>
  <c r="R415" i="1"/>
  <c r="R416" i="1"/>
  <c r="R417" i="1"/>
  <c r="R418" i="1"/>
  <c r="R419" i="1"/>
  <c r="R420" i="1"/>
  <c r="R421" i="1"/>
  <c r="R422" i="1"/>
  <c r="R423" i="1"/>
  <c r="R424" i="1"/>
  <c r="R425" i="1"/>
  <c r="R426" i="1"/>
  <c r="R427" i="1"/>
  <c r="R428" i="1"/>
  <c r="R429" i="1"/>
  <c r="R430" i="1"/>
  <c r="R431" i="1"/>
  <c r="R432" i="1"/>
  <c r="R433" i="1"/>
  <c r="R434" i="1"/>
  <c r="R435" i="1"/>
  <c r="R436" i="1"/>
  <c r="R437" i="1"/>
  <c r="R438" i="1"/>
  <c r="R439" i="1"/>
  <c r="R440" i="1"/>
  <c r="R441" i="1"/>
  <c r="R442" i="1"/>
  <c r="R443" i="1"/>
  <c r="R444" i="1"/>
  <c r="R445" i="1"/>
  <c r="R446" i="1"/>
  <c r="R447" i="1"/>
  <c r="R448" i="1"/>
  <c r="R449" i="1"/>
  <c r="R450" i="1"/>
  <c r="R451" i="1"/>
  <c r="R452" i="1"/>
  <c r="R453" i="1"/>
  <c r="R454" i="1"/>
  <c r="R455" i="1"/>
  <c r="R456" i="1"/>
  <c r="R457" i="1"/>
  <c r="R458" i="1"/>
  <c r="R459" i="1"/>
  <c r="R460" i="1"/>
  <c r="R461" i="1"/>
  <c r="R462" i="1"/>
  <c r="R463" i="1"/>
  <c r="R464" i="1"/>
  <c r="R465" i="1"/>
  <c r="R466" i="1"/>
  <c r="R467" i="1"/>
  <c r="R468" i="1"/>
  <c r="R469" i="1"/>
  <c r="R470" i="1"/>
  <c r="R471" i="1"/>
  <c r="R472" i="1"/>
  <c r="R473" i="1"/>
  <c r="R474" i="1"/>
  <c r="R475" i="1"/>
  <c r="R476" i="1"/>
  <c r="R477" i="1"/>
  <c r="R478" i="1"/>
  <c r="R479" i="1"/>
  <c r="R480" i="1"/>
  <c r="R481" i="1"/>
  <c r="R482" i="1"/>
  <c r="R483" i="1"/>
  <c r="R484" i="1"/>
  <c r="R485" i="1"/>
  <c r="R486" i="1"/>
  <c r="R487" i="1"/>
  <c r="R488" i="1"/>
  <c r="R489" i="1"/>
  <c r="R490" i="1"/>
  <c r="R491" i="1"/>
  <c r="R492" i="1"/>
  <c r="R493" i="1"/>
  <c r="R494" i="1"/>
  <c r="R495" i="1"/>
  <c r="R496" i="1"/>
  <c r="R497" i="1"/>
  <c r="R498" i="1"/>
  <c r="R499" i="1"/>
  <c r="R500" i="1"/>
  <c r="R501" i="1"/>
  <c r="R502" i="1"/>
  <c r="R503" i="1"/>
  <c r="R504" i="1"/>
  <c r="R505" i="1"/>
  <c r="R506" i="1"/>
  <c r="R507" i="1"/>
  <c r="R508" i="1"/>
  <c r="R509" i="1"/>
  <c r="R510" i="1"/>
  <c r="R511" i="1"/>
  <c r="R512" i="1"/>
  <c r="R513" i="1"/>
  <c r="R514" i="1"/>
  <c r="R515" i="1"/>
  <c r="R516" i="1"/>
  <c r="R517" i="1"/>
  <c r="R518" i="1"/>
  <c r="R519" i="1"/>
  <c r="R520" i="1"/>
  <c r="R521" i="1"/>
  <c r="R522" i="1"/>
  <c r="R523" i="1"/>
  <c r="R524" i="1"/>
  <c r="R525" i="1"/>
  <c r="R526" i="1"/>
  <c r="R527" i="1"/>
  <c r="R528" i="1"/>
  <c r="R529" i="1"/>
  <c r="R530" i="1"/>
  <c r="R531" i="1"/>
  <c r="R532" i="1"/>
  <c r="R533" i="1"/>
  <c r="R534" i="1"/>
  <c r="R535" i="1"/>
  <c r="R536" i="1"/>
  <c r="R537" i="1"/>
  <c r="R538" i="1"/>
  <c r="R539" i="1"/>
  <c r="R540" i="1"/>
  <c r="R541" i="1"/>
  <c r="R542" i="1"/>
  <c r="R543" i="1"/>
  <c r="R544" i="1"/>
  <c r="R545" i="1"/>
  <c r="R546" i="1"/>
  <c r="R547" i="1"/>
  <c r="R548" i="1"/>
  <c r="R549" i="1"/>
  <c r="R550" i="1"/>
  <c r="R551" i="1"/>
  <c r="R552" i="1"/>
  <c r="R553" i="1"/>
  <c r="R554" i="1"/>
  <c r="R555" i="1"/>
  <c r="R556" i="1"/>
  <c r="R557" i="1"/>
  <c r="R558" i="1"/>
  <c r="R559" i="1"/>
  <c r="R560" i="1"/>
  <c r="R561" i="1"/>
  <c r="R562" i="1"/>
  <c r="R563" i="1"/>
  <c r="R564" i="1"/>
  <c r="R565" i="1"/>
  <c r="R566" i="1"/>
  <c r="R567" i="1"/>
  <c r="R568" i="1"/>
  <c r="R569" i="1"/>
  <c r="R570" i="1"/>
  <c r="R571" i="1"/>
  <c r="R572" i="1"/>
  <c r="R573" i="1"/>
  <c r="R574" i="1"/>
  <c r="R575" i="1"/>
  <c r="R576" i="1"/>
  <c r="R577" i="1"/>
  <c r="R578" i="1"/>
  <c r="R579" i="1"/>
  <c r="R580" i="1"/>
  <c r="R581" i="1"/>
  <c r="R582" i="1"/>
  <c r="R583" i="1"/>
  <c r="R584" i="1"/>
  <c r="R585" i="1"/>
  <c r="R586" i="1"/>
  <c r="R587" i="1"/>
  <c r="R588" i="1"/>
  <c r="R589" i="1"/>
  <c r="R590" i="1"/>
  <c r="R591" i="1"/>
  <c r="R592" i="1"/>
  <c r="R593" i="1"/>
  <c r="R594" i="1"/>
  <c r="R595" i="1"/>
  <c r="R596" i="1"/>
  <c r="R597" i="1"/>
  <c r="R598" i="1"/>
  <c r="R599" i="1"/>
  <c r="R600" i="1"/>
  <c r="R601" i="1"/>
  <c r="R602" i="1"/>
  <c r="R603" i="1"/>
  <c r="R604" i="1"/>
  <c r="R605" i="1"/>
  <c r="R606" i="1"/>
  <c r="R607" i="1"/>
  <c r="R608" i="1"/>
  <c r="R609" i="1"/>
  <c r="R610" i="1"/>
  <c r="R611" i="1"/>
  <c r="R612" i="1"/>
  <c r="R613" i="1"/>
  <c r="R614" i="1"/>
  <c r="R615" i="1"/>
  <c r="R616" i="1"/>
  <c r="R617" i="1"/>
  <c r="R618" i="1"/>
  <c r="R619" i="1"/>
  <c r="R620" i="1"/>
  <c r="R621" i="1"/>
  <c r="R622" i="1"/>
  <c r="R623" i="1"/>
  <c r="R624" i="1"/>
  <c r="R625" i="1"/>
  <c r="R626" i="1"/>
  <c r="R627" i="1"/>
  <c r="R628" i="1"/>
  <c r="R629" i="1"/>
  <c r="R630" i="1"/>
  <c r="R631" i="1"/>
  <c r="R632" i="1"/>
  <c r="R633" i="1"/>
  <c r="R634" i="1"/>
  <c r="R635" i="1"/>
  <c r="R636" i="1"/>
  <c r="R637" i="1"/>
  <c r="R638" i="1"/>
  <c r="R639" i="1"/>
  <c r="R640" i="1"/>
  <c r="R641" i="1"/>
  <c r="R642" i="1"/>
  <c r="R643" i="1"/>
  <c r="R644" i="1"/>
  <c r="R645" i="1"/>
  <c r="R646" i="1"/>
  <c r="R647" i="1"/>
  <c r="R648" i="1"/>
  <c r="R649" i="1"/>
  <c r="R650" i="1"/>
  <c r="R651" i="1"/>
  <c r="R652" i="1"/>
  <c r="R653" i="1"/>
  <c r="R654" i="1"/>
  <c r="R655" i="1"/>
  <c r="R656" i="1"/>
  <c r="R657" i="1"/>
  <c r="R658" i="1"/>
  <c r="R659" i="1"/>
  <c r="R660" i="1"/>
  <c r="R661" i="1"/>
  <c r="R662" i="1"/>
  <c r="R663" i="1"/>
  <c r="R664" i="1"/>
  <c r="R665" i="1"/>
  <c r="R666" i="1"/>
  <c r="R667" i="1"/>
  <c r="R668" i="1"/>
  <c r="R669" i="1"/>
  <c r="R670" i="1"/>
  <c r="R671" i="1"/>
  <c r="R672" i="1"/>
  <c r="R673" i="1"/>
  <c r="R674" i="1"/>
  <c r="R675" i="1"/>
  <c r="R676" i="1"/>
  <c r="R677" i="1"/>
  <c r="R678" i="1"/>
  <c r="R679" i="1"/>
  <c r="R680" i="1"/>
  <c r="R681" i="1"/>
  <c r="R682" i="1"/>
  <c r="R683" i="1"/>
  <c r="R684" i="1"/>
  <c r="R685" i="1"/>
  <c r="R686" i="1"/>
  <c r="R687" i="1"/>
  <c r="R688" i="1"/>
  <c r="R689" i="1"/>
  <c r="R690" i="1"/>
  <c r="R691" i="1"/>
  <c r="R692" i="1"/>
  <c r="R693" i="1"/>
  <c r="R694" i="1"/>
  <c r="R695" i="1"/>
  <c r="R696" i="1"/>
  <c r="R697" i="1"/>
  <c r="R698" i="1"/>
  <c r="R699" i="1"/>
  <c r="R700" i="1"/>
  <c r="R701" i="1"/>
  <c r="R702" i="1"/>
  <c r="R703" i="1"/>
  <c r="R704" i="1"/>
  <c r="R705" i="1"/>
  <c r="R706" i="1"/>
  <c r="R707" i="1"/>
  <c r="R708" i="1"/>
  <c r="R709" i="1"/>
  <c r="R710" i="1"/>
  <c r="R711" i="1"/>
  <c r="R712" i="1"/>
  <c r="R713" i="1"/>
  <c r="R714" i="1"/>
  <c r="R715" i="1"/>
  <c r="R716" i="1"/>
  <c r="R717" i="1"/>
  <c r="R718" i="1"/>
  <c r="R719" i="1"/>
  <c r="R720" i="1"/>
  <c r="R721" i="1"/>
  <c r="R722" i="1"/>
  <c r="R723" i="1"/>
  <c r="R724" i="1"/>
  <c r="R725" i="1"/>
  <c r="R726" i="1"/>
  <c r="R727" i="1"/>
  <c r="R728" i="1"/>
  <c r="R729" i="1"/>
  <c r="R730" i="1"/>
  <c r="R731" i="1"/>
  <c r="R732" i="1"/>
  <c r="R733" i="1"/>
  <c r="R734" i="1"/>
  <c r="R735" i="1"/>
  <c r="R736" i="1"/>
  <c r="R737" i="1"/>
  <c r="R738" i="1"/>
  <c r="R739" i="1"/>
  <c r="R740" i="1"/>
  <c r="R741" i="1"/>
  <c r="R742" i="1"/>
  <c r="R743" i="1"/>
  <c r="R744" i="1"/>
  <c r="R745" i="1"/>
  <c r="R746" i="1"/>
  <c r="R747" i="1"/>
  <c r="R748" i="1"/>
  <c r="R749" i="1"/>
  <c r="R750" i="1"/>
  <c r="R751" i="1"/>
  <c r="R752" i="1"/>
  <c r="R753" i="1"/>
  <c r="R754" i="1"/>
  <c r="R755" i="1"/>
  <c r="R756" i="1"/>
  <c r="R757" i="1"/>
  <c r="R758" i="1"/>
  <c r="R759" i="1"/>
  <c r="R760" i="1"/>
  <c r="R761" i="1"/>
  <c r="R762" i="1"/>
  <c r="R763" i="1"/>
  <c r="R764" i="1"/>
  <c r="R765" i="1"/>
  <c r="R766" i="1"/>
  <c r="R767" i="1"/>
  <c r="R768" i="1"/>
  <c r="R769" i="1"/>
  <c r="R770" i="1"/>
  <c r="R771" i="1"/>
  <c r="R772" i="1"/>
  <c r="R773" i="1"/>
  <c r="R774" i="1"/>
  <c r="R775" i="1"/>
  <c r="R776" i="1"/>
  <c r="R777" i="1"/>
  <c r="R778" i="1"/>
  <c r="R779" i="1"/>
  <c r="R780" i="1"/>
  <c r="R781" i="1"/>
  <c r="R782" i="1"/>
  <c r="R783" i="1"/>
  <c r="R784" i="1"/>
  <c r="R785" i="1"/>
  <c r="R786" i="1"/>
  <c r="R787" i="1"/>
  <c r="R788" i="1"/>
  <c r="R789" i="1"/>
  <c r="R790" i="1"/>
  <c r="R791" i="1"/>
  <c r="R792" i="1"/>
  <c r="R793" i="1"/>
  <c r="R794" i="1"/>
  <c r="R795" i="1"/>
  <c r="R796" i="1"/>
  <c r="R797" i="1"/>
  <c r="R798" i="1"/>
  <c r="R799" i="1"/>
  <c r="R800" i="1"/>
  <c r="R801" i="1"/>
  <c r="R802" i="1"/>
  <c r="R803" i="1"/>
  <c r="R804" i="1"/>
  <c r="R805" i="1"/>
  <c r="R806" i="1"/>
  <c r="R807" i="1"/>
  <c r="R808" i="1"/>
  <c r="R809" i="1"/>
  <c r="R810" i="1"/>
  <c r="R811" i="1"/>
  <c r="R812" i="1"/>
  <c r="R813" i="1"/>
  <c r="R814" i="1"/>
  <c r="R815" i="1"/>
  <c r="R816" i="1"/>
  <c r="R817" i="1"/>
  <c r="R818" i="1"/>
  <c r="R819" i="1"/>
  <c r="R820" i="1"/>
  <c r="R821" i="1"/>
  <c r="R822" i="1"/>
  <c r="R823" i="1"/>
  <c r="R824" i="1"/>
  <c r="R825" i="1"/>
  <c r="R826" i="1"/>
  <c r="R827" i="1"/>
  <c r="R828" i="1"/>
  <c r="R829" i="1"/>
  <c r="R830" i="1"/>
  <c r="R831" i="1"/>
  <c r="R832" i="1"/>
  <c r="R833" i="1"/>
  <c r="R834" i="1"/>
  <c r="R835" i="1"/>
  <c r="R836" i="1"/>
  <c r="R837" i="1"/>
  <c r="R838" i="1"/>
  <c r="R839" i="1"/>
  <c r="R840" i="1"/>
  <c r="R841" i="1"/>
  <c r="R842" i="1"/>
  <c r="R843" i="1"/>
  <c r="R844" i="1"/>
  <c r="R845" i="1"/>
  <c r="R846" i="1"/>
  <c r="R847" i="1"/>
  <c r="R848" i="1"/>
  <c r="R849" i="1"/>
  <c r="R850" i="1"/>
  <c r="R851" i="1"/>
  <c r="R852" i="1"/>
  <c r="R853" i="1"/>
  <c r="R854" i="1"/>
  <c r="R855" i="1"/>
  <c r="R856" i="1"/>
  <c r="R857" i="1"/>
  <c r="R858" i="1"/>
  <c r="R859" i="1"/>
  <c r="R860" i="1"/>
  <c r="R861" i="1"/>
  <c r="R862" i="1"/>
  <c r="R863" i="1"/>
  <c r="R864" i="1"/>
  <c r="R865" i="1"/>
  <c r="R866" i="1"/>
  <c r="R867" i="1"/>
  <c r="R868" i="1"/>
  <c r="R869" i="1"/>
  <c r="R870" i="1"/>
  <c r="R871" i="1"/>
  <c r="R872" i="1"/>
  <c r="R873" i="1"/>
  <c r="R874" i="1"/>
  <c r="R875" i="1"/>
  <c r="R876" i="1"/>
  <c r="R877" i="1"/>
  <c r="R878" i="1"/>
  <c r="R879" i="1"/>
  <c r="R880" i="1"/>
  <c r="R881" i="1"/>
  <c r="R882" i="1"/>
  <c r="R883" i="1"/>
  <c r="R884" i="1"/>
  <c r="R885" i="1"/>
  <c r="R886" i="1"/>
  <c r="R887" i="1"/>
  <c r="R888" i="1"/>
  <c r="R889" i="1"/>
  <c r="R890" i="1"/>
  <c r="R891" i="1"/>
  <c r="R892" i="1"/>
  <c r="R893" i="1"/>
  <c r="R894" i="1"/>
  <c r="R895" i="1"/>
  <c r="R896" i="1"/>
  <c r="R897" i="1"/>
  <c r="R898" i="1"/>
  <c r="R899" i="1"/>
  <c r="R900" i="1"/>
  <c r="R901" i="1"/>
  <c r="R902" i="1"/>
  <c r="R903" i="1"/>
  <c r="R904" i="1"/>
  <c r="R905" i="1"/>
  <c r="R906" i="1"/>
  <c r="R907" i="1"/>
  <c r="R908" i="1"/>
  <c r="R909" i="1"/>
  <c r="R910" i="1"/>
  <c r="R911" i="1"/>
  <c r="R912" i="1"/>
  <c r="R913" i="1"/>
  <c r="R914" i="1"/>
  <c r="R915" i="1"/>
  <c r="R916" i="1"/>
  <c r="R917" i="1"/>
  <c r="R918" i="1"/>
  <c r="R919" i="1"/>
  <c r="R920" i="1"/>
  <c r="R921" i="1"/>
  <c r="R922" i="1"/>
  <c r="R923" i="1"/>
  <c r="R924" i="1"/>
  <c r="R925" i="1"/>
  <c r="R926" i="1"/>
  <c r="R927" i="1"/>
  <c r="R928" i="1"/>
  <c r="R929" i="1"/>
  <c r="R930" i="1"/>
  <c r="R931" i="1"/>
  <c r="R932" i="1"/>
  <c r="R933" i="1"/>
  <c r="R934" i="1"/>
  <c r="R935" i="1"/>
  <c r="R936" i="1"/>
  <c r="R937" i="1"/>
  <c r="R938" i="1"/>
  <c r="R939" i="1"/>
  <c r="R940" i="1"/>
  <c r="R941" i="1"/>
  <c r="R942" i="1"/>
  <c r="R943" i="1"/>
  <c r="R944" i="1"/>
  <c r="R945" i="1"/>
  <c r="R946" i="1"/>
  <c r="R947" i="1"/>
  <c r="R948" i="1"/>
  <c r="R949" i="1"/>
  <c r="R950" i="1"/>
  <c r="R951" i="1"/>
  <c r="R952" i="1"/>
  <c r="R953" i="1"/>
  <c r="R954" i="1"/>
  <c r="R955" i="1"/>
  <c r="R956" i="1"/>
  <c r="R957" i="1"/>
  <c r="R958" i="1"/>
  <c r="R959" i="1"/>
  <c r="R960" i="1"/>
  <c r="R961" i="1"/>
  <c r="R962" i="1"/>
  <c r="R963" i="1"/>
  <c r="R964" i="1"/>
  <c r="R965" i="1"/>
  <c r="R966" i="1"/>
  <c r="R967" i="1"/>
  <c r="R968" i="1"/>
  <c r="R969" i="1"/>
  <c r="R970" i="1"/>
  <c r="R971" i="1"/>
  <c r="R972" i="1"/>
  <c r="R973" i="1"/>
  <c r="R974" i="1"/>
  <c r="R975" i="1"/>
  <c r="R976" i="1"/>
  <c r="R977" i="1"/>
  <c r="R978" i="1"/>
  <c r="R979" i="1"/>
  <c r="R980" i="1"/>
  <c r="R981" i="1"/>
  <c r="R982" i="1"/>
  <c r="R983" i="1"/>
  <c r="R984" i="1"/>
  <c r="R985" i="1"/>
  <c r="R986" i="1"/>
  <c r="R987" i="1"/>
  <c r="R988" i="1"/>
  <c r="R989" i="1"/>
  <c r="R990" i="1"/>
  <c r="R991" i="1"/>
  <c r="R992" i="1"/>
  <c r="R993" i="1"/>
  <c r="R994" i="1"/>
  <c r="R995" i="1"/>
  <c r="R996" i="1"/>
  <c r="R997" i="1"/>
  <c r="R998" i="1"/>
  <c r="R999" i="1"/>
  <c r="R1000" i="1"/>
  <c r="R1001" i="1"/>
  <c r="C3" i="15"/>
  <c r="B3" i="15"/>
  <c r="D3" i="15"/>
  <c r="B12" i="11" l="1"/>
  <c r="B6" i="11"/>
  <c r="B13" i="11"/>
  <c r="B14" i="11"/>
  <c r="B15" i="11"/>
  <c r="B4" i="1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A16BC29-A34D-40E9-A6B0-76D81C2C0C98}" keepAlive="1" name="ModelConnection_ExternalData_1" description="Data Model" type="5" refreshedVersion="8" minRefreshableVersion="5" saveData="1">
    <dbPr connection="Data Model Connection" command="DRILLTHROUGH MAXROWS 1000 SELECT FROM [Model] WHERE (([Measures].[Sum of cnt],[Append1].[Month].&amp;[February],[Append1].[Weather_Desc].&amp;[Light Rain/Snow])) RETURN [$Append1].[instant],[$Append1].[dteday],[$Append1].[season],[$Append1].[yr],[$Append1].[mnth],[$Append1].[hr],[$Append1].[holiday],[$Append1].[weekday],[$Append1].[weathersit],[$Append1].[temp],[$Append1].[atemp],[$Append1].[hum],[$Append1].[windspeed],[$Append1].[casual],[$Append1].[registered],[$Append1].[cnt],[$Append1].[Weather_Desc],[$Append1].[Season Name],[$Append1].[Day Of Week],[$Append1].[Month]" commandType="4"/>
    <extLst>
      <ext xmlns:x15="http://schemas.microsoft.com/office/spreadsheetml/2010/11/main" uri="{DE250136-89BD-433C-8126-D09CA5730AF9}">
        <x15:connection id="" model="1"/>
      </ext>
    </extLst>
  </connection>
  <connection id="2" xr16:uid="{31C50E5A-8BEE-40AD-8C30-7D9A9CDA2F17}" keepAlive="1" name="Query - Append1" description="Connection to the 'Append1' query in the workbook." type="5" refreshedVersion="8" background="1" saveData="1">
    <dbPr connection="Provider=Microsoft.Mashup.OleDb.1;Data Source=$Workbook$;Location=Append1;Extended Properties=&quot;&quot;" command="SELECT * FROM [Append1]"/>
  </connection>
  <connection id="3" xr16:uid="{946AEB3D-EEF0-4C0C-925A-73A3B6536AA7}" keepAlive="1" name="Query - dataset_1" description="Connection to the 'dataset_1' query in the workbook." type="5" refreshedVersion="0" background="1">
    <dbPr connection="Provider=Microsoft.Mashup.OleDb.1;Data Source=$Workbook$;Location=dataset_1;Extended Properties=&quot;&quot;" command="SELECT * FROM [dataset_1]"/>
  </connection>
  <connection id="4" xr16:uid="{28D921F2-8A72-49D2-BB42-CF3891D467A6}" keepAlive="1" name="Query - dataset_2" description="Connection to the 'dataset_2' query in the workbook." type="5" refreshedVersion="0" background="1">
    <dbPr connection="Provider=Microsoft.Mashup.OleDb.1;Data Source=$Workbook$;Location=dataset_2;Extended Properties=&quot;&quot;" command="SELECT * FROM [dataset_2]"/>
  </connection>
  <connection id="5" xr16:uid="{F1330B33-4FA3-406D-B412-6A26A927C168}" keepAlive="1" name="Query - dataset_3" description="Connection to the 'dataset_3' query in the workbook." type="5" refreshedVersion="0" background="1">
    <dbPr connection="Provider=Microsoft.Mashup.OleDb.1;Data Source=$Workbook$;Location=dataset_3;Extended Properties=&quot;&quot;" command="SELECT * FROM [dataset_3]"/>
  </connection>
  <connection id="6" xr16:uid="{4A2A418B-BD86-4C06-B5E4-F60D79EAD2C9}" keepAlive="1" name="ThisWorkbookDataModel" description="Data Model" type="5" refreshedVersion="8" minRefreshableVersion="5" background="1">
    <dbPr connection="Data Model Connection" command="Model" commandType="1"/>
    <olapPr sendLocale="1" rowDrillCount="1000"/>
    <extLst>
      <ext xmlns:x15="http://schemas.microsoft.com/office/spreadsheetml/2010/11/main" uri="{DE250136-89BD-433C-8126-D09CA5730AF9}">
        <x15:connection id="" model="1"/>
      </ext>
    </extLst>
  </connection>
  <connection id="7" xr16:uid="{034E390D-1783-4721-A9A5-A1A7A4AC4D04}" name="WorksheetConnection_dataset append.xlsx!Append1" type="102" refreshedVersion="8" minRefreshableVersion="5">
    <extLst>
      <ext xmlns:x15="http://schemas.microsoft.com/office/spreadsheetml/2010/11/main" uri="{DE250136-89BD-433C-8126-D09CA5730AF9}">
        <x15:connection id="Append1" autoDelete="1">
          <x15:rangePr sourceName="_xlcn.WorksheetConnection_datasetappend.xlsxAppend11"/>
        </x15:connection>
      </ext>
    </extLst>
  </connection>
</connections>
</file>

<file path=xl/sharedStrings.xml><?xml version="1.0" encoding="utf-8"?>
<sst xmlns="http://schemas.openxmlformats.org/spreadsheetml/2006/main" count="5324" uniqueCount="128">
  <si>
    <t>instant</t>
  </si>
  <si>
    <t>dteday</t>
  </si>
  <si>
    <t>season</t>
  </si>
  <si>
    <t>yr</t>
  </si>
  <si>
    <t>mnth</t>
  </si>
  <si>
    <t>hr</t>
  </si>
  <si>
    <t>holiday</t>
  </si>
  <si>
    <t>weekday</t>
  </si>
  <si>
    <t>weathersit</t>
  </si>
  <si>
    <t>temp</t>
  </si>
  <si>
    <t>atemp</t>
  </si>
  <si>
    <t>hum</t>
  </si>
  <si>
    <t>windspeed</t>
  </si>
  <si>
    <t>casual</t>
  </si>
  <si>
    <t>registered</t>
  </si>
  <si>
    <t>cnt</t>
  </si>
  <si>
    <t>Weather_Desc</t>
  </si>
  <si>
    <t>Row Labels</t>
  </si>
  <si>
    <t>Grand Total</t>
  </si>
  <si>
    <t>Season Name</t>
  </si>
  <si>
    <t>Day Of Week</t>
  </si>
  <si>
    <t xml:space="preserve">Month </t>
  </si>
  <si>
    <t>Friday</t>
  </si>
  <si>
    <t>Monday</t>
  </si>
  <si>
    <t>Saturday</t>
  </si>
  <si>
    <t>Sunday</t>
  </si>
  <si>
    <t>Thursday</t>
  </si>
  <si>
    <t>Tuesday</t>
  </si>
  <si>
    <t>Wednesday</t>
  </si>
  <si>
    <t>February</t>
  </si>
  <si>
    <t>January</t>
  </si>
  <si>
    <t>Temp vs cnt</t>
  </si>
  <si>
    <t>Hum vs Cnt</t>
  </si>
  <si>
    <t>Windspeed vs cnt</t>
  </si>
  <si>
    <t>Variable</t>
  </si>
  <si>
    <t>Correlation Coeeficient</t>
  </si>
  <si>
    <t>Condition</t>
  </si>
  <si>
    <t>Count</t>
  </si>
  <si>
    <t>Total Demand</t>
  </si>
  <si>
    <t>Average Demand</t>
  </si>
  <si>
    <t>Standard Deviation Registered Column</t>
  </si>
  <si>
    <t xml:space="preserve">SUM REGISTERED COLUMN </t>
  </si>
  <si>
    <t>SUM CASUAL COLUMN</t>
  </si>
  <si>
    <t>Average Registered</t>
  </si>
  <si>
    <t>Average Casual Col</t>
  </si>
  <si>
    <t>Overall Demand Volume</t>
  </si>
  <si>
    <t>Typical user demand</t>
  </si>
  <si>
    <t>Demand Variability</t>
  </si>
  <si>
    <t>Measure of predictibilty/Risk</t>
  </si>
  <si>
    <t>Atemp vs cnt</t>
  </si>
  <si>
    <t>Total Rentals on Light Rain/Snow</t>
  </si>
  <si>
    <t>Total Rentals on Clear/Few Clouds</t>
  </si>
  <si>
    <t>Total Rentals on Mist/Cloudy</t>
  </si>
  <si>
    <t>Total Rentals on Heavy Rain/Snow</t>
  </si>
  <si>
    <t>TOTAL</t>
  </si>
  <si>
    <t>Day</t>
  </si>
  <si>
    <t>Weather &amp; Seasonal Impact Bike Demand</t>
  </si>
  <si>
    <t>FALSE</t>
  </si>
  <si>
    <t>TRUE</t>
  </si>
  <si>
    <t>Sum of cnt</t>
  </si>
  <si>
    <t>CASUAL</t>
  </si>
  <si>
    <t>Temp.</t>
  </si>
  <si>
    <t>Clear/Few Clouds</t>
  </si>
  <si>
    <t>Light Rain/Snow</t>
  </si>
  <si>
    <t>Mist/Cloudy</t>
  </si>
  <si>
    <t>Heavy Rain/Snow</t>
  </si>
  <si>
    <t>TOTAL SOLD</t>
  </si>
  <si>
    <t>REGISTERED</t>
  </si>
  <si>
    <t>Weather Status</t>
  </si>
  <si>
    <t>Remarks</t>
  </si>
  <si>
    <t>Higher temperatures encourage slightly more rentals, but not strongly enough to be a primary demand predictor.</t>
  </si>
  <si>
    <t>High humidity slightly discourages use. This effect is minor compared to other factors.</t>
  </si>
  <si>
    <t>Wind speed has no meaningful predictive value for demand.</t>
  </si>
  <si>
    <t>Perceived tempearture is a very weak positive driver, showing a similar, small effect to actual temperature.</t>
  </si>
  <si>
    <t>Sum of casual</t>
  </si>
  <si>
    <t>Sum of registered</t>
  </si>
  <si>
    <t>Public Holidays for 2011</t>
  </si>
  <si>
    <t>Date</t>
  </si>
  <si>
    <t>Holiday Name</t>
  </si>
  <si>
    <t>New Year’s Day</t>
  </si>
  <si>
    <t>Republic Day</t>
  </si>
  <si>
    <t>Holi</t>
  </si>
  <si>
    <t>Ram Navami</t>
  </si>
  <si>
    <t>Mahavir Jayanti</t>
  </si>
  <si>
    <t>Good Friday</t>
  </si>
  <si>
    <t>Labour Day (May Day)</t>
  </si>
  <si>
    <t>Independence Day</t>
  </si>
  <si>
    <t>Janmashtami</t>
  </si>
  <si>
    <t>Eid-ul-Fitr (Ramzan Id)</t>
  </si>
  <si>
    <t>Gandhi Jayanti</t>
  </si>
  <si>
    <t>Dussehra (Vijaya Dashami)</t>
  </si>
  <si>
    <t>Diwali (Deepavali)</t>
  </si>
  <si>
    <t>Bakrid / Eid al-Adha</t>
  </si>
  <si>
    <t>Guru Nanak Jayanti</t>
  </si>
  <si>
    <t>Muharram</t>
  </si>
  <si>
    <t>Christmas Day</t>
  </si>
  <si>
    <t>Holiday Working Day Impact</t>
  </si>
  <si>
    <t>CASUAL VS REGISTERED</t>
  </si>
  <si>
    <t>Average of cnt</t>
  </si>
  <si>
    <t>Demand according to day</t>
  </si>
  <si>
    <t>Append1[instant]</t>
  </si>
  <si>
    <t>Append1[dteday]</t>
  </si>
  <si>
    <t>Append1[season]</t>
  </si>
  <si>
    <t>Append1[yr]</t>
  </si>
  <si>
    <t>Append1[mnth]</t>
  </si>
  <si>
    <t>Append1[hr]</t>
  </si>
  <si>
    <t>Append1[holiday]</t>
  </si>
  <si>
    <t>Append1[weekday]</t>
  </si>
  <si>
    <t>Append1[weathersit]</t>
  </si>
  <si>
    <t>Append1[temp]</t>
  </si>
  <si>
    <t>Append1[atemp]</t>
  </si>
  <si>
    <t>Append1[hum]</t>
  </si>
  <si>
    <t>Append1[windspeed]</t>
  </si>
  <si>
    <t>Append1[casual]</t>
  </si>
  <si>
    <t>Append1[registered]</t>
  </si>
  <si>
    <t>Append1[cnt]</t>
  </si>
  <si>
    <t>Append1[Weather_Desc]</t>
  </si>
  <si>
    <t>Append1[Season Name]</t>
  </si>
  <si>
    <t>Append1[Day Of Week]</t>
  </si>
  <si>
    <t>Append1[Month]</t>
  </si>
  <si>
    <t>Winter</t>
  </si>
  <si>
    <t>Data returned for Sum of cnt, February - Light Rain/Snow (First 1000 rows).</t>
  </si>
  <si>
    <t>Weathersit2</t>
  </si>
  <si>
    <t>GOOD</t>
  </si>
  <si>
    <t>MODERATE</t>
  </si>
  <si>
    <t>BAD</t>
  </si>
  <si>
    <t>WORSE</t>
  </si>
  <si>
    <t>Details for Sum of registered</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</si>
</sst>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7" x14ac:knownFonts="1">
    <font>
      <sz val="11"/>
      <color theme="1"/>
      <name val="Calibri"/>
      <family val="2"/>
      <scheme val="minor"/>
    </font>
    <font>
      <sz val="8"/>
      <name val="Calibri"/>
      <family val="2"/>
      <scheme val="minor"/>
    </font>
    <font>
      <b/>
      <sz val="11"/>
      <color theme="1"/>
      <name val="Calibri"/>
      <family val="2"/>
      <scheme val="minor"/>
    </font>
    <font>
      <sz val="11"/>
      <color rgb="FFC00000"/>
      <name val="Calibri"/>
      <family val="2"/>
      <scheme val="minor"/>
    </font>
    <font>
      <b/>
      <sz val="14"/>
      <color rgb="FFFF0000"/>
      <name val="Calibri"/>
      <family val="2"/>
      <scheme val="minor"/>
    </font>
    <font>
      <sz val="14"/>
      <color rgb="FFFF0000"/>
      <name val="Calibri"/>
      <family val="2"/>
      <scheme val="minor"/>
    </font>
    <font>
      <sz val="18"/>
      <color theme="1"/>
      <name val="Calibri"/>
      <family val="2"/>
      <scheme val="minor"/>
    </font>
  </fonts>
  <fills count="6">
    <fill>
      <patternFill patternType="none"/>
    </fill>
    <fill>
      <patternFill patternType="gray125"/>
    </fill>
    <fill>
      <patternFill patternType="solid">
        <fgColor rgb="FFFFFF00"/>
        <bgColor indexed="64"/>
      </patternFill>
    </fill>
    <fill>
      <patternFill patternType="solid">
        <fgColor theme="4" tint="0.39997558519241921"/>
        <bgColor indexed="64"/>
      </patternFill>
    </fill>
    <fill>
      <patternFill patternType="solid">
        <fgColor theme="9" tint="0.59999389629810485"/>
        <bgColor indexed="64"/>
      </patternFill>
    </fill>
    <fill>
      <patternFill patternType="solid">
        <fgColor theme="6" tint="0.39997558519241921"/>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thin">
        <color indexed="64"/>
      </left>
      <right style="thin">
        <color indexed="64"/>
      </right>
      <top/>
      <bottom style="thin">
        <color indexed="64"/>
      </bottom>
      <diagonal/>
    </border>
  </borders>
  <cellStyleXfs count="1">
    <xf numFmtId="0" fontId="0" fillId="0" borderId="0"/>
  </cellStyleXfs>
  <cellXfs count="31">
    <xf numFmtId="0" fontId="0" fillId="0" borderId="0" xfId="0"/>
    <xf numFmtId="14" fontId="0" fillId="0" borderId="0" xfId="0" applyNumberFormat="1"/>
    <xf numFmtId="0" fontId="0" fillId="0" borderId="0" xfId="0" pivotButton="1"/>
    <xf numFmtId="0" fontId="0" fillId="0" borderId="0" xfId="0" applyAlignment="1">
      <alignment horizontal="left"/>
    </xf>
    <xf numFmtId="0" fontId="0" fillId="0" borderId="1" xfId="0" applyBorder="1"/>
    <xf numFmtId="0" fontId="2" fillId="0" borderId="0" xfId="0" applyFont="1"/>
    <xf numFmtId="0" fontId="0" fillId="0" borderId="0" xfId="0" applyAlignment="1">
      <alignment horizontal="center"/>
    </xf>
    <xf numFmtId="0" fontId="2" fillId="0" borderId="1" xfId="0" applyFont="1" applyBorder="1"/>
    <xf numFmtId="0" fontId="0" fillId="0" borderId="1" xfId="0" applyBorder="1" applyAlignment="1">
      <alignment horizontal="center"/>
    </xf>
    <xf numFmtId="0" fontId="2" fillId="0" borderId="1" xfId="0" applyFont="1" applyBorder="1" applyAlignment="1">
      <alignment horizontal="center"/>
    </xf>
    <xf numFmtId="0" fontId="2" fillId="0" borderId="1" xfId="0" applyFont="1" applyBorder="1" applyAlignment="1">
      <alignment horizontal="center" wrapText="1"/>
    </xf>
    <xf numFmtId="0" fontId="0" fillId="0" borderId="0" xfId="0" applyAlignment="1">
      <alignment horizontal="left" indent="1"/>
    </xf>
    <xf numFmtId="0" fontId="0" fillId="2" borderId="0" xfId="0" applyFill="1"/>
    <xf numFmtId="0" fontId="3" fillId="2" borderId="0" xfId="0" applyFont="1" applyFill="1"/>
    <xf numFmtId="0" fontId="0" fillId="3" borderId="0" xfId="0" applyFill="1"/>
    <xf numFmtId="0" fontId="0" fillId="4" borderId="0" xfId="0" applyFill="1"/>
    <xf numFmtId="0" fontId="0" fillId="5" borderId="0" xfId="0" applyFill="1"/>
    <xf numFmtId="0" fontId="4" fillId="0" borderId="1" xfId="0" applyFont="1" applyBorder="1" applyAlignment="1">
      <alignment horizontal="center"/>
    </xf>
    <xf numFmtId="0" fontId="5" fillId="2" borderId="1" xfId="0" applyFont="1" applyFill="1" applyBorder="1" applyAlignment="1">
      <alignment horizontal="center"/>
    </xf>
    <xf numFmtId="0" fontId="2" fillId="0" borderId="5" xfId="0" applyFont="1" applyBorder="1" applyAlignment="1">
      <alignment horizontal="center" vertical="center" wrapText="1"/>
    </xf>
    <xf numFmtId="15" fontId="0" fillId="0" borderId="1" xfId="0" applyNumberFormat="1" applyBorder="1" applyAlignment="1">
      <alignment horizontal="center" vertical="center" wrapText="1"/>
    </xf>
    <xf numFmtId="0" fontId="0" fillId="0" borderId="1" xfId="0" applyBorder="1" applyAlignment="1">
      <alignment horizontal="center" vertical="center" wrapText="1"/>
    </xf>
    <xf numFmtId="0" fontId="4" fillId="0" borderId="0" xfId="0" applyFont="1" applyAlignment="1">
      <alignment horizontal="center"/>
    </xf>
    <xf numFmtId="0" fontId="5" fillId="0" borderId="0" xfId="0" applyFont="1" applyAlignment="1">
      <alignment horizontal="center"/>
    </xf>
    <xf numFmtId="0" fontId="2" fillId="0" borderId="2" xfId="0" applyFont="1" applyBorder="1" applyAlignment="1">
      <alignment horizontal="center"/>
    </xf>
    <xf numFmtId="0" fontId="2" fillId="0" borderId="3" xfId="0" applyFont="1" applyBorder="1" applyAlignment="1">
      <alignment horizontal="center"/>
    </xf>
    <xf numFmtId="0" fontId="2" fillId="0" borderId="4" xfId="0" applyFont="1" applyBorder="1" applyAlignment="1">
      <alignment horizontal="center"/>
    </xf>
    <xf numFmtId="0" fontId="0" fillId="0" borderId="0" xfId="0" applyAlignment="1">
      <alignment horizontal="center"/>
    </xf>
    <xf numFmtId="0" fontId="0" fillId="2" borderId="0" xfId="0" applyFill="1" applyAlignment="1">
      <alignment horizontal="center" vertical="center"/>
    </xf>
    <xf numFmtId="0" fontId="6" fillId="2" borderId="0" xfId="0" applyFont="1" applyFill="1" applyAlignment="1">
      <alignment horizontal="center"/>
    </xf>
    <xf numFmtId="0" fontId="2" fillId="2" borderId="0" xfId="0" applyFont="1" applyFill="1" applyAlignment="1">
      <alignment horizontal="center" vertical="center" wrapText="1"/>
    </xf>
  </cellXfs>
  <cellStyles count="1">
    <cellStyle name="Normal" xfId="0" builtinId="0"/>
  </cellStyles>
  <dxfs count="10">
    <dxf>
      <numFmt numFmtId="19" formatCode="dd/mm/yyyy"/>
    </dxf>
    <dxf>
      <numFmt numFmtId="19" formatCode="dd/mm/yyyy"/>
    </dxf>
    <dxf>
      <numFmt numFmtId="19" formatCode="dd/mm/yyyy"/>
    </dxf>
    <dxf>
      <numFmt numFmtId="0" formatCode="General"/>
      <fill>
        <patternFill patternType="solid">
          <fgColor indexed="64"/>
          <bgColor theme="6" tint="0.39997558519241921"/>
        </patternFill>
      </fill>
    </dxf>
    <dxf>
      <numFmt numFmtId="0" formatCode="General"/>
    </dxf>
    <dxf>
      <numFmt numFmtId="0" formatCode="General"/>
      <fill>
        <patternFill patternType="solid">
          <fgColor indexed="64"/>
          <bgColor theme="9" tint="0.59999389629810485"/>
        </patternFill>
      </fill>
    </dxf>
    <dxf>
      <numFmt numFmtId="0" formatCode="General"/>
      <fill>
        <patternFill patternType="solid">
          <fgColor indexed="64"/>
          <bgColor theme="4" tint="0.39997558519241921"/>
        </patternFill>
      </fill>
    </dxf>
    <dxf>
      <numFmt numFmtId="0" formatCode="General"/>
      <fill>
        <patternFill patternType="solid">
          <fgColor indexed="64"/>
          <bgColor rgb="FFFFFF00"/>
        </patternFill>
      </fill>
    </dxf>
    <dxf>
      <numFmt numFmtId="0" formatCode="General"/>
    </dxf>
    <dxf>
      <numFmt numFmtId="19" formatCode="dd/mm/yyyy"/>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7/relationships/slicerCache" Target="slicerCaches/slicerCache2.xml"/><Relationship Id="rId18" Type="http://schemas.openxmlformats.org/officeDocument/2006/relationships/sharedStrings" Target="sharedStrings.xml"/><Relationship Id="rId3" Type="http://schemas.openxmlformats.org/officeDocument/2006/relationships/worksheet" Target="worksheets/sheet3.xml"/><Relationship Id="rId21" Type="http://schemas.openxmlformats.org/officeDocument/2006/relationships/customXml" Target="../customXml/item1.xml"/><Relationship Id="rId7" Type="http://schemas.openxmlformats.org/officeDocument/2006/relationships/worksheet" Target="worksheets/sheet7.xml"/><Relationship Id="rId12" Type="http://schemas.microsoft.com/office/2007/relationships/slicerCache" Target="slicerCaches/slicerCache1.xml"/><Relationship Id="rId17" Type="http://schemas.openxmlformats.org/officeDocument/2006/relationships/styles" Target="styles.xml"/><Relationship Id="rId2" Type="http://schemas.openxmlformats.org/officeDocument/2006/relationships/worksheet" Target="worksheets/sheet2.xml"/><Relationship Id="rId16" Type="http://schemas.openxmlformats.org/officeDocument/2006/relationships/connections" Target="connections.xml"/><Relationship Id="rId20"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pivotCacheDefinition" Target="pivotCache/pivotCacheDefinition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pivotCacheDefinition" Target="pivotCache/pivotCacheDefinition1.xml"/><Relationship Id="rId19" Type="http://schemas.openxmlformats.org/officeDocument/2006/relationships/powerPivotData" Target="model/item.data"/><Relationship Id="rId4" Type="http://schemas.openxmlformats.org/officeDocument/2006/relationships/worksheet" Target="worksheets/sheet4.xml"/><Relationship Id="rId9" Type="http://schemas.openxmlformats.org/officeDocument/2006/relationships/worksheet" Target="worksheets/sheet9.xml"/><Relationship Id="rId14" Type="http://schemas.microsoft.com/office/2007/relationships/slicerCache" Target="slicerCaches/slicerCache3.xml"/><Relationship Id="rId22" Type="http://schemas.microsoft.com/office/2006/relationships/vbaProject" Target="vbaProject.bin"/></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 append - Copy.xlsm]Dashboard!PivotTable9</c:name>
    <c:fmtId val="13"/>
  </c:pivotSource>
  <c:chart>
    <c:autoTitleDeleted val="0"/>
    <c:pivotFmts>
      <c:pivotFmt>
        <c:idx val="0"/>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1"/>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
        <c:idx val="2"/>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extLst>
            <c:ext xmlns:c15="http://schemas.microsoft.com/office/drawing/2012/chart" uri="{CE6537A1-D6FC-4f65-9D91-7224C49458BB}"/>
          </c:extLst>
        </c:dLbl>
      </c:pivotFmt>
    </c:pivotFmts>
    <c:plotArea>
      <c:layout/>
      <c:barChart>
        <c:barDir val="col"/>
        <c:grouping val="clustered"/>
        <c:varyColors val="0"/>
        <c:ser>
          <c:idx val="0"/>
          <c:order val="0"/>
          <c:tx>
            <c:strRef>
              <c:f>Dashboard!$B$29</c:f>
              <c:strCache>
                <c:ptCount val="1"/>
                <c:pt idx="0">
                  <c:v>Sum of cnt</c:v>
                </c:pt>
              </c:strCache>
            </c:strRef>
          </c:tx>
          <c:spPr>
            <a:gradFill rotWithShape="1">
              <a:gsLst>
                <a:gs pos="0">
                  <a:schemeClr val="accent1">
                    <a:satMod val="103000"/>
                    <a:lumMod val="102000"/>
                    <a:tint val="94000"/>
                  </a:schemeClr>
                </a:gs>
                <a:gs pos="50000">
                  <a:schemeClr val="accent1">
                    <a:satMod val="110000"/>
                    <a:lumMod val="100000"/>
                    <a:shade val="100000"/>
                  </a:schemeClr>
                </a:gs>
                <a:gs pos="100000">
                  <a:schemeClr val="accent1">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Dashboard!$B$30</c:f>
              <c:strCache>
                <c:ptCount val="1"/>
                <c:pt idx="0">
                  <c:v>Total</c:v>
                </c:pt>
              </c:strCache>
            </c:strRef>
          </c:cat>
          <c:val>
            <c:numRef>
              <c:f>Dashboard!$B$30</c:f>
              <c:numCache>
                <c:formatCode>General</c:formatCode>
                <c:ptCount val="1"/>
                <c:pt idx="0">
                  <c:v>58304</c:v>
                </c:pt>
              </c:numCache>
            </c:numRef>
          </c:val>
          <c:extLst>
            <c:ext xmlns:c16="http://schemas.microsoft.com/office/drawing/2014/chart" uri="{C3380CC4-5D6E-409C-BE32-E72D297353CC}">
              <c16:uniqueId val="{00000000-69CD-4A6F-8B69-FA8BE206988A}"/>
            </c:ext>
          </c:extLst>
        </c:ser>
        <c:ser>
          <c:idx val="1"/>
          <c:order val="1"/>
          <c:tx>
            <c:strRef>
              <c:f>Dashboard!$C$29</c:f>
              <c:strCache>
                <c:ptCount val="1"/>
                <c:pt idx="0">
                  <c:v>Sum of registered</c:v>
                </c:pt>
              </c:strCache>
            </c:strRef>
          </c:tx>
          <c:spPr>
            <a:gradFill rotWithShape="1">
              <a:gsLst>
                <a:gs pos="0">
                  <a:schemeClr val="accent2">
                    <a:satMod val="103000"/>
                    <a:lumMod val="102000"/>
                    <a:tint val="94000"/>
                  </a:schemeClr>
                </a:gs>
                <a:gs pos="50000">
                  <a:schemeClr val="accent2">
                    <a:satMod val="110000"/>
                    <a:lumMod val="100000"/>
                    <a:shade val="100000"/>
                  </a:schemeClr>
                </a:gs>
                <a:gs pos="100000">
                  <a:schemeClr val="accent2">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Dashboard!$B$30</c:f>
              <c:strCache>
                <c:ptCount val="1"/>
                <c:pt idx="0">
                  <c:v>Total</c:v>
                </c:pt>
              </c:strCache>
            </c:strRef>
          </c:cat>
          <c:val>
            <c:numRef>
              <c:f>Dashboard!$C$30</c:f>
              <c:numCache>
                <c:formatCode>General</c:formatCode>
                <c:ptCount val="1"/>
                <c:pt idx="0">
                  <c:v>53383</c:v>
                </c:pt>
              </c:numCache>
            </c:numRef>
          </c:val>
          <c:extLst>
            <c:ext xmlns:c16="http://schemas.microsoft.com/office/drawing/2014/chart" uri="{C3380CC4-5D6E-409C-BE32-E72D297353CC}">
              <c16:uniqueId val="{00000002-69CD-4A6F-8B69-FA8BE206988A}"/>
            </c:ext>
          </c:extLst>
        </c:ser>
        <c:ser>
          <c:idx val="2"/>
          <c:order val="2"/>
          <c:tx>
            <c:strRef>
              <c:f>Dashboard!$D$29</c:f>
              <c:strCache>
                <c:ptCount val="1"/>
                <c:pt idx="0">
                  <c:v>Sum of casual</c:v>
                </c:pt>
              </c:strCache>
            </c:strRef>
          </c:tx>
          <c:spPr>
            <a:gradFill rotWithShape="1">
              <a:gsLst>
                <a:gs pos="0">
                  <a:schemeClr val="accent3">
                    <a:satMod val="103000"/>
                    <a:lumMod val="102000"/>
                    <a:tint val="94000"/>
                  </a:schemeClr>
                </a:gs>
                <a:gs pos="50000">
                  <a:schemeClr val="accent3">
                    <a:satMod val="110000"/>
                    <a:lumMod val="100000"/>
                    <a:shade val="100000"/>
                  </a:schemeClr>
                </a:gs>
                <a:gs pos="100000">
                  <a:schemeClr val="accent3">
                    <a:lumMod val="99000"/>
                    <a:satMod val="120000"/>
                    <a:shade val="78000"/>
                  </a:schemeClr>
                </a:gs>
              </a:gsLst>
              <a:lin ang="5400000" scaled="0"/>
            </a:gradFill>
            <a:ln>
              <a:noFill/>
            </a:ln>
            <a:effectLst>
              <a:outerShdw blurRad="57150" dist="19050" dir="5400000" algn="ctr" rotWithShape="0">
                <a:srgbClr val="000000">
                  <a:alpha val="63000"/>
                </a:srgbClr>
              </a:outerShdw>
            </a:effectLst>
          </c:spPr>
          <c:invertIfNegative val="0"/>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dLblPos val="inEnd"/>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Dashboard!$B$30</c:f>
              <c:strCache>
                <c:ptCount val="1"/>
                <c:pt idx="0">
                  <c:v>Total</c:v>
                </c:pt>
              </c:strCache>
            </c:strRef>
          </c:cat>
          <c:val>
            <c:numRef>
              <c:f>Dashboard!$D$30</c:f>
              <c:numCache>
                <c:formatCode>General</c:formatCode>
                <c:ptCount val="1"/>
                <c:pt idx="0">
                  <c:v>4921</c:v>
                </c:pt>
              </c:numCache>
            </c:numRef>
          </c:val>
          <c:extLst>
            <c:ext xmlns:c16="http://schemas.microsoft.com/office/drawing/2014/chart" uri="{C3380CC4-5D6E-409C-BE32-E72D297353CC}">
              <c16:uniqueId val="{00000003-69CD-4A6F-8B69-FA8BE206988A}"/>
            </c:ext>
          </c:extLst>
        </c:ser>
        <c:dLbls>
          <c:dLblPos val="inEnd"/>
          <c:showLegendKey val="0"/>
          <c:showVal val="1"/>
          <c:showCatName val="0"/>
          <c:showSerName val="0"/>
          <c:showPercent val="0"/>
          <c:showBubbleSize val="0"/>
        </c:dLbls>
        <c:gapWidth val="100"/>
        <c:overlap val="-24"/>
        <c:axId val="2035022495"/>
        <c:axId val="2035020095"/>
      </c:barChart>
      <c:catAx>
        <c:axId val="203502249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5020095"/>
        <c:crosses val="autoZero"/>
        <c:auto val="1"/>
        <c:lblAlgn val="ctr"/>
        <c:lblOffset val="100"/>
        <c:noMultiLvlLbl val="0"/>
      </c:catAx>
      <c:valAx>
        <c:axId val="203502009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203502249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 append - Copy.xlsm]Dashboard!PivotTable10</c:name>
    <c:fmtId val="17"/>
  </c:pivotSource>
  <c:chart>
    <c:title>
      <c:tx>
        <c:rich>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r>
              <a:rPr lang="en-US"/>
              <a:t>Hourly</a:t>
            </a:r>
            <a:r>
              <a:rPr lang="en-US" baseline="0"/>
              <a:t> Demand</a:t>
            </a:r>
            <a:endParaRPr lang="en-US"/>
          </a:p>
        </c:rich>
      </c:tx>
      <c:overlay val="0"/>
      <c:spPr>
        <a:noFill/>
        <a:ln>
          <a:noFill/>
        </a:ln>
        <a:effectLst/>
      </c:spPr>
      <c:txPr>
        <a:bodyPr rot="0" spcFirstLastPara="1" vertOverflow="ellipsis" vert="horz" wrap="square" anchor="ctr" anchorCtr="1"/>
        <a:lstStyle/>
        <a:p>
          <a:pPr>
            <a:defRPr sz="1600" b="1" i="0" u="none" strike="noStrike" kern="1200" spc="100" baseline="0">
              <a:solidFill>
                <a:schemeClr val="lt1">
                  <a:lumMod val="95000"/>
                </a:schemeClr>
              </a:solidFill>
              <a:effectLst>
                <a:outerShdw blurRad="50800" dist="38100" dir="5400000" algn="t" rotWithShape="0">
                  <a:prstClr val="black">
                    <a:alpha val="40000"/>
                  </a:prstClr>
                </a:outerShdw>
              </a:effectLst>
              <a:latin typeface="+mn-lt"/>
              <a:ea typeface="+mn-ea"/>
              <a:cs typeface="+mn-cs"/>
            </a:defRPr>
          </a:pPr>
          <a:endParaRPr lang="en-US"/>
        </a:p>
      </c:txPr>
    </c:title>
    <c:autoTitleDeleted val="0"/>
    <c:pivotFmts>
      <c:pivotFmt>
        <c:idx val="0"/>
        <c:spPr>
          <a:ln w="34925" cap="rnd">
            <a:solidFill>
              <a:schemeClr val="accent1"/>
            </a:solidFill>
            <a:round/>
          </a:ln>
          <a:effectLst>
            <a:outerShdw blurRad="57150" dist="19050" dir="5400000" algn="ctr" rotWithShape="0">
              <a:srgbClr val="000000">
                <a:alpha val="63000"/>
              </a:srgbClr>
            </a:outerShdw>
          </a:effectLst>
        </c:spPr>
        <c:marker>
          <c:symbol val="none"/>
        </c:marker>
        <c:dLbl>
          <c:idx val="0"/>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plotArea>
      <c:layout/>
      <c:lineChart>
        <c:grouping val="standard"/>
        <c:varyColors val="0"/>
        <c:ser>
          <c:idx val="0"/>
          <c:order val="0"/>
          <c:tx>
            <c:strRef>
              <c:f>Dashboard!$C$32</c:f>
              <c:strCache>
                <c:ptCount val="1"/>
                <c:pt idx="0">
                  <c:v>Total</c:v>
                </c:pt>
              </c:strCache>
            </c:strRef>
          </c:tx>
          <c:spPr>
            <a:ln w="34925" cap="rnd">
              <a:solidFill>
                <a:schemeClr val="accent1"/>
              </a:solidFill>
              <a:round/>
            </a:ln>
            <a:effectLst>
              <a:outerShdw blurRad="57150" dist="19050" dir="5400000" algn="ctr" rotWithShape="0">
                <a:srgbClr val="000000">
                  <a:alpha val="63000"/>
                </a:srgbClr>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0" i="0" u="none" strike="noStrike" kern="1200" baseline="0">
                    <a:solidFill>
                      <a:schemeClr val="lt1">
                        <a:lumMod val="85000"/>
                      </a:schemeClr>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95000"/>
                          <a:alpha val="54000"/>
                        </a:schemeClr>
                      </a:solidFill>
                    </a:ln>
                    <a:effectLst/>
                  </c:spPr>
                </c15:leaderLines>
              </c:ext>
            </c:extLst>
          </c:dLbls>
          <c:cat>
            <c:strRef>
              <c:f>Dashboard!$B$33:$B$57</c:f>
              <c:strCache>
                <c:ptCount val="24"/>
                <c:pt idx="0">
                  <c:v>0</c:v>
                </c:pt>
                <c:pt idx="1">
                  <c:v>1</c:v>
                </c:pt>
                <c:pt idx="2">
                  <c:v>2</c:v>
                </c:pt>
                <c:pt idx="3">
                  <c:v>3</c:v>
                </c:pt>
                <c:pt idx="4">
                  <c:v>4</c:v>
                </c:pt>
                <c:pt idx="5">
                  <c:v>5</c:v>
                </c:pt>
                <c:pt idx="6">
                  <c:v>6</c:v>
                </c:pt>
                <c:pt idx="7">
                  <c:v>7</c:v>
                </c:pt>
                <c:pt idx="8">
                  <c:v>8</c:v>
                </c:pt>
                <c:pt idx="9">
                  <c:v>9</c:v>
                </c:pt>
                <c:pt idx="10">
                  <c:v>10</c:v>
                </c:pt>
                <c:pt idx="11">
                  <c:v>11</c:v>
                </c:pt>
                <c:pt idx="12">
                  <c:v>12</c:v>
                </c:pt>
                <c:pt idx="13">
                  <c:v>13</c:v>
                </c:pt>
                <c:pt idx="14">
                  <c:v>14</c:v>
                </c:pt>
                <c:pt idx="15">
                  <c:v>15</c:v>
                </c:pt>
                <c:pt idx="16">
                  <c:v>16</c:v>
                </c:pt>
                <c:pt idx="17">
                  <c:v>17</c:v>
                </c:pt>
                <c:pt idx="18">
                  <c:v>18</c:v>
                </c:pt>
                <c:pt idx="19">
                  <c:v>19</c:v>
                </c:pt>
                <c:pt idx="20">
                  <c:v>20</c:v>
                </c:pt>
                <c:pt idx="21">
                  <c:v>21</c:v>
                </c:pt>
                <c:pt idx="22">
                  <c:v>22</c:v>
                </c:pt>
                <c:pt idx="23">
                  <c:v>23</c:v>
                </c:pt>
              </c:strCache>
            </c:strRef>
          </c:cat>
          <c:val>
            <c:numRef>
              <c:f>Dashboard!$C$33:$C$57</c:f>
              <c:numCache>
                <c:formatCode>General</c:formatCode>
                <c:ptCount val="24"/>
                <c:pt idx="0">
                  <c:v>16.348837209302324</c:v>
                </c:pt>
                <c:pt idx="1">
                  <c:v>10.697674418604651</c:v>
                </c:pt>
                <c:pt idx="2">
                  <c:v>7.1707317073170733</c:v>
                </c:pt>
                <c:pt idx="3">
                  <c:v>4.870967741935484</c:v>
                </c:pt>
                <c:pt idx="4">
                  <c:v>2.15625</c:v>
                </c:pt>
                <c:pt idx="5">
                  <c:v>4.2051282051282053</c:v>
                </c:pt>
                <c:pt idx="6">
                  <c:v>19.571428571428573</c:v>
                </c:pt>
                <c:pt idx="7">
                  <c:v>54.395348837209305</c:v>
                </c:pt>
                <c:pt idx="8">
                  <c:v>128.28571428571428</c:v>
                </c:pt>
                <c:pt idx="9">
                  <c:v>87.428571428571431</c:v>
                </c:pt>
                <c:pt idx="10">
                  <c:v>53.642857142857146</c:v>
                </c:pt>
                <c:pt idx="11">
                  <c:v>59.38095238095238</c:v>
                </c:pt>
                <c:pt idx="12">
                  <c:v>76.348837209302332</c:v>
                </c:pt>
                <c:pt idx="13">
                  <c:v>78.511627906976742</c:v>
                </c:pt>
                <c:pt idx="14">
                  <c:v>74.418604651162795</c:v>
                </c:pt>
                <c:pt idx="15">
                  <c:v>77.95348837209302</c:v>
                </c:pt>
                <c:pt idx="16">
                  <c:v>89.272727272727266</c:v>
                </c:pt>
                <c:pt idx="17">
                  <c:v>140.20454545454547</c:v>
                </c:pt>
                <c:pt idx="18">
                  <c:v>122.86046511627907</c:v>
                </c:pt>
                <c:pt idx="19">
                  <c:v>85.139534883720927</c:v>
                </c:pt>
                <c:pt idx="20">
                  <c:v>61.767441860465119</c:v>
                </c:pt>
                <c:pt idx="21">
                  <c:v>46.418604651162788</c:v>
                </c:pt>
                <c:pt idx="22">
                  <c:v>35.069767441860463</c:v>
                </c:pt>
                <c:pt idx="23">
                  <c:v>25.186046511627907</c:v>
                </c:pt>
              </c:numCache>
            </c:numRef>
          </c:val>
          <c:smooth val="0"/>
          <c:extLst>
            <c:ext xmlns:c16="http://schemas.microsoft.com/office/drawing/2014/chart" uri="{C3380CC4-5D6E-409C-BE32-E72D297353CC}">
              <c16:uniqueId val="{00000000-0E96-486C-9BDF-CC9245A1B45F}"/>
            </c:ext>
          </c:extLst>
        </c:ser>
        <c:dLbls>
          <c:showLegendKey val="0"/>
          <c:showVal val="1"/>
          <c:showCatName val="0"/>
          <c:showSerName val="0"/>
          <c:showPercent val="0"/>
          <c:showBubbleSize val="0"/>
        </c:dLbls>
        <c:smooth val="0"/>
        <c:axId val="1944412975"/>
        <c:axId val="1944361135"/>
      </c:lineChart>
      <c:catAx>
        <c:axId val="1944412975"/>
        <c:scaling>
          <c:orientation val="minMax"/>
        </c:scaling>
        <c:delete val="0"/>
        <c:axPos val="b"/>
        <c:numFmt formatCode="General" sourceLinked="1"/>
        <c:majorTickMark val="none"/>
        <c:minorTickMark val="none"/>
        <c:tickLblPos val="nextTo"/>
        <c:spPr>
          <a:noFill/>
          <a:ln w="12700" cap="flat" cmpd="sng" algn="ctr">
            <a:solidFill>
              <a:schemeClr val="lt1">
                <a:lumMod val="95000"/>
                <a:alpha val="54000"/>
              </a:schemeClr>
            </a:solidFill>
            <a:round/>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4361135"/>
        <c:crosses val="autoZero"/>
        <c:auto val="1"/>
        <c:lblAlgn val="ctr"/>
        <c:lblOffset val="100"/>
        <c:noMultiLvlLbl val="0"/>
      </c:catAx>
      <c:valAx>
        <c:axId val="1944361135"/>
        <c:scaling>
          <c:orientation val="minMax"/>
        </c:scaling>
        <c:delete val="0"/>
        <c:axPos val="l"/>
        <c:majorGridlines>
          <c:spPr>
            <a:ln w="9525" cap="flat" cmpd="sng" algn="ctr">
              <a:solidFill>
                <a:schemeClr val="lt1">
                  <a:lumMod val="95000"/>
                  <a:alpha val="10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crossAx val="1944412975"/>
        <c:crosses val="autoZero"/>
        <c:crossBetween val="between"/>
      </c:val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8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a:ln>
      <a:noFill/>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pivotSource>
    <c:name>[dataset append - Copy.xlsm]Dashboard!PivotTable11</c:name>
    <c:fmtId val="25"/>
  </c:pivotSource>
  <c:chart>
    <c:title>
      <c:overlay val="0"/>
      <c:spPr>
        <a:noFill/>
        <a:ln>
          <a:noFill/>
        </a:ln>
        <a:effectLst/>
      </c:spPr>
      <c:txPr>
        <a:bodyPr rot="0" spcFirstLastPara="1" vertOverflow="ellipsis" vert="horz" wrap="square" anchor="ctr" anchorCtr="1"/>
        <a:lstStyle/>
        <a:p>
          <a:pPr>
            <a:defRPr sz="1800" b="0" i="0" u="none" strike="noStrike" kern="1200" cap="all" baseline="0">
              <a:solidFill>
                <a:schemeClr val="lt1"/>
              </a:solidFill>
              <a:latin typeface="+mn-lt"/>
              <a:ea typeface="+mn-ea"/>
              <a:cs typeface="+mn-cs"/>
            </a:defRPr>
          </a:pPr>
          <a:endParaRPr lang="en-US"/>
        </a:p>
      </c:txPr>
    </c:title>
    <c:autoTitleDeleted val="0"/>
    <c:pivotFmts>
      <c:pivotFmt>
        <c:idx val="0"/>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marker>
          <c:symbol val="none"/>
        </c:marker>
        <c:dLbl>
          <c:idx val="0"/>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extLst>
            <c:ext xmlns:c15="http://schemas.microsoft.com/office/drawing/2012/chart" uri="{CE6537A1-D6FC-4f65-9D91-7224C49458BB}"/>
          </c:extLst>
        </c:dLbl>
      </c:pivotFmt>
    </c:pivotFmts>
    <c:view3D>
      <c:rotX val="15"/>
      <c:rotY val="20"/>
      <c:depthPercent val="100"/>
      <c:rAngAx val="1"/>
    </c:view3D>
    <c:floor>
      <c:thickness val="0"/>
      <c:spPr>
        <a:solidFill>
          <a:schemeClr val="bg2">
            <a:lumMod val="75000"/>
            <a:alpha val="27000"/>
          </a:schemeClr>
        </a:solidFill>
        <a:ln>
          <a:noFill/>
        </a:ln>
        <a:effectLst/>
        <a:sp3d/>
      </c:spPr>
    </c:floor>
    <c:sideWall>
      <c:thickness val="0"/>
      <c:spPr>
        <a:noFill/>
        <a:ln>
          <a:noFill/>
        </a:ln>
        <a:effectLst/>
        <a:sp3d/>
      </c:spPr>
    </c:sideWall>
    <c:backWall>
      <c:thickness val="0"/>
      <c:spPr>
        <a:noFill/>
        <a:ln>
          <a:noFill/>
        </a:ln>
        <a:effectLst/>
        <a:sp3d/>
      </c:spPr>
    </c:backWall>
    <c:plotArea>
      <c:layout/>
      <c:bar3DChart>
        <c:barDir val="col"/>
        <c:grouping val="standard"/>
        <c:varyColors val="0"/>
        <c:ser>
          <c:idx val="0"/>
          <c:order val="0"/>
          <c:tx>
            <c:strRef>
              <c:f>Dashboard!$G$32</c:f>
              <c:strCache>
                <c:ptCount val="1"/>
                <c:pt idx="0">
                  <c:v>Total</c:v>
                </c:pt>
              </c:strCache>
            </c:strRef>
          </c:tx>
          <c:spPr>
            <a:solidFill>
              <a:schemeClr val="accent1">
                <a:alpha val="88000"/>
              </a:schemeClr>
            </a:solidFill>
            <a:ln>
              <a:solidFill>
                <a:schemeClr val="accent1">
                  <a:lumMod val="50000"/>
                </a:schemeClr>
              </a:solidFill>
            </a:ln>
            <a:effectLst/>
            <a:scene3d>
              <a:camera prst="orthographicFront"/>
              <a:lightRig rig="threePt" dir="t"/>
            </a:scene3d>
            <a:sp3d prstMaterial="flat">
              <a:contourClr>
                <a:schemeClr val="accent1">
                  <a:lumMod val="50000"/>
                </a:schemeClr>
              </a:contourClr>
            </a:sp3d>
          </c:spPr>
          <c:invertIfNegative val="0"/>
          <c:dLbls>
            <c:spPr>
              <a:solidFill>
                <a:srgbClr val="4472C4">
                  <a:alpha val="30000"/>
                </a:srgbClr>
              </a:solidFill>
              <a:ln>
                <a:solidFill>
                  <a:sysClr val="window" lastClr="FFFFFF">
                    <a:alpha val="50000"/>
                  </a:sysClr>
                </a:solidFill>
                <a:round/>
              </a:ln>
              <a:effectLst>
                <a:outerShdw blurRad="63500" dist="88900" dir="2700000" algn="tl" rotWithShape="0">
                  <a:prstClr val="black">
                    <a:alpha val="40000"/>
                  </a:prstClr>
                </a:outerShdw>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en-US"/>
              </a:p>
            </c:txP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lt1">
                          <a:lumMod val="50000"/>
                        </a:schemeClr>
                      </a:solidFill>
                      <a:round/>
                    </a:ln>
                    <a:effectLst/>
                  </c:spPr>
                </c15:leaderLines>
              </c:ext>
            </c:extLst>
          </c:dLbls>
          <c:cat>
            <c:strRef>
              <c:f>Dashboard!$F$33:$F$40</c:f>
              <c:strCache>
                <c:ptCount val="7"/>
                <c:pt idx="0">
                  <c:v>Monday</c:v>
                </c:pt>
                <c:pt idx="1">
                  <c:v>Tuesday</c:v>
                </c:pt>
                <c:pt idx="2">
                  <c:v>Wednesday</c:v>
                </c:pt>
                <c:pt idx="3">
                  <c:v>Thursday</c:v>
                </c:pt>
                <c:pt idx="4">
                  <c:v>Friday</c:v>
                </c:pt>
                <c:pt idx="5">
                  <c:v>Saturday</c:v>
                </c:pt>
                <c:pt idx="6">
                  <c:v>Sunday</c:v>
                </c:pt>
              </c:strCache>
            </c:strRef>
          </c:cat>
          <c:val>
            <c:numRef>
              <c:f>Dashboard!$G$33:$G$40</c:f>
              <c:numCache>
                <c:formatCode>General</c:formatCode>
                <c:ptCount val="7"/>
                <c:pt idx="0">
                  <c:v>8450</c:v>
                </c:pt>
                <c:pt idx="1">
                  <c:v>8383</c:v>
                </c:pt>
                <c:pt idx="2">
                  <c:v>8049</c:v>
                </c:pt>
                <c:pt idx="3">
                  <c:v>8458</c:v>
                </c:pt>
                <c:pt idx="4">
                  <c:v>9095</c:v>
                </c:pt>
                <c:pt idx="5">
                  <c:v>7748</c:v>
                </c:pt>
                <c:pt idx="6">
                  <c:v>8121</c:v>
                </c:pt>
              </c:numCache>
            </c:numRef>
          </c:val>
          <c:extLst>
            <c:ext xmlns:c16="http://schemas.microsoft.com/office/drawing/2014/chart" uri="{C3380CC4-5D6E-409C-BE32-E72D297353CC}">
              <c16:uniqueId val="{00000000-D217-4B52-AF05-6453001C1C53}"/>
            </c:ext>
          </c:extLst>
        </c:ser>
        <c:dLbls>
          <c:showLegendKey val="0"/>
          <c:showVal val="1"/>
          <c:showCatName val="0"/>
          <c:showSerName val="0"/>
          <c:showPercent val="0"/>
          <c:showBubbleSize val="0"/>
        </c:dLbls>
        <c:gapWidth val="84"/>
        <c:gapDepth val="53"/>
        <c:shape val="box"/>
        <c:axId val="1944408655"/>
        <c:axId val="1944401455"/>
        <c:axId val="1917050879"/>
      </c:bar3DChart>
      <c:catAx>
        <c:axId val="1944408655"/>
        <c:scaling>
          <c:orientation val="minMax"/>
        </c:scaling>
        <c:delete val="0"/>
        <c:axPos val="b"/>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4401455"/>
        <c:crosses val="autoZero"/>
        <c:auto val="1"/>
        <c:lblAlgn val="ctr"/>
        <c:lblOffset val="100"/>
        <c:noMultiLvlLbl val="0"/>
      </c:catAx>
      <c:valAx>
        <c:axId val="1944401455"/>
        <c:scaling>
          <c:orientation val="minMax"/>
        </c:scaling>
        <c:delete val="1"/>
        <c:axPos val="l"/>
        <c:numFmt formatCode="General" sourceLinked="1"/>
        <c:majorTickMark val="out"/>
        <c:minorTickMark val="none"/>
        <c:tickLblPos val="nextTo"/>
        <c:crossAx val="1944408655"/>
        <c:crosses val="autoZero"/>
        <c:crossBetween val="between"/>
      </c:valAx>
      <c:serAx>
        <c:axId val="1917050879"/>
        <c:scaling>
          <c:orientation val="minMax"/>
        </c:scaling>
        <c:delete val="0"/>
        <c:axPos val="b"/>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crossAx val="1944401455"/>
        <c:crosses val="autoZero"/>
      </c:serAx>
      <c:spPr>
        <a:noFill/>
        <a:ln>
          <a:noFill/>
        </a:ln>
        <a:effectLst/>
      </c:spPr>
    </c:plotArea>
    <c:legend>
      <c:legendPos val="r"/>
      <c:overlay val="0"/>
      <c:spPr>
        <a:noFill/>
        <a:ln>
          <a:noFill/>
        </a:ln>
        <a:effectLst/>
      </c:spPr>
      <c:txPr>
        <a:bodyPr rot="0" spcFirstLastPara="1" vertOverflow="ellipsis" vert="horz" wrap="square" anchor="ctr" anchorCtr="1"/>
        <a:lstStyle/>
        <a:p>
          <a:pPr>
            <a:defRPr sz="900" b="0" i="0" u="none" strike="noStrike" kern="1200" baseline="0">
              <a:solidFill>
                <a:schemeClr val="lt1">
                  <a:lumMod val="75000"/>
                </a:schemeClr>
              </a:solidFill>
              <a:latin typeface="+mn-lt"/>
              <a:ea typeface="+mn-ea"/>
              <a:cs typeface="+mn-cs"/>
            </a:defRPr>
          </a:pPr>
          <a:endParaRPr lang="en-US"/>
        </a:p>
      </c:txPr>
    </c:legend>
    <c:plotVisOnly val="1"/>
    <c:dispBlanksAs val="gap"/>
    <c:showDLblsOverMax val="0"/>
    <c:extLst>
      <c:ext xmlns:c16r3="http://schemas.microsoft.com/office/drawing/2017/03/chart" uri="{56B9EC1D-385E-4148-901F-78D8002777C0}">
        <c16r3:dataDisplayOptions16>
          <c16r3:dispNaAsBlank val="1"/>
        </c16r3:dataDisplayOptions16>
      </c:ext>
    </c:extLst>
  </c:chart>
  <c:spPr>
    <a:solidFill>
      <a:schemeClr val="dk1">
        <a:lumMod val="75000"/>
        <a:lumOff val="25000"/>
      </a:schemeClr>
    </a:solidFill>
    <a:ln w="6350" cap="flat" cmpd="sng" algn="ctr">
      <a:solidFill>
        <a:schemeClr val="dk1">
          <a:tint val="75000"/>
        </a:schemeClr>
      </a:solidFill>
      <a:round/>
    </a:ln>
    <a:effectLst/>
  </c:spPr>
  <c:txPr>
    <a:bodyPr/>
    <a:lstStyle/>
    <a:p>
      <a:pPr>
        <a:defRPr/>
      </a:pPr>
      <a:endParaRPr lang="en-US"/>
    </a:p>
  </c:txPr>
  <c:printSettings>
    <c:headerFooter/>
    <c:pageMargins b="0.75" l="0.7" r="0.7" t="0.75" header="0.3" footer="0.3"/>
    <c:pageSetup/>
  </c:printSettings>
  <c:extLst>
    <c:ext xmlns:c14="http://schemas.microsoft.com/office/drawing/2007/8/2/chart" uri="{781A3756-C4B2-4CAC-9D66-4F8BD8637D16}">
      <c14:pivotOptions>
        <c14:dropZoneFilter val="1"/>
        <c14:dropZoneCategories val="1"/>
        <c14:dropZoneData val="1"/>
        <c14:dropZoneSeries val="1"/>
        <c14:dropZonesVisible val="1"/>
      </c14:pivotOptions>
    </c:ext>
    <c:ext xmlns:c16="http://schemas.microsoft.com/office/drawing/2014/chart" uri="{E28EC0CA-F0BB-4C9C-879D-F8772B89E7AC}">
      <c16:pivotOptions16>
        <c16:showExpandCollapseFieldButtons val="1"/>
      </c16:pivotOptions16>
    </c:ext>
  </c:extLst>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2.xml><?xml version="1.0" encoding="utf-8"?>
<cs:chartStyle xmlns:cs="http://schemas.microsoft.com/office/drawing/2012/chartStyle" xmlns:a="http://schemas.openxmlformats.org/drawingml/2006/main" id="209">
  <cs:axisTitle>
    <cs:lnRef idx="0"/>
    <cs:fillRef idx="0"/>
    <cs:effectRef idx="0"/>
    <cs:fontRef idx="minor">
      <a:schemeClr val="lt1">
        <a:lumMod val="85000"/>
      </a:schemeClr>
    </cs:fontRef>
    <cs:defRPr sz="900" b="1" kern="1200" cap="all"/>
  </cs:axisTitle>
  <cs:category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categoryAxis>
  <cs:chartArea>
    <cs:lnRef idx="0"/>
    <cs:fillRef idx="0"/>
    <cs:effectRef idx="0"/>
    <cs:fontRef idx="minor">
      <a:schemeClr val="dk1"/>
    </cs:fontRef>
    <cs:spPr>
      <a:gradFill flip="none" rotWithShape="1">
        <a:gsLst>
          <a:gs pos="0">
            <a:schemeClr val="dk1">
              <a:lumMod val="65000"/>
              <a:lumOff val="35000"/>
            </a:schemeClr>
          </a:gs>
          <a:gs pos="100000">
            <a:schemeClr val="dk1">
              <a:lumMod val="85000"/>
              <a:lumOff val="15000"/>
            </a:schemeClr>
          </a:gs>
        </a:gsLst>
        <a:path path="circle">
          <a:fillToRect l="50000" t="50000" r="50000" b="50000"/>
        </a:path>
        <a:tileRect/>
      </a:gradFill>
    </cs:spPr>
    <cs:defRPr sz="1000" kern="1200"/>
  </cs:chartArea>
  <cs:dataLabel>
    <cs:lnRef idx="0"/>
    <cs:fillRef idx="0"/>
    <cs:effectRef idx="0"/>
    <cs:fontRef idx="minor">
      <a:schemeClr val="lt1">
        <a:lumMod val="85000"/>
      </a:schemeClr>
    </cs:fontRef>
    <cs:defRPr sz="900" kern="1200"/>
  </cs:dataLabel>
  <cs:dataLabelCallout>
    <cs:lnRef idx="0"/>
    <cs:fillRef idx="0"/>
    <cs:effectRef idx="0"/>
    <cs:fontRef idx="minor">
      <a:schemeClr val="dk1">
        <a:lumMod val="65000"/>
        <a:lumOff val="35000"/>
      </a:schemeClr>
    </cs:fontRef>
    <cs:spPr>
      <a:solidFill>
        <a:schemeClr val="lt1"/>
      </a:solidFill>
    </cs:spPr>
    <cs:defRPr sz="900" kern="1200"/>
    <cs:bodyPr rot="0" spcFirstLastPara="1" vertOverflow="clip" horzOverflow="clip" vert="horz" wrap="square" lIns="36576" tIns="18288" rIns="36576" bIns="18288" anchor="ctr" anchorCtr="1">
      <a:spAutoFit/>
    </cs:bodyPr>
  </cs:dataLabelCallout>
  <cs:dataPoint>
    <cs:lnRef idx="0"/>
    <cs:fillRef idx="3">
      <cs:styleClr val="auto"/>
    </cs:fillRef>
    <cs:effectRef idx="3"/>
    <cs:fontRef idx="minor">
      <a:schemeClr val="lt1"/>
    </cs:fontRef>
  </cs:dataPoint>
  <cs:dataPoint3D>
    <cs:lnRef idx="0"/>
    <cs:fillRef idx="3">
      <cs:styleClr val="auto"/>
    </cs:fillRef>
    <cs:effectRef idx="3"/>
    <cs:fontRef idx="minor">
      <a:schemeClr val="lt1"/>
    </cs:fontRef>
  </cs:dataPoint3D>
  <cs:dataPointLine>
    <cs:lnRef idx="0">
      <cs:styleClr val="auto"/>
    </cs:lnRef>
    <cs:fillRef idx="3"/>
    <cs:effectRef idx="3"/>
    <cs:fontRef idx="minor">
      <a:schemeClr val="lt1"/>
    </cs:fontRef>
    <cs:spPr>
      <a:ln w="34925" cap="rnd">
        <a:solidFill>
          <a:schemeClr val="phClr"/>
        </a:solidFill>
        <a:round/>
      </a:ln>
    </cs:spPr>
  </cs:dataPointLine>
  <cs:dataPointMarker>
    <cs:lnRef idx="0">
      <cs:styleClr val="auto"/>
    </cs:lnRef>
    <cs:fillRef idx="3">
      <cs:styleClr val="auto"/>
    </cs:fillRef>
    <cs:effectRef idx="3"/>
    <cs:fontRef idx="minor">
      <a:schemeClr val="lt1"/>
    </cs:fontRef>
    <cs:spPr>
      <a:ln w="9525">
        <a:solidFill>
          <a:schemeClr val="phClr"/>
        </a:solidFill>
        <a:round/>
      </a:ln>
    </cs:spPr>
  </cs:dataPointMarker>
  <cs:dataPointMarkerLayout symbol="circle" size="6"/>
  <cs:dataPointWireframe>
    <cs:lnRef idx="0">
      <cs:styleClr val="auto"/>
    </cs:lnRef>
    <cs:fillRef idx="3"/>
    <cs:effectRef idx="3"/>
    <cs:fontRef idx="minor">
      <a:schemeClr val="lt1"/>
    </cs:fontRef>
    <cs:spPr>
      <a:ln w="9525" cap="rnd">
        <a:solidFill>
          <a:schemeClr val="phClr"/>
        </a:solidFill>
        <a:round/>
      </a:ln>
    </cs:spPr>
  </cs:dataPointWireframe>
  <cs:dataTable>
    <cs:lnRef idx="0"/>
    <cs:fillRef idx="0"/>
    <cs:effectRef idx="0"/>
    <cs:fontRef idx="minor">
      <a:schemeClr val="lt1">
        <a:lumMod val="85000"/>
      </a:schemeClr>
    </cs:fontRef>
    <cs:spPr>
      <a:ln w="9525">
        <a:solidFill>
          <a:schemeClr val="lt1">
            <a:lumMod val="95000"/>
            <a:alpha val="54000"/>
          </a:schemeClr>
        </a:solidFill>
      </a:ln>
    </cs:spPr>
    <cs:defRPr sz="900" kern="1200"/>
  </cs:dataTable>
  <cs:downBar>
    <cs:lnRef idx="0"/>
    <cs:fillRef idx="0"/>
    <cs:effectRef idx="0"/>
    <cs:fontRef idx="minor">
      <a:schemeClr val="lt1"/>
    </cs:fontRef>
    <cs:spPr>
      <a:solidFill>
        <a:schemeClr val="dk1">
          <a:lumMod val="75000"/>
          <a:lumOff val="25000"/>
        </a:schemeClr>
      </a:solidFill>
      <a:ln w="9525">
        <a:solidFill>
          <a:schemeClr val="lt1">
            <a:lumMod val="95000"/>
            <a:alpha val="54000"/>
          </a:schemeClr>
        </a:solidFill>
      </a:ln>
    </cs:spPr>
  </cs:downBar>
  <cs:dropLine>
    <cs:lnRef idx="0"/>
    <cs:fillRef idx="0"/>
    <cs:effectRef idx="0"/>
    <cs:fontRef idx="minor">
      <a:schemeClr val="lt1"/>
    </cs:fontRef>
    <cs:spPr>
      <a:ln w="9525">
        <a:solidFill>
          <a:schemeClr val="lt1">
            <a:lumMod val="95000"/>
            <a:alpha val="54000"/>
          </a:schemeClr>
        </a:solidFill>
        <a:prstDash val="dash"/>
      </a:ln>
    </cs:spPr>
  </cs:dropLine>
  <cs:errorBar>
    <cs:lnRef idx="0"/>
    <cs:fillRef idx="0"/>
    <cs:effectRef idx="0"/>
    <cs:fontRef idx="minor">
      <a:schemeClr val="lt1"/>
    </cs:fontRef>
    <cs:spPr>
      <a:ln w="9525" cap="flat" cmpd="sng" algn="ctr">
        <a:solidFill>
          <a:schemeClr val="lt1">
            <a:lumMod val="95000"/>
          </a:schemeClr>
        </a:solidFill>
        <a:round/>
      </a:ln>
    </cs:spPr>
  </cs:errorBar>
  <cs:floor>
    <cs:lnRef idx="0"/>
    <cs:fillRef idx="0"/>
    <cs:effectRef idx="0"/>
    <cs:fontRef idx="minor">
      <a:schemeClr val="lt1"/>
    </cs:fontRef>
  </cs:floor>
  <cs:gridlineMajor>
    <cs:lnRef idx="0"/>
    <cs:fillRef idx="0"/>
    <cs:effectRef idx="0"/>
    <cs:fontRef idx="minor">
      <a:schemeClr val="lt1"/>
    </cs:fontRef>
    <cs:spPr>
      <a:ln w="9525" cap="flat" cmpd="sng" algn="ctr">
        <a:solidFill>
          <a:schemeClr val="lt1">
            <a:lumMod val="95000"/>
            <a:alpha val="10000"/>
          </a:schemeClr>
        </a:solidFill>
        <a:round/>
      </a:ln>
    </cs:spPr>
  </cs:gridlineMajor>
  <cs:gridlineMinor>
    <cs:lnRef idx="0"/>
    <cs:fillRef idx="0"/>
    <cs:effectRef idx="0"/>
    <cs:fontRef idx="minor">
      <a:schemeClr val="lt1"/>
    </cs:fontRef>
    <cs:spPr>
      <a:ln>
        <a:solidFill>
          <a:schemeClr val="lt1">
            <a:lumMod val="95000"/>
            <a:alpha val="5000"/>
          </a:schemeClr>
        </a:solidFill>
      </a:ln>
    </cs:spPr>
  </cs:gridlineMinor>
  <cs:hiLoLine>
    <cs:lnRef idx="0"/>
    <cs:fillRef idx="0"/>
    <cs:effectRef idx="0"/>
    <cs:fontRef idx="minor">
      <a:schemeClr val="lt1"/>
    </cs:fontRef>
    <cs:spPr>
      <a:ln w="9525">
        <a:solidFill>
          <a:schemeClr val="lt1">
            <a:lumMod val="95000"/>
            <a:alpha val="54000"/>
          </a:schemeClr>
        </a:solidFill>
        <a:prstDash val="dash"/>
      </a:ln>
    </cs:spPr>
  </cs:hiLoLine>
  <cs:leaderLine>
    <cs:lnRef idx="0"/>
    <cs:fillRef idx="0"/>
    <cs:effectRef idx="0"/>
    <cs:fontRef idx="minor">
      <a:schemeClr val="lt1"/>
    </cs:fontRef>
    <cs:spPr>
      <a:ln w="9525">
        <a:solidFill>
          <a:schemeClr val="lt1">
            <a:lumMod val="95000"/>
            <a:alpha val="54000"/>
          </a:schemeClr>
        </a:solidFill>
      </a:ln>
    </cs:spPr>
  </cs:leaderLine>
  <cs:legend>
    <cs:lnRef idx="0"/>
    <cs:fillRef idx="0"/>
    <cs:effectRef idx="0"/>
    <cs:fontRef idx="minor">
      <a:schemeClr val="lt1">
        <a:lumMod val="85000"/>
      </a:schemeClr>
    </cs:fontRef>
    <cs:defRPr sz="900" kern="1200"/>
  </cs:legend>
  <cs:plotArea>
    <cs:lnRef idx="0"/>
    <cs:fillRef idx="0"/>
    <cs:effectRef idx="0"/>
    <cs:fontRef idx="minor">
      <a:schemeClr val="lt1"/>
    </cs:fontRef>
  </cs:plotArea>
  <cs:plotArea3D>
    <cs:lnRef idx="0"/>
    <cs:fillRef idx="0"/>
    <cs:effectRef idx="0"/>
    <cs:fontRef idx="minor">
      <a:schemeClr val="lt1"/>
    </cs:fontRef>
  </cs:plotArea3D>
  <cs:seriesAxis>
    <cs:lnRef idx="0"/>
    <cs:fillRef idx="0"/>
    <cs:effectRef idx="0"/>
    <cs:fontRef idx="minor">
      <a:schemeClr val="lt1">
        <a:lumMod val="85000"/>
      </a:schemeClr>
    </cs:fontRef>
    <cs:spPr>
      <a:ln w="12700" cap="flat" cmpd="sng" algn="ctr">
        <a:solidFill>
          <a:schemeClr val="lt1">
            <a:lumMod val="95000"/>
            <a:alpha val="54000"/>
          </a:schemeClr>
        </a:solidFill>
        <a:round/>
      </a:ln>
    </cs:spPr>
    <cs:defRPr sz="900" kern="1200"/>
  </cs:seriesAxis>
  <cs:seriesLine>
    <cs:lnRef idx="0"/>
    <cs:fillRef idx="0"/>
    <cs:effectRef idx="0"/>
    <cs:fontRef idx="minor">
      <a:schemeClr val="lt1"/>
    </cs:fontRef>
    <cs:spPr>
      <a:ln w="9525" cap="flat" cmpd="sng" algn="ctr">
        <a:solidFill>
          <a:schemeClr val="lt1">
            <a:lumMod val="95000"/>
            <a:alpha val="54000"/>
          </a:schemeClr>
        </a:solidFill>
        <a:round/>
      </a:ln>
    </cs:spPr>
  </cs:seriesLine>
  <cs:title>
    <cs:lnRef idx="0"/>
    <cs:fillRef idx="0"/>
    <cs:effectRef idx="0"/>
    <cs:fontRef idx="minor">
      <a:schemeClr val="lt1">
        <a:lumMod val="95000"/>
      </a:schemeClr>
    </cs:fontRef>
    <cs:defRPr sz="1600" b="1" kern="1200" spc="100" baseline="0">
      <a:effectLst>
        <a:outerShdw blurRad="50800" dist="38100" dir="5400000" algn="t" rotWithShape="0">
          <a:prstClr val="black">
            <a:alpha val="40000"/>
          </a:prstClr>
        </a:outerShdw>
      </a:effectLst>
    </cs:defRPr>
  </cs:title>
  <cs:trendline>
    <cs:lnRef idx="0">
      <cs:styleClr val="auto"/>
    </cs:lnRef>
    <cs:fillRef idx="0"/>
    <cs:effectRef idx="0"/>
    <cs:fontRef idx="minor">
      <a:schemeClr val="lt1"/>
    </cs:fontRef>
    <cs:spPr>
      <a:ln w="19050" cap="rnd">
        <a:solidFill>
          <a:schemeClr val="phClr"/>
        </a:solidFill>
      </a:ln>
    </cs:spPr>
  </cs:trendline>
  <cs:trendlineLabel>
    <cs:lnRef idx="0"/>
    <cs:fillRef idx="0"/>
    <cs:effectRef idx="0"/>
    <cs:fontRef idx="minor">
      <a:schemeClr val="lt1">
        <a:lumMod val="85000"/>
      </a:schemeClr>
    </cs:fontRef>
    <cs:defRPr sz="900" kern="1200"/>
  </cs:trendlineLabel>
  <cs:upBar>
    <cs:lnRef idx="0"/>
    <cs:fillRef idx="0"/>
    <cs:effectRef idx="0"/>
    <cs:fontRef idx="minor">
      <a:schemeClr val="lt1"/>
    </cs:fontRef>
    <cs:spPr>
      <a:solidFill>
        <a:schemeClr val="lt1"/>
      </a:solidFill>
      <a:ln w="9525">
        <a:solidFill>
          <a:schemeClr val="lt1">
            <a:lumMod val="95000"/>
            <a:alpha val="54000"/>
          </a:schemeClr>
        </a:solidFill>
      </a:ln>
    </cs:spPr>
  </cs:upBar>
  <cs:valueAxis>
    <cs:lnRef idx="0"/>
    <cs:fillRef idx="0"/>
    <cs:effectRef idx="0"/>
    <cs:fontRef idx="minor">
      <a:schemeClr val="lt1">
        <a:lumMod val="85000"/>
      </a:schemeClr>
    </cs:fontRef>
    <cs:defRPr sz="900" kern="1200"/>
  </cs:valueAxis>
  <cs:wall>
    <cs:lnRef idx="0"/>
    <cs:fillRef idx="0"/>
    <cs:effectRef idx="0"/>
    <cs:fontRef idx="minor">
      <a:schemeClr val="lt1"/>
    </cs:fontRef>
  </cs:wall>
</cs:chartStyle>
</file>

<file path=xl/charts/style3.xml><?xml version="1.0" encoding="utf-8"?>
<cs:chartStyle xmlns:cs="http://schemas.microsoft.com/office/drawing/2012/chartStyle" xmlns:a="http://schemas.openxmlformats.org/drawingml/2006/main" id="291">
  <cs:axisTitle>
    <cs:lnRef idx="0"/>
    <cs:fillRef idx="0"/>
    <cs:effectRef idx="0"/>
    <cs:fontRef idx="minor">
      <a:schemeClr val="lt1">
        <a:lumMod val="75000"/>
      </a:schemeClr>
    </cs:fontRef>
    <cs:defRPr sz="900" kern="1200"/>
  </cs:axisTitle>
  <cs:categoryAxis>
    <cs:lnRef idx="0"/>
    <cs:fillRef idx="0"/>
    <cs:effectRef idx="0"/>
    <cs:fontRef idx="minor">
      <a:schemeClr val="lt1">
        <a:lumMod val="75000"/>
      </a:schemeClr>
    </cs:fontRef>
    <cs:defRPr sz="900" kern="1200"/>
  </cs:categoryAxis>
  <cs:chartArea>
    <cs:lnRef idx="0"/>
    <cs:fillRef idx="0"/>
    <cs:effectRef idx="0"/>
    <cs:fontRef idx="minor">
      <a:schemeClr val="lt1"/>
    </cs:fontRef>
    <cs:spPr>
      <a:solidFill>
        <a:schemeClr val="dk1">
          <a:lumMod val="75000"/>
          <a:lumOff val="25000"/>
        </a:schemeClr>
      </a:solidFill>
      <a:ln w="6350" cap="flat" cmpd="sng" algn="ctr">
        <a:solidFill>
          <a:schemeClr val="dk1">
            <a:tint val="75000"/>
          </a:schemeClr>
        </a:solidFill>
        <a:round/>
      </a:ln>
    </cs:spPr>
    <cs:defRPr sz="1000" kern="1200"/>
  </cs:chartArea>
  <cs:dataLabel>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dataLabel>
  <cs:dataLabelCallout>
    <cs:lnRef idx="0"/>
    <cs:fillRef idx="0">
      <cs:styleClr val="auto"/>
    </cs:fillRef>
    <cs:effectRef idx="0"/>
    <cs:fontRef idx="minor">
      <a:schemeClr val="lt1"/>
    </cs:fontRef>
    <cs:spPr>
      <a:solidFill>
        <a:schemeClr val="phClr">
          <a:alpha val="30000"/>
        </a:schemeClr>
      </a:solidFill>
      <a:ln>
        <a:solidFill>
          <a:schemeClr val="lt1">
            <a:alpha val="50000"/>
          </a:schemeClr>
        </a:solidFill>
        <a:round/>
      </a:ln>
      <a:effectLst>
        <a:outerShdw blurRad="63500" dist="88900" dir="2700000" algn="tl" rotWithShape="0">
          <a:prstClr val="black">
            <a:alpha val="40000"/>
          </a:prstClr>
        </a:outerShdw>
      </a:effectLst>
    </cs:spPr>
    <cs:defRPr sz="900" b="1" i="0" u="none" strike="noStrike" kern="1200" baseline="0"/>
    <cs:bodyPr rot="0" spcFirstLastPara="1" vertOverflow="clip" horzOverflow="clip" vert="horz" wrap="square" lIns="36576" tIns="18288" rIns="36576" bIns="18288" anchor="ctr" anchorCtr="1">
      <a:spAutoFit/>
    </cs:bodyPr>
  </cs:dataLabelCallout>
  <cs:dataPoint>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cs:spPr>
  </cs:dataPoint>
  <cs:dataPoint3D>
    <cs:lnRef idx="0">
      <cs:styleClr val="auto"/>
    </cs:lnRef>
    <cs:fillRef idx="0">
      <cs:styleClr val="auto"/>
    </cs:fillRef>
    <cs:effectRef idx="0"/>
    <cs:fontRef idx="minor">
      <a:schemeClr val="tx1"/>
    </cs:fontRef>
    <cs:spPr>
      <a:solidFill>
        <a:schemeClr val="phClr">
          <a:alpha val="88000"/>
        </a:schemeClr>
      </a:solidFill>
      <a:ln>
        <a:solidFill>
          <a:schemeClr val="phClr">
            <a:lumMod val="50000"/>
          </a:schemeClr>
        </a:solidFill>
      </a:ln>
      <a:scene3d>
        <a:camera prst="orthographicFront"/>
        <a:lightRig rig="threePt" dir="t"/>
      </a:scene3d>
      <a:sp3d prstMaterial="flat"/>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fillRef idx="0">
      <cs:styleClr val="auto"/>
    </cs:fillRef>
    <cs:effectRef idx="0"/>
    <cs:fontRef idx="minor">
      <a:schemeClr val="tx1"/>
    </cs:fontRef>
    <cs:spPr>
      <a:solidFill>
        <a:schemeClr val="phClr"/>
      </a:solidFill>
      <a:ln w="9525">
        <a:solidFill>
          <a:schemeClr val="dk1">
            <a:lumMod val="75000"/>
            <a:lumOff val="25000"/>
          </a:schemeClr>
        </a:solidFill>
      </a:ln>
    </cs:spPr>
  </cs:dataPointMarker>
  <cs:dataPointMarkerLayout symbol="circle" size="6"/>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lt1">
        <a:lumMod val="75000"/>
      </a:schemeClr>
    </cs:fontRef>
    <cs:spPr>
      <a:ln w="9525">
        <a:solidFill>
          <a:schemeClr val="dk1">
            <a:lumMod val="50000"/>
            <a:lumOff val="50000"/>
          </a:schemeClr>
        </a:solidFill>
      </a:ln>
    </cs:spPr>
    <cs:defRPr sz="900" kern="1200"/>
  </cs:dataTable>
  <cs:downBar>
    <cs:lnRef idx="0"/>
    <cs:fillRef idx="0"/>
    <cs:effectRef idx="0"/>
    <cs:fontRef idx="minor">
      <a:schemeClr val="lt1"/>
    </cs:fontRef>
    <cs:spPr>
      <a:solidFill>
        <a:schemeClr val="dk1">
          <a:lumMod val="50000"/>
          <a:lumOff val="50000"/>
        </a:schemeClr>
      </a:solidFill>
      <a:ln w="9525">
        <a:solidFill>
          <a:schemeClr val="dk1">
            <a:lumMod val="75000"/>
          </a:schemeClr>
        </a:solidFill>
        <a:round/>
      </a:ln>
    </cs:spPr>
  </cs:downBar>
  <cs:dropLine>
    <cs:lnRef idx="0"/>
    <cs:fillRef idx="0"/>
    <cs:effectRef idx="0"/>
    <cs:fontRef idx="minor">
      <a:schemeClr val="dk1"/>
    </cs:fontRef>
    <cs:spPr>
      <a:ln w="9525">
        <a:solidFill>
          <a:schemeClr val="lt1">
            <a:lumMod val="50000"/>
          </a:schemeClr>
        </a:solidFill>
        <a:round/>
      </a:ln>
    </cs:spPr>
  </cs:dropLine>
  <cs:errorBar>
    <cs:lnRef idx="0"/>
    <cs:fillRef idx="0"/>
    <cs:effectRef idx="0"/>
    <cs:fontRef idx="minor">
      <a:schemeClr val="dk1"/>
    </cs:fontRef>
    <cs:spPr>
      <a:ln w="9525">
        <a:solidFill>
          <a:schemeClr val="lt1">
            <a:lumMod val="50000"/>
          </a:schemeClr>
        </a:solidFill>
        <a:round/>
      </a:ln>
    </cs:spPr>
  </cs:errorBar>
  <cs:floor>
    <cs:lnRef idx="0"/>
    <cs:fillRef idx="0"/>
    <cs:effectRef idx="0"/>
    <cs:fontRef idx="minor">
      <a:schemeClr val="tx1"/>
    </cs:fontRef>
    <cs:spPr>
      <a:solidFill>
        <a:schemeClr val="bg2">
          <a:lumMod val="75000"/>
          <a:alpha val="27000"/>
        </a:schemeClr>
      </a:solidFill>
      <a:sp3d/>
    </cs:spPr>
  </cs:floor>
  <cs:gridlineMajor>
    <cs:lnRef idx="0"/>
    <cs:fillRef idx="0"/>
    <cs:effectRef idx="0"/>
    <cs:fontRef idx="minor">
      <a:schemeClr val="tx1"/>
    </cs:fontRef>
    <cs:spPr>
      <a:ln w="9525">
        <a:solidFill>
          <a:schemeClr val="lt1">
            <a:lumMod val="50000"/>
          </a:schemeClr>
        </a:solidFill>
      </a:ln>
    </cs:spPr>
  </cs:gridlineMajor>
  <cs:gridlineMinor>
    <cs:lnRef idx="0"/>
    <cs:fillRef idx="0"/>
    <cs:effectRef idx="0"/>
    <cs:fontRef idx="minor">
      <a:schemeClr val="tx1"/>
    </cs:fontRef>
    <cs:spPr>
      <a:ln w="9525">
        <a:solidFill>
          <a:schemeClr val="lt1">
            <a:lumMod val="40000"/>
          </a:schemeClr>
        </a:solidFill>
      </a:ln>
    </cs:spPr>
  </cs:gridlineMinor>
  <cs:hiLoLine>
    <cs:lnRef idx="0"/>
    <cs:fillRef idx="0"/>
    <cs:effectRef idx="0"/>
    <cs:fontRef idx="minor">
      <a:schemeClr val="dk1"/>
    </cs:fontRef>
    <cs:spPr>
      <a:ln w="9525">
        <a:solidFill>
          <a:schemeClr val="lt1">
            <a:lumMod val="50000"/>
          </a:schemeClr>
        </a:solidFill>
        <a:round/>
      </a:ln>
    </cs:spPr>
  </cs:hiLoLine>
  <cs:leaderLine>
    <cs:lnRef idx="0"/>
    <cs:fillRef idx="0"/>
    <cs:effectRef idx="0"/>
    <cs:fontRef idx="minor">
      <a:schemeClr val="dk1"/>
    </cs:fontRef>
    <cs:spPr>
      <a:ln w="9525">
        <a:solidFill>
          <a:schemeClr val="lt1">
            <a:lumMod val="50000"/>
          </a:schemeClr>
        </a:solidFill>
        <a:round/>
      </a:ln>
    </cs:spPr>
  </cs:leaderLine>
  <cs:legend>
    <cs:lnRef idx="0"/>
    <cs:fillRef idx="0"/>
    <cs:effectRef idx="0"/>
    <cs:fontRef idx="minor">
      <a:schemeClr val="lt1">
        <a:lumMod val="75000"/>
      </a:schemeClr>
    </cs:fontRef>
    <cs:defRPr sz="900" kern="1200"/>
  </cs:legend>
  <cs:plotArea>
    <cs:lnRef idx="0"/>
    <cs:fillRef idx="0"/>
    <cs:effectRef idx="0"/>
    <cs:fontRef idx="minor">
      <a:schemeClr val="tx1"/>
    </cs:fontRef>
  </cs:plotArea>
  <cs:plotArea3D>
    <cs:lnRef idx="0"/>
    <cs:fillRef idx="0"/>
    <cs:effectRef idx="0"/>
    <cs:fontRef idx="minor">
      <a:schemeClr val="tx1"/>
    </cs:fontRef>
  </cs:plotArea3D>
  <cs:seriesAxis>
    <cs:lnRef idx="0"/>
    <cs:fillRef idx="0"/>
    <cs:effectRef idx="0"/>
    <cs:fontRef idx="minor">
      <a:schemeClr val="lt1">
        <a:lumMod val="75000"/>
      </a:schemeClr>
    </cs:fontRef>
    <cs:defRPr sz="900" kern="1200"/>
  </cs:seriesAxis>
  <cs:seriesLine>
    <cs:lnRef idx="0"/>
    <cs:fillRef idx="0"/>
    <cs:effectRef idx="0"/>
    <cs:fontRef idx="minor">
      <a:schemeClr val="dk1"/>
    </cs:fontRef>
    <cs:spPr>
      <a:ln w="9525">
        <a:solidFill>
          <a:schemeClr val="lt1">
            <a:lumMod val="50000"/>
          </a:schemeClr>
        </a:solidFill>
        <a:round/>
      </a:ln>
    </cs:spPr>
  </cs:seriesLine>
  <cs:title>
    <cs:lnRef idx="0"/>
    <cs:fillRef idx="0"/>
    <cs:effectRef idx="0"/>
    <cs:fontRef idx="minor">
      <a:schemeClr val="lt1"/>
    </cs:fontRef>
    <cs:defRPr sz="1800" b="0" kern="1200" cap="all" baseline="0"/>
  </cs:title>
  <cs:trendline>
    <cs:lnRef idx="0">
      <cs:styleClr val="auto"/>
    </cs:lnRef>
    <cs:fillRef idx="0"/>
    <cs:effectRef idx="0"/>
    <cs:fontRef idx="minor">
      <a:schemeClr val="dk1"/>
    </cs:fontRef>
    <cs:spPr>
      <a:ln w="9525" cap="rnd">
        <a:solidFill>
          <a:schemeClr val="phClr">
            <a:alpha val="50000"/>
          </a:schemeClr>
        </a:solidFill>
      </a:ln>
    </cs:spPr>
  </cs:trendline>
  <cs:trendlineLabel>
    <cs:lnRef idx="0"/>
    <cs:fillRef idx="0"/>
    <cs:effectRef idx="0"/>
    <cs:fontRef idx="minor">
      <a:schemeClr val="lt1">
        <a:lumMod val="75000"/>
      </a:schemeClr>
    </cs:fontRef>
    <cs:defRPr sz="900" kern="1200"/>
  </cs:trendlineLabel>
  <cs:upBar>
    <cs:lnRef idx="0"/>
    <cs:fillRef idx="0"/>
    <cs:effectRef idx="0"/>
    <cs:fontRef idx="minor">
      <a:schemeClr val="dk1"/>
    </cs:fontRef>
    <cs:spPr>
      <a:solidFill>
        <a:schemeClr val="lt1">
          <a:lumMod val="85000"/>
        </a:schemeClr>
      </a:solidFill>
      <a:ln w="9525">
        <a:solidFill>
          <a:schemeClr val="dk1">
            <a:lumMod val="50000"/>
          </a:schemeClr>
        </a:solidFill>
        <a:round/>
      </a:ln>
    </cs:spPr>
  </cs:upBar>
  <cs:valueAxis>
    <cs:lnRef idx="0"/>
    <cs:fillRef idx="0"/>
    <cs:effectRef idx="0"/>
    <cs:fontRef idx="minor">
      <a:schemeClr val="lt1">
        <a:lumMod val="75000"/>
      </a:schemeClr>
    </cs:fontRef>
    <cs:defRPr sz="900" kern="1200"/>
  </cs:valueAxis>
  <cs:wall>
    <cs:lnRef idx="0"/>
    <cs:fillRef idx="0"/>
    <cs:effectRef idx="0"/>
    <cs:fontRef idx="minor">
      <a:schemeClr val="tx1"/>
    </cs:fontRef>
    <cs:spPr>
      <a:sp3d/>
    </cs:spPr>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xdr:twoCellAnchor editAs="oneCell">
    <xdr:from>
      <xdr:col>5</xdr:col>
      <xdr:colOff>29101</xdr:colOff>
      <xdr:row>0</xdr:row>
      <xdr:rowOff>0</xdr:rowOff>
    </xdr:from>
    <xdr:to>
      <xdr:col>6</xdr:col>
      <xdr:colOff>572559</xdr:colOff>
      <xdr:row>7</xdr:row>
      <xdr:rowOff>68400</xdr:rowOff>
    </xdr:to>
    <mc:AlternateContent xmlns:mc="http://schemas.openxmlformats.org/markup-compatibility/2006" xmlns:a14="http://schemas.microsoft.com/office/drawing/2010/main">
      <mc:Choice Requires="a14">
        <xdr:graphicFrame macro="">
          <xdr:nvGraphicFramePr>
            <xdr:cNvPr id="2" name="Weather_Desc">
              <a:extLst>
                <a:ext uri="{FF2B5EF4-FFF2-40B4-BE49-F238E27FC236}">
                  <a16:creationId xmlns:a16="http://schemas.microsoft.com/office/drawing/2014/main" id="{30970199-391D-9817-FDAE-92010338777C}"/>
                </a:ext>
                <a:ext uri="{C183D7F6-B498-43B3-948B-1728B52AA6E4}">
                  <adec:decorative xmlns:adec="http://schemas.microsoft.com/office/drawing/2017/decorative" val="0"/>
                </a:ext>
              </a:extLst>
            </xdr:cNvPr>
            <xdr:cNvGraphicFramePr>
              <a:graphicFrameLocks/>
            </xdr:cNvGraphicFramePr>
          </xdr:nvGraphicFramePr>
          <xdr:xfrm>
            <a:off x="0" y="0"/>
            <a:ext cx="0" cy="0"/>
          </xdr:xfrm>
          <a:graphic>
            <a:graphicData uri="http://schemas.microsoft.com/office/drawing/2010/slicer">
              <sle:slicer xmlns:sle="http://schemas.microsoft.com/office/drawing/2010/slicer" name="Weather_Desc"/>
            </a:graphicData>
          </a:graphic>
        </xdr:graphicFrame>
      </mc:Choice>
      <mc:Fallback xmlns="">
        <xdr:sp macro="" textlink="">
          <xdr:nvSpPr>
            <xdr:cNvPr id="0" name=""/>
            <xdr:cNvSpPr>
              <a:spLocks noTextEdit="1"/>
            </xdr:cNvSpPr>
          </xdr:nvSpPr>
          <xdr:spPr>
            <a:xfrm>
              <a:off x="3534301" y="0"/>
              <a:ext cx="1404518" cy="1440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6</xdr:col>
      <xdr:colOff>541020</xdr:colOff>
      <xdr:row>0</xdr:row>
      <xdr:rowOff>45720</xdr:rowOff>
    </xdr:from>
    <xdr:to>
      <xdr:col>8</xdr:col>
      <xdr:colOff>411480</xdr:colOff>
      <xdr:row>4</xdr:row>
      <xdr:rowOff>160020</xdr:rowOff>
    </xdr:to>
    <mc:AlternateContent xmlns:mc="http://schemas.openxmlformats.org/markup-compatibility/2006" xmlns:a14="http://schemas.microsoft.com/office/drawing/2010/main">
      <mc:Choice Requires="a14">
        <xdr:graphicFrame macro="">
          <xdr:nvGraphicFramePr>
            <xdr:cNvPr id="3" name="Month ">
              <a:extLst>
                <a:ext uri="{FF2B5EF4-FFF2-40B4-BE49-F238E27FC236}">
                  <a16:creationId xmlns:a16="http://schemas.microsoft.com/office/drawing/2014/main" id="{FE0230DF-2272-0D06-0601-52AC310A014E}"/>
                </a:ext>
              </a:extLst>
            </xdr:cNvPr>
            <xdr:cNvGraphicFramePr/>
          </xdr:nvGraphicFramePr>
          <xdr:xfrm>
            <a:off x="0" y="0"/>
            <a:ext cx="0" cy="0"/>
          </xdr:xfrm>
          <a:graphic>
            <a:graphicData uri="http://schemas.microsoft.com/office/drawing/2010/slicer">
              <sle:slicer xmlns:sle="http://schemas.microsoft.com/office/drawing/2010/slicer" name="Month "/>
            </a:graphicData>
          </a:graphic>
        </xdr:graphicFrame>
      </mc:Choice>
      <mc:Fallback xmlns="">
        <xdr:sp macro="" textlink="">
          <xdr:nvSpPr>
            <xdr:cNvPr id="0" name=""/>
            <xdr:cNvSpPr>
              <a:spLocks noTextEdit="1"/>
            </xdr:cNvSpPr>
          </xdr:nvSpPr>
          <xdr:spPr>
            <a:xfrm>
              <a:off x="5242560" y="45720"/>
              <a:ext cx="1173480" cy="93726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editAs="oneCell">
    <xdr:from>
      <xdr:col>8</xdr:col>
      <xdr:colOff>424980</xdr:colOff>
      <xdr:row>0</xdr:row>
      <xdr:rowOff>0</xdr:rowOff>
    </xdr:from>
    <xdr:to>
      <xdr:col>10</xdr:col>
      <xdr:colOff>341160</xdr:colOff>
      <xdr:row>7</xdr:row>
      <xdr:rowOff>104400</xdr:rowOff>
    </xdr:to>
    <mc:AlternateContent xmlns:mc="http://schemas.openxmlformats.org/markup-compatibility/2006" xmlns:a14="http://schemas.microsoft.com/office/drawing/2010/main">
      <mc:Choice Requires="a14">
        <xdr:graphicFrame macro="">
          <xdr:nvGraphicFramePr>
            <xdr:cNvPr id="4" name="Weathersit2">
              <a:extLst>
                <a:ext uri="{FF2B5EF4-FFF2-40B4-BE49-F238E27FC236}">
                  <a16:creationId xmlns:a16="http://schemas.microsoft.com/office/drawing/2014/main" id="{63CA0BFA-F71C-D85F-F9A1-9FDB28F671E4}"/>
                </a:ext>
              </a:extLst>
            </xdr:cNvPr>
            <xdr:cNvGraphicFramePr/>
          </xdr:nvGraphicFramePr>
          <xdr:xfrm>
            <a:off x="0" y="0"/>
            <a:ext cx="0" cy="0"/>
          </xdr:xfrm>
          <a:graphic>
            <a:graphicData uri="http://schemas.microsoft.com/office/drawing/2010/slicer">
              <sle:slicer xmlns:sle="http://schemas.microsoft.com/office/drawing/2010/slicer" name="Weathersit2"/>
            </a:graphicData>
          </a:graphic>
        </xdr:graphicFrame>
      </mc:Choice>
      <mc:Fallback xmlns="">
        <xdr:sp macro="" textlink="">
          <xdr:nvSpPr>
            <xdr:cNvPr id="0" name=""/>
            <xdr:cNvSpPr>
              <a:spLocks noTextEdit="1"/>
            </xdr:cNvSpPr>
          </xdr:nvSpPr>
          <xdr:spPr>
            <a:xfrm>
              <a:off x="6292380" y="0"/>
              <a:ext cx="1135380" cy="1476000"/>
            </a:xfrm>
            <a:prstGeom prst="rect">
              <a:avLst/>
            </a:prstGeom>
            <a:solidFill>
              <a:prstClr val="white"/>
            </a:solidFill>
            <a:ln w="1">
              <a:solidFill>
                <a:prstClr val="green"/>
              </a:solidFill>
            </a:ln>
          </xdr:spPr>
          <xdr:txBody>
            <a:bodyPr vertOverflow="clip" horzOverflow="clip"/>
            <a:lstStyle/>
            <a:p>
              <a:r>
                <a:rPr lang="en-IN" sz="1100"/>
                <a:t>This shape represents a slicer. Slicers are supported in Excel 2010 or later.
If the shape was modified in an earlier version of Excel, or if the workbook was saved in Excel 2003 or earlier, the slicer cannot be used.</a:t>
              </a:r>
            </a:p>
          </xdr:txBody>
        </xdr:sp>
      </mc:Fallback>
    </mc:AlternateContent>
    <xdr:clientData/>
  </xdr:twoCellAnchor>
  <xdr:twoCellAnchor>
    <xdr:from>
      <xdr:col>0</xdr:col>
      <xdr:colOff>0</xdr:colOff>
      <xdr:row>7</xdr:row>
      <xdr:rowOff>133350</xdr:rowOff>
    </xdr:from>
    <xdr:to>
      <xdr:col>5</xdr:col>
      <xdr:colOff>205740</xdr:colOff>
      <xdr:row>17</xdr:row>
      <xdr:rowOff>53340</xdr:rowOff>
    </xdr:to>
    <xdr:graphicFrame macro="">
      <xdr:nvGraphicFramePr>
        <xdr:cNvPr id="9" name="Chart 8">
          <a:extLst>
            <a:ext uri="{FF2B5EF4-FFF2-40B4-BE49-F238E27FC236}">
              <a16:creationId xmlns:a16="http://schemas.microsoft.com/office/drawing/2014/main" id="{7F0BFA6D-0541-3171-B667-1B121367DC5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441960</xdr:colOff>
      <xdr:row>7</xdr:row>
      <xdr:rowOff>133350</xdr:rowOff>
    </xdr:from>
    <xdr:to>
      <xdr:col>12</xdr:col>
      <xdr:colOff>640080</xdr:colOff>
      <xdr:row>25</xdr:row>
      <xdr:rowOff>137160</xdr:rowOff>
    </xdr:to>
    <xdr:graphicFrame macro="">
      <xdr:nvGraphicFramePr>
        <xdr:cNvPr id="11" name="Chart 10">
          <a:extLst>
            <a:ext uri="{FF2B5EF4-FFF2-40B4-BE49-F238E27FC236}">
              <a16:creationId xmlns:a16="http://schemas.microsoft.com/office/drawing/2014/main" id="{AAC52D62-D397-936B-4020-D1DA5EC1287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12</xdr:col>
      <xdr:colOff>853440</xdr:colOff>
      <xdr:row>7</xdr:row>
      <xdr:rowOff>179070</xdr:rowOff>
    </xdr:from>
    <xdr:to>
      <xdr:col>18</xdr:col>
      <xdr:colOff>434340</xdr:colOff>
      <xdr:row>23</xdr:row>
      <xdr:rowOff>30480</xdr:rowOff>
    </xdr:to>
    <xdr:graphicFrame macro="">
      <xdr:nvGraphicFramePr>
        <xdr:cNvPr id="12" name="Chart 11">
          <a:extLst>
            <a:ext uri="{FF2B5EF4-FFF2-40B4-BE49-F238E27FC236}">
              <a16:creationId xmlns:a16="http://schemas.microsoft.com/office/drawing/2014/main" id="{F9425125-731B-0D87-B0F9-709322951A6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pivotCache/_rels/pivotCacheDefinition1.xml.rels><?xml version="1.0" encoding="UTF-8" standalone="yes"?>
<Relationships xmlns="http://schemas.openxmlformats.org/package/2006/relationships"><Relationship Id="rId1" Type="http://schemas.openxmlformats.org/officeDocument/2006/relationships/pivotCacheRecords" Target="pivotCacheRecords1.xml"/></Relationships>
</file>

<file path=xl/pivotCache/pivotCacheDefinition1.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r:id="rId1" refreshOnLoad="1" refreshedBy="ASUS" refreshedDate="45951.610666319444" createdVersion="8" refreshedVersion="8" minRefreshableVersion="3" recordCount="1000" xr:uid="{4BD95DD2-6E30-4E82-A06B-88024838E5CD}">
  <cacheSource type="worksheet">
    <worksheetSource name="Append1"/>
  </cacheSource>
  <cacheFields count="21">
    <cacheField name="instant" numFmtId="0">
      <sharedItems containsSemiMixedTypes="0" containsString="0" containsNumber="1" containsInteger="1" minValue="1" maxValue="1000"/>
    </cacheField>
    <cacheField name="dteday" numFmtId="14">
      <sharedItems containsSemiMixedTypes="0" containsNonDate="0" containsDate="1" containsString="0" minDate="2011-01-01T00:00:00" maxDate="2011-02-15T00:00:00"/>
    </cacheField>
    <cacheField name="season" numFmtId="0">
      <sharedItems containsSemiMixedTypes="0" containsString="0" containsNumber="1" containsInteger="1" minValue="1" maxValue="1" count="1">
        <n v="1"/>
      </sharedItems>
    </cacheField>
    <cacheField name="yr" numFmtId="0">
      <sharedItems containsSemiMixedTypes="0" containsString="0" containsNumber="1" containsInteger="1" minValue="0" maxValue="0"/>
    </cacheField>
    <cacheField name="mnth" numFmtId="0">
      <sharedItems containsSemiMixedTypes="0" containsString="0" containsNumber="1" containsInteger="1" minValue="1" maxValue="2" count="2">
        <n v="1"/>
        <n v="2"/>
      </sharedItems>
    </cacheField>
    <cacheField name="hr" numFmtId="0">
      <sharedItems containsSemiMixedTypes="0" containsString="0" containsNumber="1" containsInteger="1" minValue="0" maxValue="23" count="24">
        <n v="0"/>
        <n v="1"/>
        <n v="2"/>
        <n v="3"/>
        <n v="4"/>
        <n v="5"/>
        <n v="6"/>
        <n v="7"/>
        <n v="8"/>
        <n v="9"/>
        <n v="10"/>
        <n v="11"/>
        <n v="12"/>
        <n v="13"/>
        <n v="14"/>
        <n v="15"/>
        <n v="16"/>
        <n v="17"/>
        <n v="18"/>
        <n v="19"/>
        <n v="20"/>
        <n v="21"/>
        <n v="22"/>
        <n v="23"/>
      </sharedItems>
    </cacheField>
    <cacheField name="holiday" numFmtId="0">
      <sharedItems count="2">
        <b v="0"/>
        <b v="1"/>
      </sharedItems>
    </cacheField>
    <cacheField name="weekday" numFmtId="0">
      <sharedItems containsSemiMixedTypes="0" containsString="0" containsNumber="1" containsInteger="1" minValue="0" maxValue="6" count="7">
        <n v="6"/>
        <n v="0"/>
        <n v="1"/>
        <n v="2"/>
        <n v="3"/>
        <n v="4"/>
        <n v="5"/>
      </sharedItems>
    </cacheField>
    <cacheField name="weathersit" numFmtId="0">
      <sharedItems containsSemiMixedTypes="0" containsString="0" containsNumber="1" containsInteger="1" minValue="1" maxValue="4"/>
    </cacheField>
    <cacheField name="temp" numFmtId="0">
      <sharedItems containsSemiMixedTypes="0" containsString="0" containsNumber="1" minValue="0.02" maxValue="0.46" count="23">
        <n v="0.24"/>
        <n v="0.22"/>
        <n v="0.2"/>
        <n v="0.32"/>
        <n v="0.38"/>
        <n v="0.36"/>
        <n v="0.42"/>
        <n v="0.46"/>
        <n v="0.44"/>
        <n v="0.4"/>
        <n v="0.34"/>
        <n v="0.3"/>
        <n v="0.26"/>
        <n v="0.16"/>
        <n v="0.14000000000000001"/>
        <n v="0.18"/>
        <n v="0.12"/>
        <n v="0.28000000000000003"/>
        <n v="0.1"/>
        <n v="0.08"/>
        <n v="0.06"/>
        <n v="0.04"/>
        <n v="0.02"/>
      </sharedItems>
    </cacheField>
    <cacheField name="atemp" numFmtId="0">
      <sharedItems containsString="0" containsBlank="1" containsNumber="1" minValue="0" maxValue="0.45450000000000002"/>
    </cacheField>
    <cacheField name="hum" numFmtId="0">
      <sharedItems containsSemiMixedTypes="0" containsString="0" containsNumber="1" minValue="0.21" maxValue="1"/>
    </cacheField>
    <cacheField name="windspeed" numFmtId="0">
      <sharedItems containsSemiMixedTypes="0" containsString="0" containsNumber="1" minValue="0" maxValue="0.58209999999999995"/>
    </cacheField>
    <cacheField name="casual" numFmtId="0">
      <sharedItems containsSemiMixedTypes="0" containsString="0" containsNumber="1" containsInteger="1" minValue="0" maxValue="62" count="42">
        <n v="3"/>
        <n v="8"/>
        <n v="5"/>
        <n v="0"/>
        <n v="2"/>
        <n v="1"/>
        <n v="12"/>
        <n v="26"/>
        <n v="29"/>
        <n v="47"/>
        <n v="35"/>
        <n v="40"/>
        <n v="41"/>
        <n v="15"/>
        <n v="9"/>
        <n v="6"/>
        <n v="11"/>
        <n v="4"/>
        <n v="7"/>
        <n v="16"/>
        <n v="20"/>
        <n v="19"/>
        <n v="10"/>
        <n v="13"/>
        <n v="14"/>
        <n v="18"/>
        <n v="17"/>
        <n v="21"/>
        <n v="33"/>
        <n v="23"/>
        <n v="22"/>
        <n v="24"/>
        <n v="28"/>
        <n v="48"/>
        <n v="52"/>
        <n v="42"/>
        <n v="30"/>
        <n v="27"/>
        <n v="32"/>
        <n v="58"/>
        <n v="62"/>
        <n v="51"/>
      </sharedItems>
    </cacheField>
    <cacheField name="registered" numFmtId="0">
      <sharedItems containsSemiMixedTypes="0" containsString="0" containsNumber="1" containsInteger="1" minValue="0" maxValue="247" count="186">
        <n v="13"/>
        <n v="32"/>
        <n v="27"/>
        <n v="10"/>
        <n v="1"/>
        <n v="0"/>
        <n v="2"/>
        <n v="7"/>
        <n v="6"/>
        <n v="24"/>
        <n v="30"/>
        <n v="55"/>
        <n v="47"/>
        <n v="71"/>
        <n v="70"/>
        <n v="52"/>
        <n v="26"/>
        <n v="31"/>
        <n v="25"/>
        <n v="17"/>
        <n v="16"/>
        <n v="8"/>
        <n v="4"/>
        <n v="19"/>
        <n v="46"/>
        <n v="54"/>
        <n v="73"/>
        <n v="64"/>
        <n v="67"/>
        <n v="58"/>
        <n v="43"/>
        <n v="29"/>
        <n v="20"/>
        <n v="9"/>
        <n v="5"/>
        <n v="3"/>
        <n v="63"/>
        <n v="153"/>
        <n v="81"/>
        <n v="33"/>
        <n v="41"/>
        <n v="48"/>
        <n v="53"/>
        <n v="66"/>
        <n v="146"/>
        <n v="148"/>
        <n v="102"/>
        <n v="49"/>
        <n v="11"/>
        <n v="36"/>
        <n v="92"/>
        <n v="177"/>
        <n v="98"/>
        <n v="37"/>
        <n v="50"/>
        <n v="79"/>
        <n v="68"/>
        <n v="202"/>
        <n v="179"/>
        <n v="110"/>
        <n v="34"/>
        <n v="87"/>
        <n v="192"/>
        <n v="109"/>
        <n v="74"/>
        <n v="65"/>
        <n v="85"/>
        <n v="186"/>
        <n v="166"/>
        <n v="127"/>
        <n v="82"/>
        <n v="40"/>
        <n v="18"/>
        <n v="95"/>
        <n v="216"/>
        <n v="116"/>
        <n v="42"/>
        <n v="57"/>
        <n v="78"/>
        <n v="59"/>
        <n v="163"/>
        <n v="158"/>
        <n v="51"/>
        <n v="76"/>
        <n v="190"/>
        <n v="125"/>
        <n v="178"/>
        <n v="39"/>
        <n v="14"/>
        <n v="15"/>
        <n v="56"/>
        <n v="60"/>
        <n v="90"/>
        <n v="83"/>
        <n v="69"/>
        <n v="28"/>
        <n v="35"/>
        <n v="22"/>
        <n v="12"/>
        <n v="77"/>
        <n v="44"/>
        <n v="38"/>
        <n v="75"/>
        <n v="184"/>
        <n v="174"/>
        <n v="154"/>
        <n v="97"/>
        <n v="214"/>
        <n v="45"/>
        <n v="72"/>
        <n v="130"/>
        <n v="94"/>
        <n v="139"/>
        <n v="135"/>
        <n v="197"/>
        <n v="137"/>
        <n v="141"/>
        <n v="156"/>
        <n v="117"/>
        <n v="155"/>
        <n v="134"/>
        <n v="89"/>
        <n v="80"/>
        <n v="108"/>
        <n v="61"/>
        <n v="124"/>
        <n v="132"/>
        <n v="196"/>
        <n v="107"/>
        <n v="100"/>
        <n v="247"/>
        <n v="140"/>
        <n v="86"/>
        <n v="62"/>
        <n v="207"/>
        <n v="210"/>
        <n v="159"/>
        <n v="151"/>
        <n v="119"/>
        <n v="93"/>
        <n v="23"/>
        <n v="171"/>
        <n v="145"/>
        <n v="101"/>
        <n v="21"/>
        <n v="103"/>
        <n v="233"/>
        <n v="208"/>
        <n v="218"/>
        <n v="133"/>
        <n v="147"/>
        <n v="84"/>
        <n v="88"/>
        <n v="104"/>
        <n v="182"/>
        <n v="112"/>
        <n v="114"/>
        <n v="172"/>
        <n v="165"/>
        <n v="105"/>
        <n v="183"/>
        <n v="175"/>
        <n v="170"/>
        <n v="217"/>
        <n v="91"/>
        <n v="195"/>
        <n v="152"/>
        <n v="126"/>
        <n v="115"/>
        <n v="223"/>
        <n v="123"/>
        <n v="236"/>
        <n v="128"/>
        <n v="198"/>
        <n v="157"/>
        <n v="168"/>
        <n v="99"/>
        <n v="173"/>
        <n v="121"/>
        <n v="212"/>
        <n v="111"/>
        <n v="193"/>
        <n v="113"/>
        <n v="122"/>
        <n v="106"/>
        <n v="96"/>
      </sharedItems>
    </cacheField>
    <cacheField name="cnt" numFmtId="0">
      <sharedItems containsSemiMixedTypes="0" containsString="0" containsNumber="1" containsInteger="1" minValue="1" maxValue="249" count="191">
        <n v="16"/>
        <n v="40"/>
        <n v="32"/>
        <n v="13"/>
        <n v="1"/>
        <n v="2"/>
        <n v="3"/>
        <n v="8"/>
        <n v="14"/>
        <n v="36"/>
        <n v="56"/>
        <n v="84"/>
        <n v="94"/>
        <n v="106"/>
        <n v="110"/>
        <n v="93"/>
        <n v="67"/>
        <n v="35"/>
        <n v="37"/>
        <n v="34"/>
        <n v="28"/>
        <n v="39"/>
        <n v="17"/>
        <n v="9"/>
        <n v="6"/>
        <n v="20"/>
        <n v="53"/>
        <n v="70"/>
        <n v="75"/>
        <n v="59"/>
        <n v="74"/>
        <n v="76"/>
        <n v="65"/>
        <n v="30"/>
        <n v="22"/>
        <n v="31"/>
        <n v="5"/>
        <n v="64"/>
        <n v="154"/>
        <n v="88"/>
        <n v="44"/>
        <n v="51"/>
        <n v="61"/>
        <n v="77"/>
        <n v="72"/>
        <n v="157"/>
        <n v="52"/>
        <n v="12"/>
        <n v="4"/>
        <n v="179"/>
        <n v="100"/>
        <n v="42"/>
        <n v="57"/>
        <n v="78"/>
        <n v="97"/>
        <n v="63"/>
        <n v="83"/>
        <n v="212"/>
        <n v="182"/>
        <n v="112"/>
        <n v="54"/>
        <n v="48"/>
        <n v="11"/>
        <n v="33"/>
        <n v="195"/>
        <n v="115"/>
        <n v="46"/>
        <n v="79"/>
        <n v="71"/>
        <n v="62"/>
        <n v="89"/>
        <n v="190"/>
        <n v="169"/>
        <n v="132"/>
        <n v="43"/>
        <n v="19"/>
        <n v="95"/>
        <n v="219"/>
        <n v="122"/>
        <n v="45"/>
        <n v="86"/>
        <n v="172"/>
        <n v="163"/>
        <n v="69"/>
        <n v="23"/>
        <n v="7"/>
        <n v="210"/>
        <n v="134"/>
        <n v="73"/>
        <n v="50"/>
        <n v="87"/>
        <n v="187"/>
        <n v="123"/>
        <n v="15"/>
        <n v="25"/>
        <n v="98"/>
        <n v="102"/>
        <n v="55"/>
        <n v="10"/>
        <n v="49"/>
        <n v="82"/>
        <n v="92"/>
        <n v="41"/>
        <n v="38"/>
        <n v="188"/>
        <n v="47"/>
        <n v="178"/>
        <n v="155"/>
        <n v="24"/>
        <n v="18"/>
        <n v="27"/>
        <n v="99"/>
        <n v="217"/>
        <n v="130"/>
        <n v="136"/>
        <n v="29"/>
        <n v="128"/>
        <n v="81"/>
        <n v="68"/>
        <n v="139"/>
        <n v="137"/>
        <n v="202"/>
        <n v="60"/>
        <n v="162"/>
        <n v="144"/>
        <n v="158"/>
        <n v="117"/>
        <n v="90"/>
        <n v="159"/>
        <n v="101"/>
        <n v="118"/>
        <n v="129"/>
        <n v="26"/>
        <n v="104"/>
        <n v="91"/>
        <n v="113"/>
        <n v="105"/>
        <n v="21"/>
        <n v="80"/>
        <n v="125"/>
        <n v="133"/>
        <n v="197"/>
        <n v="109"/>
        <n v="161"/>
        <n v="249"/>
        <n v="143"/>
        <n v="215"/>
        <n v="185"/>
        <n v="152"/>
        <n v="126"/>
        <n v="166"/>
        <n v="120"/>
        <n v="96"/>
        <n v="103"/>
        <n v="58"/>
        <n v="116"/>
        <n v="177"/>
        <n v="184"/>
        <n v="153"/>
        <n v="108"/>
        <n v="238"/>
        <n v="222"/>
        <n v="225"/>
        <n v="146"/>
        <n v="119"/>
        <n v="149"/>
        <n v="107"/>
        <n v="156"/>
        <n v="111"/>
        <n v="135"/>
        <n v="176"/>
        <n v="168"/>
        <n v="175"/>
        <n v="147"/>
        <n v="220"/>
        <n v="127"/>
        <n v="205"/>
        <n v="174"/>
        <n v="121"/>
        <n v="230"/>
        <n v="66"/>
        <n v="114"/>
        <n v="216"/>
        <n v="243"/>
        <n v="199"/>
        <n v="170"/>
        <n v="165"/>
        <n v="160"/>
        <n v="140"/>
        <n v="211"/>
        <n v="145"/>
      </sharedItems>
    </cacheField>
    <cacheField name="Weather_Desc" numFmtId="0">
      <sharedItems count="4">
        <s v="Clear/Few Clouds"/>
        <s v="Mist/Cloudy"/>
        <s v="Light Rain/Snow"/>
        <s v="Heavy Rain/Snow"/>
      </sharedItems>
    </cacheField>
    <cacheField name="Season Name" numFmtId="0">
      <sharedItems count="1">
        <s v="Winter"/>
      </sharedItems>
    </cacheField>
    <cacheField name="Day Of Week" numFmtId="0">
      <sharedItems count="7">
        <s v="Saturday"/>
        <s v="Sunday"/>
        <s v="Monday"/>
        <s v="Tuesday"/>
        <s v="Wednesday"/>
        <s v="Thursday"/>
        <s v="Friday"/>
      </sharedItems>
    </cacheField>
    <cacheField name="Month " numFmtId="0">
      <sharedItems count="2">
        <s v="January"/>
        <s v="February"/>
      </sharedItems>
    </cacheField>
    <cacheField name="Weathersit2" numFmtId="0">
      <sharedItems count="4">
        <s v="GOOD"/>
        <s v="MODERATE"/>
        <s v="BAD"/>
        <s v="WORSE"/>
      </sharedItems>
    </cacheField>
  </cacheFields>
  <extLst>
    <ext xmlns:x14="http://schemas.microsoft.com/office/spreadsheetml/2009/9/main" uri="{725AE2AE-9491-48be-B2B4-4EB974FC3084}">
      <x14:pivotCacheDefinition pivotCacheId="691605705"/>
    </ext>
  </extLst>
</pivotCacheDefinition>
</file>

<file path=xl/pivotCache/pivotCacheDefinition2.xml><?xml version="1.0" encoding="utf-8"?>
<pivotCacheDefinition xmlns="http://schemas.openxmlformats.org/spreadsheetml/2006/main" xmlns:r="http://schemas.openxmlformats.org/officeDocument/2006/relationships" xmlns:mc="http://schemas.openxmlformats.org/markup-compatibility/2006" xmlns:xr="http://schemas.microsoft.com/office/spreadsheetml/2014/revision" mc:Ignorable="xr" saveData="0" refreshedBy="ASUS" refreshedDate="45951.645598958334" backgroundQuery="1" createdVersion="8" refreshedVersion="8" minRefreshableVersion="3" recordCount="0" supportSubquery="1" supportAdvancedDrill="1" xr:uid="{DAC2D72B-43BC-427A-A753-78646A8D9049}">
  <cacheSource type="external" connectionId="6"/>
  <cacheFields count="3">
    <cacheField name="[Append1].[Month].[Month]" caption="Month" numFmtId="0" hierarchy="19" level="1">
      <sharedItems count="2">
        <s v="February"/>
        <s v="January"/>
      </sharedItems>
    </cacheField>
    <cacheField name="[Append1].[Weather_Desc].[Weather_Desc]" caption="Weather_Desc" numFmtId="0" hierarchy="16" level="1">
      <sharedItems count="4">
        <s v="Clear/Few Clouds"/>
        <s v="Light Rain/Snow"/>
        <s v="Mist/Cloudy"/>
        <s v="Heavy Rain/Snow"/>
      </sharedItems>
    </cacheField>
    <cacheField name="[Measures].[Sum of cnt]" caption="Sum of cnt" numFmtId="0" hierarchy="26" level="32767"/>
  </cacheFields>
  <cacheHierarchies count="29">
    <cacheHierarchy uniqueName="[Append1].[instant]" caption="instant" attribute="1" defaultMemberUniqueName="[Append1].[instant].[All]" allUniqueName="[Append1].[instant].[All]" dimensionUniqueName="[Append1]" displayFolder="" count="0" memberValueDatatype="20" unbalanced="0"/>
    <cacheHierarchy uniqueName="[Append1].[dteday]" caption="dteday" attribute="1" time="1" defaultMemberUniqueName="[Append1].[dteday].[All]" allUniqueName="[Append1].[dteday].[All]" dimensionUniqueName="[Append1]" displayFolder="" count="0" memberValueDatatype="7" unbalanced="0"/>
    <cacheHierarchy uniqueName="[Append1].[season]" caption="season" attribute="1" defaultMemberUniqueName="[Append1].[season].[All]" allUniqueName="[Append1].[season].[All]" dimensionUniqueName="[Append1]" displayFolder="" count="2" memberValueDatatype="20" unbalanced="0"/>
    <cacheHierarchy uniqueName="[Append1].[yr]" caption="yr" attribute="1" defaultMemberUniqueName="[Append1].[yr].[All]" allUniqueName="[Append1].[yr].[All]" dimensionUniqueName="[Append1]" displayFolder="" count="0" memberValueDatatype="20" unbalanced="0"/>
    <cacheHierarchy uniqueName="[Append1].[mnth]" caption="mnth" attribute="1" defaultMemberUniqueName="[Append1].[mnth].[All]" allUniqueName="[Append1].[mnth].[All]" dimensionUniqueName="[Append1]" displayFolder="" count="0" memberValueDatatype="20" unbalanced="0"/>
    <cacheHierarchy uniqueName="[Append1].[hr]" caption="hr" attribute="1" defaultMemberUniqueName="[Append1].[hr].[All]" allUniqueName="[Append1].[hr].[All]" dimensionUniqueName="[Append1]" displayFolder="" count="0" memberValueDatatype="20" unbalanced="0"/>
    <cacheHierarchy uniqueName="[Append1].[holiday]" caption="holiday" attribute="1" defaultMemberUniqueName="[Append1].[holiday].[All]" allUniqueName="[Append1].[holiday].[All]" dimensionUniqueName="[Append1]" displayFolder="" count="0" memberValueDatatype="11" unbalanced="0"/>
    <cacheHierarchy uniqueName="[Append1].[weekday]" caption="weekday" attribute="1" defaultMemberUniqueName="[Append1].[weekday].[All]" allUniqueName="[Append1].[weekday].[All]" dimensionUniqueName="[Append1]" displayFolder="" count="0" memberValueDatatype="20" unbalanced="0"/>
    <cacheHierarchy uniqueName="[Append1].[weathersit]" caption="weathersit" attribute="1" defaultMemberUniqueName="[Append1].[weathersit].[All]" allUniqueName="[Append1].[weathersit].[All]" dimensionUniqueName="[Append1]" displayFolder="" count="0" memberValueDatatype="20" unbalanced="0"/>
    <cacheHierarchy uniqueName="[Append1].[temp]" caption="temp" attribute="1" defaultMemberUniqueName="[Append1].[temp].[All]" allUniqueName="[Append1].[temp].[All]" dimensionUniqueName="[Append1]" displayFolder="" count="0" memberValueDatatype="5" unbalanced="0"/>
    <cacheHierarchy uniqueName="[Append1].[atemp]" caption="atemp" attribute="1" defaultMemberUniqueName="[Append1].[atemp].[All]" allUniqueName="[Append1].[atemp].[All]" dimensionUniqueName="[Append1]" displayFolder="" count="0" memberValueDatatype="5" unbalanced="0"/>
    <cacheHierarchy uniqueName="[Append1].[hum]" caption="hum" attribute="1" defaultMemberUniqueName="[Append1].[hum].[All]" allUniqueName="[Append1].[hum].[All]" dimensionUniqueName="[Append1]" displayFolder="" count="0" memberValueDatatype="5" unbalanced="0"/>
    <cacheHierarchy uniqueName="[Append1].[windspeed]" caption="windspeed" attribute="1" defaultMemberUniqueName="[Append1].[windspeed].[All]" allUniqueName="[Append1].[windspeed].[All]" dimensionUniqueName="[Append1]" displayFolder="" count="0" memberValueDatatype="5" unbalanced="0"/>
    <cacheHierarchy uniqueName="[Append1].[casual]" caption="casual" attribute="1" defaultMemberUniqueName="[Append1].[casual].[All]" allUniqueName="[Append1].[casual].[All]" dimensionUniqueName="[Append1]" displayFolder="" count="0" memberValueDatatype="20" unbalanced="0"/>
    <cacheHierarchy uniqueName="[Append1].[registered]" caption="registered" attribute="1" defaultMemberUniqueName="[Append1].[registered].[All]" allUniqueName="[Append1].[registered].[All]" dimensionUniqueName="[Append1]" displayFolder="" count="0" memberValueDatatype="20" unbalanced="0"/>
    <cacheHierarchy uniqueName="[Append1].[cnt]" caption="cnt" attribute="1" defaultMemberUniqueName="[Append1].[cnt].[All]" allUniqueName="[Append1].[cnt].[All]" dimensionUniqueName="[Append1]" displayFolder="" count="0" memberValueDatatype="20" unbalanced="0"/>
    <cacheHierarchy uniqueName="[Append1].[Weather_Desc]" caption="Weather_Desc" attribute="1" defaultMemberUniqueName="[Append1].[Weather_Desc].[All]" allUniqueName="[Append1].[Weather_Desc].[All]" dimensionUniqueName="[Append1]" displayFolder="" count="2" memberValueDatatype="130" unbalanced="0">
      <fieldsUsage count="2">
        <fieldUsage x="-1"/>
        <fieldUsage x="1"/>
      </fieldsUsage>
    </cacheHierarchy>
    <cacheHierarchy uniqueName="[Append1].[Season Name]" caption="Season Name" attribute="1" defaultMemberUniqueName="[Append1].[Season Name].[All]" allUniqueName="[Append1].[Season Name].[All]" dimensionUniqueName="[Append1]" displayFolder="" count="0" memberValueDatatype="130" unbalanced="0"/>
    <cacheHierarchy uniqueName="[Append1].[Day Of Week]" caption="Day Of Week" attribute="1" defaultMemberUniqueName="[Append1].[Day Of Week].[All]" allUniqueName="[Append1].[Day Of Week].[All]" dimensionUniqueName="[Append1]" displayFolder="" count="0" memberValueDatatype="130" unbalanced="0"/>
    <cacheHierarchy uniqueName="[Append1].[Month]" caption="Month" attribute="1" defaultMemberUniqueName="[Append1].[Month].[All]" allUniqueName="[Append1].[Month].[All]" dimensionUniqueName="[Append1]" displayFolder="" count="2" memberValueDatatype="130" unbalanced="0">
      <fieldsUsage count="2">
        <fieldUsage x="-1"/>
        <fieldUsage x="0"/>
      </fieldsUsage>
    </cacheHierarchy>
    <cacheHierarchy uniqueName="[Measures].[__XL_Count Append1]" caption="__XL_Count Append1" measure="1" displayFolder="" measureGroup="Append1" count="0" hidden="1"/>
    <cacheHierarchy uniqueName="[Measures].[__No measures defined]" caption="__No measures defined" measure="1" displayFolder="" count="0" hidden="1"/>
    <cacheHierarchy uniqueName="[Measures].[Sum of casual]" caption="Sum of casual" measure="1" displayFolder="" measureGroup="Append1" count="0" hidden="1">
      <extLst>
        <ext xmlns:x15="http://schemas.microsoft.com/office/spreadsheetml/2010/11/main" uri="{B97F6D7D-B522-45F9-BDA1-12C45D357490}">
          <x15:cacheHierarchy aggregatedColumn="13"/>
        </ext>
      </extLst>
    </cacheHierarchy>
    <cacheHierarchy uniqueName="[Measures].[Average of casual]" caption="Average of casual" measure="1" displayFolder="" measureGroup="Append1" count="0" hidden="1">
      <extLst>
        <ext xmlns:x15="http://schemas.microsoft.com/office/spreadsheetml/2010/11/main" uri="{B97F6D7D-B522-45F9-BDA1-12C45D357490}">
          <x15:cacheHierarchy aggregatedColumn="13"/>
        </ext>
      </extLst>
    </cacheHierarchy>
    <cacheHierarchy uniqueName="[Measures].[Sum of registered]" caption="Sum of registered" measure="1" displayFolder="" measureGroup="Append1" count="0" hidden="1">
      <extLst>
        <ext xmlns:x15="http://schemas.microsoft.com/office/spreadsheetml/2010/11/main" uri="{B97F6D7D-B522-45F9-BDA1-12C45D357490}">
          <x15:cacheHierarchy aggregatedColumn="14"/>
        </ext>
      </extLst>
    </cacheHierarchy>
    <cacheHierarchy uniqueName="[Measures].[Average of registered]" caption="Average of registered" measure="1" displayFolder="" measureGroup="Append1" count="0" hidden="1">
      <extLst>
        <ext xmlns:x15="http://schemas.microsoft.com/office/spreadsheetml/2010/11/main" uri="{B97F6D7D-B522-45F9-BDA1-12C45D357490}">
          <x15:cacheHierarchy aggregatedColumn="14"/>
        </ext>
      </extLst>
    </cacheHierarchy>
    <cacheHierarchy uniqueName="[Measures].[Sum of cnt]" caption="Sum of cnt" measure="1" displayFolder="" measureGroup="Append1" count="0" oneField="1" hidden="1">
      <fieldsUsage count="1">
        <fieldUsage x="2"/>
      </fieldsUsage>
      <extLst>
        <ext xmlns:x15="http://schemas.microsoft.com/office/spreadsheetml/2010/11/main" uri="{B97F6D7D-B522-45F9-BDA1-12C45D357490}">
          <x15:cacheHierarchy aggregatedColumn="15"/>
        </ext>
      </extLst>
    </cacheHierarchy>
    <cacheHierarchy uniqueName="[Measures].[Average of cnt]" caption="Average of cnt" measure="1" displayFolder="" measureGroup="Append1" count="0" hidden="1">
      <extLst>
        <ext xmlns:x15="http://schemas.microsoft.com/office/spreadsheetml/2010/11/main" uri="{B97F6D7D-B522-45F9-BDA1-12C45D357490}">
          <x15:cacheHierarchy aggregatedColumn="15"/>
        </ext>
      </extLst>
    </cacheHierarchy>
    <cacheHierarchy uniqueName="[Measures].[Sum of season]" caption="Sum of season" measure="1" displayFolder="" measureGroup="Append1" count="0" hidden="1">
      <extLst>
        <ext xmlns:x15="http://schemas.microsoft.com/office/spreadsheetml/2010/11/main" uri="{B97F6D7D-B522-45F9-BDA1-12C45D357490}">
          <x15:cacheHierarchy aggregatedColumn="2"/>
        </ext>
      </extLst>
    </cacheHierarchy>
  </cacheHierarchies>
  <kpis count="0"/>
  <dimensions count="2">
    <dimension name="Append1" uniqueName="[Append1]" caption="Append1"/>
    <dimension measure="1" name="Measures" uniqueName="[Measures]" caption="Measures"/>
  </dimensions>
  <measureGroups count="1">
    <measureGroup name="Append1" caption="Append1"/>
  </measureGroups>
  <maps count="1">
    <map measureGroup="0" dimension="0"/>
  </maps>
  <extLst>
    <ext xmlns:x14="http://schemas.microsoft.com/office/spreadsheetml/2009/9/main" uri="{725AE2AE-9491-48be-B2B4-4EB974FC3084}">
      <x14:pivotCacheDefinition supportSubqueryNonVisual="1" supportSubqueryCalcMem="1" supportAddCalcMems="1"/>
    </ext>
  </extLst>
</pivotCacheDefinition>
</file>

<file path=xl/pivotCache/pivotCacheRecords1.xml><?xml version="1.0" encoding="utf-8"?>
<pivotCacheRecords xmlns="http://schemas.openxmlformats.org/spreadsheetml/2006/main" xmlns:r="http://schemas.openxmlformats.org/officeDocument/2006/relationships" xmlns:mc="http://schemas.openxmlformats.org/markup-compatibility/2006" xmlns:xr="http://schemas.microsoft.com/office/spreadsheetml/2014/revision" mc:Ignorable="xr" count="1000">
  <r>
    <n v="1"/>
    <d v="2011-01-01T00:00:00"/>
    <x v="0"/>
    <n v="0"/>
    <x v="0"/>
    <x v="0"/>
    <x v="0"/>
    <x v="0"/>
    <n v="1"/>
    <x v="0"/>
    <n v="0.28789999999999999"/>
    <n v="0.81"/>
    <n v="0"/>
    <x v="0"/>
    <x v="0"/>
    <x v="0"/>
    <x v="0"/>
    <x v="0"/>
    <x v="0"/>
    <x v="0"/>
    <x v="0"/>
  </r>
  <r>
    <n v="2"/>
    <d v="2011-01-01T00:00:00"/>
    <x v="0"/>
    <n v="0"/>
    <x v="0"/>
    <x v="1"/>
    <x v="0"/>
    <x v="0"/>
    <n v="1"/>
    <x v="1"/>
    <n v="0.2727"/>
    <n v="0.8"/>
    <n v="0"/>
    <x v="1"/>
    <x v="1"/>
    <x v="1"/>
    <x v="0"/>
    <x v="0"/>
    <x v="0"/>
    <x v="0"/>
    <x v="0"/>
  </r>
  <r>
    <n v="3"/>
    <d v="2011-01-01T00:00:00"/>
    <x v="0"/>
    <n v="0"/>
    <x v="0"/>
    <x v="2"/>
    <x v="0"/>
    <x v="0"/>
    <n v="1"/>
    <x v="1"/>
    <n v="0.2727"/>
    <n v="0.8"/>
    <n v="0"/>
    <x v="2"/>
    <x v="2"/>
    <x v="2"/>
    <x v="0"/>
    <x v="0"/>
    <x v="0"/>
    <x v="0"/>
    <x v="0"/>
  </r>
  <r>
    <n v="4"/>
    <d v="2011-01-01T00:00:00"/>
    <x v="0"/>
    <n v="0"/>
    <x v="0"/>
    <x v="3"/>
    <x v="0"/>
    <x v="0"/>
    <n v="1"/>
    <x v="0"/>
    <n v="0.28789999999999999"/>
    <n v="0.75"/>
    <n v="0"/>
    <x v="0"/>
    <x v="3"/>
    <x v="3"/>
    <x v="0"/>
    <x v="0"/>
    <x v="0"/>
    <x v="0"/>
    <x v="0"/>
  </r>
  <r>
    <n v="5"/>
    <d v="2011-01-01T00:00:00"/>
    <x v="0"/>
    <n v="0"/>
    <x v="0"/>
    <x v="4"/>
    <x v="0"/>
    <x v="0"/>
    <n v="1"/>
    <x v="0"/>
    <n v="0.28789999999999999"/>
    <n v="0.75"/>
    <n v="0"/>
    <x v="3"/>
    <x v="4"/>
    <x v="4"/>
    <x v="0"/>
    <x v="0"/>
    <x v="0"/>
    <x v="0"/>
    <x v="0"/>
  </r>
  <r>
    <n v="6"/>
    <d v="2011-01-01T00:00:00"/>
    <x v="0"/>
    <n v="0"/>
    <x v="0"/>
    <x v="5"/>
    <x v="0"/>
    <x v="0"/>
    <n v="2"/>
    <x v="0"/>
    <n v="0.2576"/>
    <n v="0.75"/>
    <n v="8.9599999999999999E-2"/>
    <x v="3"/>
    <x v="4"/>
    <x v="4"/>
    <x v="1"/>
    <x v="0"/>
    <x v="0"/>
    <x v="0"/>
    <x v="1"/>
  </r>
  <r>
    <n v="7"/>
    <d v="2011-01-01T00:00:00"/>
    <x v="0"/>
    <n v="0"/>
    <x v="0"/>
    <x v="6"/>
    <x v="0"/>
    <x v="0"/>
    <n v="1"/>
    <x v="1"/>
    <n v="0.2727"/>
    <n v="0.8"/>
    <n v="0"/>
    <x v="4"/>
    <x v="5"/>
    <x v="5"/>
    <x v="0"/>
    <x v="0"/>
    <x v="0"/>
    <x v="0"/>
    <x v="0"/>
  </r>
  <r>
    <n v="8"/>
    <d v="2011-01-01T00:00:00"/>
    <x v="0"/>
    <n v="0"/>
    <x v="0"/>
    <x v="7"/>
    <x v="0"/>
    <x v="0"/>
    <n v="1"/>
    <x v="2"/>
    <n v="0.2576"/>
    <n v="0.86"/>
    <n v="0"/>
    <x v="5"/>
    <x v="6"/>
    <x v="6"/>
    <x v="0"/>
    <x v="0"/>
    <x v="0"/>
    <x v="0"/>
    <x v="0"/>
  </r>
  <r>
    <n v="9"/>
    <d v="2011-01-01T00:00:00"/>
    <x v="0"/>
    <n v="0"/>
    <x v="0"/>
    <x v="8"/>
    <x v="0"/>
    <x v="0"/>
    <n v="1"/>
    <x v="0"/>
    <m/>
    <n v="0.75"/>
    <n v="0"/>
    <x v="5"/>
    <x v="7"/>
    <x v="7"/>
    <x v="0"/>
    <x v="0"/>
    <x v="0"/>
    <x v="0"/>
    <x v="0"/>
  </r>
  <r>
    <n v="10"/>
    <d v="2011-01-01T00:00:00"/>
    <x v="0"/>
    <n v="0"/>
    <x v="0"/>
    <x v="9"/>
    <x v="0"/>
    <x v="0"/>
    <n v="1"/>
    <x v="3"/>
    <n v="0.34849999999999998"/>
    <n v="0.76"/>
    <n v="0"/>
    <x v="1"/>
    <x v="8"/>
    <x v="8"/>
    <x v="0"/>
    <x v="0"/>
    <x v="0"/>
    <x v="0"/>
    <x v="0"/>
  </r>
  <r>
    <n v="11"/>
    <d v="2011-01-01T00:00:00"/>
    <x v="0"/>
    <n v="0"/>
    <x v="0"/>
    <x v="10"/>
    <x v="0"/>
    <x v="0"/>
    <n v="1"/>
    <x v="4"/>
    <n v="0.39389999999999997"/>
    <n v="0.76"/>
    <n v="0.25369999999999998"/>
    <x v="6"/>
    <x v="9"/>
    <x v="9"/>
    <x v="0"/>
    <x v="0"/>
    <x v="0"/>
    <x v="0"/>
    <x v="0"/>
  </r>
  <r>
    <n v="12"/>
    <d v="2011-01-01T00:00:00"/>
    <x v="0"/>
    <n v="0"/>
    <x v="0"/>
    <x v="11"/>
    <x v="0"/>
    <x v="0"/>
    <n v="1"/>
    <x v="5"/>
    <n v="0.33329999999999999"/>
    <n v="0.81"/>
    <n v="0.28360000000000002"/>
    <x v="7"/>
    <x v="10"/>
    <x v="10"/>
    <x v="0"/>
    <x v="0"/>
    <x v="0"/>
    <x v="0"/>
    <x v="0"/>
  </r>
  <r>
    <n v="13"/>
    <d v="2011-01-01T00:00:00"/>
    <x v="0"/>
    <n v="0"/>
    <x v="0"/>
    <x v="12"/>
    <x v="0"/>
    <x v="0"/>
    <n v="1"/>
    <x v="6"/>
    <n v="0.42420000000000002"/>
    <n v="0.77"/>
    <n v="0.28360000000000002"/>
    <x v="8"/>
    <x v="11"/>
    <x v="11"/>
    <x v="0"/>
    <x v="0"/>
    <x v="0"/>
    <x v="0"/>
    <x v="0"/>
  </r>
  <r>
    <n v="14"/>
    <d v="2011-01-01T00:00:00"/>
    <x v="0"/>
    <n v="0"/>
    <x v="0"/>
    <x v="13"/>
    <x v="0"/>
    <x v="0"/>
    <n v="2"/>
    <x v="7"/>
    <n v="0.45450000000000002"/>
    <n v="0.72"/>
    <n v="0.29849999999999999"/>
    <x v="9"/>
    <x v="12"/>
    <x v="12"/>
    <x v="1"/>
    <x v="0"/>
    <x v="0"/>
    <x v="0"/>
    <x v="1"/>
  </r>
  <r>
    <n v="15"/>
    <d v="2011-01-01T00:00:00"/>
    <x v="0"/>
    <n v="0"/>
    <x v="0"/>
    <x v="14"/>
    <x v="0"/>
    <x v="0"/>
    <n v="2"/>
    <x v="7"/>
    <n v="0.45450000000000002"/>
    <n v="0.72"/>
    <n v="0.28360000000000002"/>
    <x v="10"/>
    <x v="13"/>
    <x v="13"/>
    <x v="1"/>
    <x v="0"/>
    <x v="0"/>
    <x v="0"/>
    <x v="1"/>
  </r>
  <r>
    <n v="16"/>
    <d v="2011-01-01T00:00:00"/>
    <x v="0"/>
    <n v="0"/>
    <x v="0"/>
    <x v="15"/>
    <x v="0"/>
    <x v="0"/>
    <n v="2"/>
    <x v="8"/>
    <n v="0.43940000000000001"/>
    <n v="0.77"/>
    <n v="0.29849999999999999"/>
    <x v="11"/>
    <x v="14"/>
    <x v="14"/>
    <x v="1"/>
    <x v="0"/>
    <x v="0"/>
    <x v="0"/>
    <x v="1"/>
  </r>
  <r>
    <n v="17"/>
    <d v="2011-01-01T00:00:00"/>
    <x v="0"/>
    <n v="0"/>
    <x v="0"/>
    <x v="16"/>
    <x v="0"/>
    <x v="0"/>
    <n v="2"/>
    <x v="6"/>
    <n v="0.42420000000000002"/>
    <n v="0.82"/>
    <n v="0.29849999999999999"/>
    <x v="12"/>
    <x v="15"/>
    <x v="15"/>
    <x v="1"/>
    <x v="0"/>
    <x v="0"/>
    <x v="0"/>
    <x v="1"/>
  </r>
  <r>
    <n v="18"/>
    <d v="2011-01-01T00:00:00"/>
    <x v="0"/>
    <n v="0"/>
    <x v="0"/>
    <x v="17"/>
    <x v="0"/>
    <x v="0"/>
    <n v="2"/>
    <x v="8"/>
    <m/>
    <n v="0.82"/>
    <n v="0.28360000000000002"/>
    <x v="13"/>
    <x v="15"/>
    <x v="16"/>
    <x v="1"/>
    <x v="0"/>
    <x v="0"/>
    <x v="0"/>
    <x v="1"/>
  </r>
  <r>
    <n v="19"/>
    <d v="2011-01-01T00:00:00"/>
    <x v="0"/>
    <n v="0"/>
    <x v="0"/>
    <x v="18"/>
    <x v="0"/>
    <x v="0"/>
    <n v="3"/>
    <x v="6"/>
    <n v="0.42420000000000002"/>
    <n v="0.88"/>
    <n v="0.25369999999999998"/>
    <x v="14"/>
    <x v="16"/>
    <x v="17"/>
    <x v="2"/>
    <x v="0"/>
    <x v="0"/>
    <x v="0"/>
    <x v="2"/>
  </r>
  <r>
    <n v="20"/>
    <d v="2011-01-01T00:00:00"/>
    <x v="0"/>
    <n v="0"/>
    <x v="0"/>
    <x v="19"/>
    <x v="0"/>
    <x v="0"/>
    <n v="3"/>
    <x v="6"/>
    <n v="0.42420000000000002"/>
    <n v="0.88"/>
    <n v="0.25369999999999998"/>
    <x v="15"/>
    <x v="17"/>
    <x v="18"/>
    <x v="2"/>
    <x v="0"/>
    <x v="0"/>
    <x v="0"/>
    <x v="2"/>
  </r>
  <r>
    <n v="21"/>
    <d v="2011-01-01T00:00:00"/>
    <x v="0"/>
    <n v="0"/>
    <x v="0"/>
    <x v="20"/>
    <x v="0"/>
    <x v="0"/>
    <n v="2"/>
    <x v="9"/>
    <n v="0.40910000000000002"/>
    <n v="0.87"/>
    <n v="0.25369999999999998"/>
    <x v="16"/>
    <x v="18"/>
    <x v="9"/>
    <x v="1"/>
    <x v="0"/>
    <x v="0"/>
    <x v="0"/>
    <x v="1"/>
  </r>
  <r>
    <n v="22"/>
    <d v="2011-01-01T00:00:00"/>
    <x v="0"/>
    <n v="0"/>
    <x v="0"/>
    <x v="21"/>
    <x v="0"/>
    <x v="0"/>
    <n v="2"/>
    <x v="9"/>
    <n v="0.40910000000000002"/>
    <n v="0.87"/>
    <n v="0.19400000000000001"/>
    <x v="0"/>
    <x v="17"/>
    <x v="19"/>
    <x v="1"/>
    <x v="0"/>
    <x v="0"/>
    <x v="0"/>
    <x v="1"/>
  </r>
  <r>
    <n v="23"/>
    <d v="2011-01-01T00:00:00"/>
    <x v="0"/>
    <n v="0"/>
    <x v="0"/>
    <x v="22"/>
    <x v="0"/>
    <x v="0"/>
    <n v="2"/>
    <x v="9"/>
    <n v="0.40910000000000002"/>
    <n v="0.94"/>
    <n v="0.22389999999999999"/>
    <x v="16"/>
    <x v="19"/>
    <x v="20"/>
    <x v="1"/>
    <x v="0"/>
    <x v="0"/>
    <x v="0"/>
    <x v="1"/>
  </r>
  <r>
    <n v="24"/>
    <d v="2011-01-01T00:00:00"/>
    <x v="0"/>
    <n v="0"/>
    <x v="0"/>
    <x v="23"/>
    <x v="0"/>
    <x v="0"/>
    <n v="2"/>
    <x v="7"/>
    <m/>
    <n v="0.88"/>
    <n v="0.29849999999999999"/>
    <x v="13"/>
    <x v="9"/>
    <x v="21"/>
    <x v="1"/>
    <x v="0"/>
    <x v="0"/>
    <x v="0"/>
    <x v="1"/>
  </r>
  <r>
    <n v="25"/>
    <d v="2011-01-02T00:00:00"/>
    <x v="0"/>
    <n v="0"/>
    <x v="0"/>
    <x v="0"/>
    <x v="0"/>
    <x v="1"/>
    <n v="2"/>
    <x v="7"/>
    <n v="0.45450000000000002"/>
    <n v="0.88"/>
    <n v="0.29849999999999999"/>
    <x v="17"/>
    <x v="0"/>
    <x v="22"/>
    <x v="1"/>
    <x v="0"/>
    <x v="1"/>
    <x v="0"/>
    <x v="1"/>
  </r>
  <r>
    <n v="26"/>
    <d v="2011-01-02T00:00:00"/>
    <x v="0"/>
    <n v="0"/>
    <x v="0"/>
    <x v="1"/>
    <x v="0"/>
    <x v="1"/>
    <n v="2"/>
    <x v="8"/>
    <n v="0.43940000000000001"/>
    <n v="0.94"/>
    <n v="0.25369999999999998"/>
    <x v="5"/>
    <x v="20"/>
    <x v="22"/>
    <x v="1"/>
    <x v="0"/>
    <x v="1"/>
    <x v="0"/>
    <x v="1"/>
  </r>
  <r>
    <n v="27"/>
    <d v="2011-01-02T00:00:00"/>
    <x v="0"/>
    <n v="0"/>
    <x v="0"/>
    <x v="2"/>
    <x v="0"/>
    <x v="1"/>
    <n v="2"/>
    <x v="6"/>
    <n v="0.42420000000000002"/>
    <n v="1"/>
    <n v="0.28360000000000002"/>
    <x v="5"/>
    <x v="21"/>
    <x v="23"/>
    <x v="1"/>
    <x v="0"/>
    <x v="1"/>
    <x v="0"/>
    <x v="1"/>
  </r>
  <r>
    <n v="28"/>
    <d v="2011-01-02T00:00:00"/>
    <x v="0"/>
    <n v="0"/>
    <x v="0"/>
    <x v="3"/>
    <x v="0"/>
    <x v="1"/>
    <n v="2"/>
    <x v="7"/>
    <n v="0.45450000000000002"/>
    <n v="0.94"/>
    <n v="0.19400000000000001"/>
    <x v="4"/>
    <x v="22"/>
    <x v="24"/>
    <x v="1"/>
    <x v="0"/>
    <x v="1"/>
    <x v="0"/>
    <x v="1"/>
  </r>
  <r>
    <n v="29"/>
    <d v="2011-01-02T00:00:00"/>
    <x v="0"/>
    <n v="0"/>
    <x v="0"/>
    <x v="4"/>
    <x v="0"/>
    <x v="1"/>
    <n v="2"/>
    <x v="7"/>
    <m/>
    <n v="0.94"/>
    <n v="0.19400000000000001"/>
    <x v="4"/>
    <x v="4"/>
    <x v="6"/>
    <x v="1"/>
    <x v="0"/>
    <x v="1"/>
    <x v="0"/>
    <x v="1"/>
  </r>
  <r>
    <n v="30"/>
    <d v="2011-01-02T00:00:00"/>
    <x v="0"/>
    <n v="0"/>
    <x v="0"/>
    <x v="6"/>
    <x v="0"/>
    <x v="1"/>
    <n v="3"/>
    <x v="6"/>
    <n v="0.42420000000000002"/>
    <n v="0.77"/>
    <n v="0.29849999999999999"/>
    <x v="3"/>
    <x v="6"/>
    <x v="5"/>
    <x v="2"/>
    <x v="0"/>
    <x v="1"/>
    <x v="0"/>
    <x v="2"/>
  </r>
  <r>
    <n v="31"/>
    <d v="2011-01-02T00:00:00"/>
    <x v="0"/>
    <n v="0"/>
    <x v="0"/>
    <x v="7"/>
    <x v="0"/>
    <x v="1"/>
    <n v="2"/>
    <x v="9"/>
    <n v="0.40910000000000002"/>
    <n v="0.76"/>
    <n v="0.19400000000000001"/>
    <x v="3"/>
    <x v="4"/>
    <x v="4"/>
    <x v="1"/>
    <x v="0"/>
    <x v="1"/>
    <x v="0"/>
    <x v="1"/>
  </r>
  <r>
    <n v="32"/>
    <d v="2011-01-02T00:00:00"/>
    <x v="0"/>
    <n v="0"/>
    <x v="0"/>
    <x v="8"/>
    <x v="0"/>
    <x v="1"/>
    <n v="3"/>
    <x v="9"/>
    <n v="0.40910000000000002"/>
    <n v="0.71"/>
    <n v="0.22389999999999999"/>
    <x v="3"/>
    <x v="21"/>
    <x v="7"/>
    <x v="2"/>
    <x v="0"/>
    <x v="1"/>
    <x v="0"/>
    <x v="2"/>
  </r>
  <r>
    <n v="33"/>
    <d v="2011-01-02T00:00:00"/>
    <x v="0"/>
    <n v="0"/>
    <x v="0"/>
    <x v="9"/>
    <x v="0"/>
    <x v="1"/>
    <n v="2"/>
    <x v="4"/>
    <m/>
    <n v="0.76"/>
    <n v="0.22389999999999999"/>
    <x v="5"/>
    <x v="23"/>
    <x v="25"/>
    <x v="1"/>
    <x v="0"/>
    <x v="1"/>
    <x v="0"/>
    <x v="1"/>
  </r>
  <r>
    <n v="34"/>
    <d v="2011-01-02T00:00:00"/>
    <x v="0"/>
    <n v="0"/>
    <x v="0"/>
    <x v="10"/>
    <x v="0"/>
    <x v="1"/>
    <n v="2"/>
    <x v="5"/>
    <n v="0.34849999999999998"/>
    <n v="0.81"/>
    <n v="0.22389999999999999"/>
    <x v="18"/>
    <x v="24"/>
    <x v="26"/>
    <x v="1"/>
    <x v="0"/>
    <x v="1"/>
    <x v="0"/>
    <x v="1"/>
  </r>
  <r>
    <n v="35"/>
    <d v="2011-01-02T00:00:00"/>
    <x v="0"/>
    <n v="0"/>
    <x v="0"/>
    <x v="11"/>
    <x v="0"/>
    <x v="1"/>
    <n v="2"/>
    <x v="5"/>
    <n v="0.33329999999999999"/>
    <n v="0.71"/>
    <n v="0.25369999999999998"/>
    <x v="19"/>
    <x v="25"/>
    <x v="27"/>
    <x v="1"/>
    <x v="0"/>
    <x v="1"/>
    <x v="0"/>
    <x v="1"/>
  </r>
  <r>
    <n v="36"/>
    <d v="2011-01-02T00:00:00"/>
    <x v="0"/>
    <n v="0"/>
    <x v="0"/>
    <x v="12"/>
    <x v="0"/>
    <x v="1"/>
    <n v="2"/>
    <x v="5"/>
    <n v="0.33329999999999999"/>
    <n v="0.66"/>
    <n v="0.29849999999999999"/>
    <x v="20"/>
    <x v="26"/>
    <x v="15"/>
    <x v="1"/>
    <x v="0"/>
    <x v="1"/>
    <x v="0"/>
    <x v="1"/>
  </r>
  <r>
    <n v="37"/>
    <d v="2011-01-02T00:00:00"/>
    <x v="0"/>
    <n v="0"/>
    <x v="0"/>
    <x v="13"/>
    <x v="0"/>
    <x v="1"/>
    <n v="2"/>
    <x v="5"/>
    <n v="0.34849999999999998"/>
    <n v="0.66"/>
    <n v="0.1343"/>
    <x v="16"/>
    <x v="27"/>
    <x v="28"/>
    <x v="1"/>
    <x v="0"/>
    <x v="1"/>
    <x v="0"/>
    <x v="1"/>
  </r>
  <r>
    <n v="38"/>
    <d v="2011-01-02T00:00:00"/>
    <x v="0"/>
    <n v="0"/>
    <x v="0"/>
    <x v="14"/>
    <x v="0"/>
    <x v="1"/>
    <n v="3"/>
    <x v="5"/>
    <m/>
    <n v="0.76"/>
    <n v="0.19400000000000001"/>
    <x v="17"/>
    <x v="11"/>
    <x v="29"/>
    <x v="2"/>
    <x v="0"/>
    <x v="1"/>
    <x v="0"/>
    <x v="2"/>
  </r>
  <r>
    <n v="39"/>
    <d v="2011-01-02T00:00:00"/>
    <x v="0"/>
    <n v="0"/>
    <x v="0"/>
    <x v="15"/>
    <x v="0"/>
    <x v="1"/>
    <n v="3"/>
    <x v="10"/>
    <n v="0.33329999999999999"/>
    <n v="0.81"/>
    <n v="0.16420000000000001"/>
    <x v="21"/>
    <x v="11"/>
    <x v="30"/>
    <x v="2"/>
    <x v="0"/>
    <x v="1"/>
    <x v="0"/>
    <x v="2"/>
  </r>
  <r>
    <n v="40"/>
    <d v="2011-01-02T00:00:00"/>
    <x v="0"/>
    <n v="0"/>
    <x v="0"/>
    <x v="16"/>
    <x v="0"/>
    <x v="1"/>
    <n v="3"/>
    <x v="10"/>
    <n v="0.33329999999999999"/>
    <n v="0.71"/>
    <n v="0.16420000000000001"/>
    <x v="14"/>
    <x v="28"/>
    <x v="31"/>
    <x v="2"/>
    <x v="0"/>
    <x v="1"/>
    <x v="0"/>
    <x v="2"/>
  </r>
  <r>
    <n v="41"/>
    <d v="2011-01-02T00:00:00"/>
    <x v="0"/>
    <n v="0"/>
    <x v="0"/>
    <x v="17"/>
    <x v="0"/>
    <x v="1"/>
    <n v="1"/>
    <x v="10"/>
    <n v="0.33329999999999999"/>
    <n v="0.56999999999999995"/>
    <n v="0.19400000000000001"/>
    <x v="18"/>
    <x v="29"/>
    <x v="32"/>
    <x v="0"/>
    <x v="0"/>
    <x v="1"/>
    <x v="0"/>
    <x v="0"/>
  </r>
  <r>
    <n v="42"/>
    <d v="2011-01-02T00:00:00"/>
    <x v="0"/>
    <n v="0"/>
    <x v="0"/>
    <x v="18"/>
    <x v="0"/>
    <x v="1"/>
    <n v="2"/>
    <x v="5"/>
    <n v="0.33329999999999999"/>
    <n v="0.46"/>
    <n v="0.32840000000000003"/>
    <x v="22"/>
    <x v="30"/>
    <x v="26"/>
    <x v="1"/>
    <x v="0"/>
    <x v="1"/>
    <x v="0"/>
    <x v="1"/>
  </r>
  <r>
    <n v="43"/>
    <d v="2011-01-02T00:00:00"/>
    <x v="0"/>
    <n v="0"/>
    <x v="0"/>
    <x v="19"/>
    <x v="0"/>
    <x v="1"/>
    <n v="1"/>
    <x v="3"/>
    <n v="0.28789999999999999"/>
    <n v="0.42"/>
    <n v="0.44779999999999998"/>
    <x v="5"/>
    <x v="31"/>
    <x v="33"/>
    <x v="0"/>
    <x v="0"/>
    <x v="1"/>
    <x v="0"/>
    <x v="0"/>
  </r>
  <r>
    <n v="44"/>
    <d v="2011-01-02T00:00:00"/>
    <x v="0"/>
    <n v="0"/>
    <x v="0"/>
    <x v="20"/>
    <x v="0"/>
    <x v="1"/>
    <n v="1"/>
    <x v="11"/>
    <m/>
    <n v="0.39"/>
    <n v="0.35820000000000002"/>
    <x v="2"/>
    <x v="19"/>
    <x v="34"/>
    <x v="0"/>
    <x v="0"/>
    <x v="1"/>
    <x v="0"/>
    <x v="0"/>
  </r>
  <r>
    <n v="45"/>
    <d v="2011-01-02T00:00:00"/>
    <x v="0"/>
    <n v="0"/>
    <x v="0"/>
    <x v="21"/>
    <x v="0"/>
    <x v="1"/>
    <n v="1"/>
    <x v="12"/>
    <n v="0.2273"/>
    <n v="0.44"/>
    <n v="0.32840000000000003"/>
    <x v="16"/>
    <x v="32"/>
    <x v="35"/>
    <x v="0"/>
    <x v="0"/>
    <x v="1"/>
    <x v="0"/>
    <x v="0"/>
  </r>
  <r>
    <n v="46"/>
    <d v="2011-01-02T00:00:00"/>
    <x v="0"/>
    <n v="0"/>
    <x v="0"/>
    <x v="22"/>
    <x v="0"/>
    <x v="1"/>
    <n v="1"/>
    <x v="0"/>
    <n v="0.21210000000000001"/>
    <n v="0.44"/>
    <n v="0.29849999999999999"/>
    <x v="3"/>
    <x v="33"/>
    <x v="23"/>
    <x v="0"/>
    <x v="0"/>
    <x v="1"/>
    <x v="0"/>
    <x v="0"/>
  </r>
  <r>
    <n v="47"/>
    <d v="2011-01-02T00:00:00"/>
    <x v="0"/>
    <n v="0"/>
    <x v="0"/>
    <x v="23"/>
    <x v="0"/>
    <x v="1"/>
    <n v="1"/>
    <x v="1"/>
    <n v="0.2273"/>
    <n v="0.47"/>
    <n v="0.16420000000000001"/>
    <x v="3"/>
    <x v="21"/>
    <x v="7"/>
    <x v="0"/>
    <x v="0"/>
    <x v="1"/>
    <x v="0"/>
    <x v="0"/>
  </r>
  <r>
    <n v="48"/>
    <d v="2011-01-03T00:00:00"/>
    <x v="0"/>
    <n v="0"/>
    <x v="0"/>
    <x v="0"/>
    <x v="0"/>
    <x v="2"/>
    <n v="1"/>
    <x v="1"/>
    <n v="0.19700000000000001"/>
    <n v="0.44"/>
    <n v="0.35820000000000002"/>
    <x v="3"/>
    <x v="34"/>
    <x v="36"/>
    <x v="0"/>
    <x v="0"/>
    <x v="2"/>
    <x v="0"/>
    <x v="0"/>
  </r>
  <r>
    <n v="49"/>
    <d v="2011-01-03T00:00:00"/>
    <x v="0"/>
    <n v="0"/>
    <x v="0"/>
    <x v="1"/>
    <x v="0"/>
    <x v="2"/>
    <n v="1"/>
    <x v="2"/>
    <m/>
    <n v="0.44"/>
    <n v="0.41789999999999999"/>
    <x v="3"/>
    <x v="6"/>
    <x v="5"/>
    <x v="0"/>
    <x v="0"/>
    <x v="2"/>
    <x v="0"/>
    <x v="0"/>
  </r>
  <r>
    <n v="50"/>
    <d v="2011-01-03T00:00:00"/>
    <x v="0"/>
    <n v="0"/>
    <x v="0"/>
    <x v="4"/>
    <x v="0"/>
    <x v="2"/>
    <n v="1"/>
    <x v="13"/>
    <n v="0.13639999999999999"/>
    <n v="0.47"/>
    <n v="0.3881"/>
    <x v="3"/>
    <x v="4"/>
    <x v="4"/>
    <x v="0"/>
    <x v="0"/>
    <x v="2"/>
    <x v="0"/>
    <x v="0"/>
  </r>
  <r>
    <n v="51"/>
    <d v="2011-01-03T00:00:00"/>
    <x v="0"/>
    <n v="0"/>
    <x v="0"/>
    <x v="5"/>
    <x v="0"/>
    <x v="2"/>
    <n v="1"/>
    <x v="13"/>
    <n v="0.13639999999999999"/>
    <n v="0.47"/>
    <n v="0.28360000000000002"/>
    <x v="3"/>
    <x v="35"/>
    <x v="6"/>
    <x v="0"/>
    <x v="0"/>
    <x v="2"/>
    <x v="0"/>
    <x v="0"/>
  </r>
  <r>
    <n v="52"/>
    <d v="2011-01-03T00:00:00"/>
    <x v="0"/>
    <n v="0"/>
    <x v="0"/>
    <x v="6"/>
    <x v="0"/>
    <x v="2"/>
    <n v="1"/>
    <x v="14"/>
    <n v="0.1061"/>
    <n v="0.5"/>
    <n v="0.3881"/>
    <x v="3"/>
    <x v="10"/>
    <x v="33"/>
    <x v="0"/>
    <x v="0"/>
    <x v="2"/>
    <x v="0"/>
    <x v="0"/>
  </r>
  <r>
    <n v="53"/>
    <d v="2011-01-03T00:00:00"/>
    <x v="0"/>
    <n v="0"/>
    <x v="0"/>
    <x v="7"/>
    <x v="0"/>
    <x v="2"/>
    <n v="1"/>
    <x v="14"/>
    <n v="0.13639999999999999"/>
    <n v="0.5"/>
    <n v="0.19400000000000001"/>
    <x v="5"/>
    <x v="36"/>
    <x v="37"/>
    <x v="0"/>
    <x v="0"/>
    <x v="2"/>
    <x v="0"/>
    <x v="0"/>
  </r>
  <r>
    <n v="54"/>
    <d v="2011-01-03T00:00:00"/>
    <x v="0"/>
    <n v="0"/>
    <x v="0"/>
    <x v="8"/>
    <x v="0"/>
    <x v="2"/>
    <n v="1"/>
    <x v="14"/>
    <n v="0.1212"/>
    <n v="0.5"/>
    <n v="0.28360000000000002"/>
    <x v="5"/>
    <x v="37"/>
    <x v="38"/>
    <x v="0"/>
    <x v="0"/>
    <x v="2"/>
    <x v="0"/>
    <x v="0"/>
  </r>
  <r>
    <n v="55"/>
    <d v="2011-01-03T00:00:00"/>
    <x v="0"/>
    <n v="0"/>
    <x v="0"/>
    <x v="9"/>
    <x v="0"/>
    <x v="2"/>
    <n v="1"/>
    <x v="13"/>
    <n v="0.13639999999999999"/>
    <n v="0.43"/>
    <n v="0.3881"/>
    <x v="18"/>
    <x v="38"/>
    <x v="39"/>
    <x v="0"/>
    <x v="0"/>
    <x v="2"/>
    <x v="0"/>
    <x v="0"/>
  </r>
  <r>
    <n v="56"/>
    <d v="2011-01-03T00:00:00"/>
    <x v="0"/>
    <n v="0"/>
    <x v="0"/>
    <x v="10"/>
    <x v="0"/>
    <x v="2"/>
    <n v="1"/>
    <x v="15"/>
    <n v="0.16669999999999999"/>
    <n v="0.43"/>
    <n v="0.25369999999999998"/>
    <x v="16"/>
    <x v="39"/>
    <x v="40"/>
    <x v="0"/>
    <x v="0"/>
    <x v="2"/>
    <x v="0"/>
    <x v="0"/>
  </r>
  <r>
    <n v="57"/>
    <d v="2011-01-03T00:00:00"/>
    <x v="0"/>
    <n v="0"/>
    <x v="0"/>
    <x v="11"/>
    <x v="0"/>
    <x v="2"/>
    <n v="1"/>
    <x v="2"/>
    <n v="0.18179999999999999"/>
    <n v="0.4"/>
    <n v="0.32840000000000003"/>
    <x v="22"/>
    <x v="40"/>
    <x v="41"/>
    <x v="0"/>
    <x v="0"/>
    <x v="2"/>
    <x v="0"/>
    <x v="0"/>
  </r>
  <r>
    <n v="58"/>
    <d v="2011-01-03T00:00:00"/>
    <x v="0"/>
    <n v="0"/>
    <x v="0"/>
    <x v="12"/>
    <x v="0"/>
    <x v="2"/>
    <n v="1"/>
    <x v="1"/>
    <n v="0.21210000000000001"/>
    <n v="0.35"/>
    <n v="0.29849999999999999"/>
    <x v="23"/>
    <x v="41"/>
    <x v="42"/>
    <x v="0"/>
    <x v="0"/>
    <x v="2"/>
    <x v="0"/>
    <x v="0"/>
  </r>
  <r>
    <n v="59"/>
    <d v="2011-01-03T00:00:00"/>
    <x v="0"/>
    <n v="0"/>
    <x v="0"/>
    <x v="13"/>
    <x v="0"/>
    <x v="2"/>
    <n v="1"/>
    <x v="0"/>
    <m/>
    <n v="0.35"/>
    <n v="0.28360000000000002"/>
    <x v="1"/>
    <x v="42"/>
    <x v="42"/>
    <x v="0"/>
    <x v="0"/>
    <x v="2"/>
    <x v="0"/>
    <x v="0"/>
  </r>
  <r>
    <n v="60"/>
    <d v="2011-01-03T00:00:00"/>
    <x v="0"/>
    <n v="0"/>
    <x v="0"/>
    <x v="14"/>
    <x v="0"/>
    <x v="2"/>
    <n v="1"/>
    <x v="12"/>
    <n v="0.2424"/>
    <n v="0.3"/>
    <n v="0.28360000000000002"/>
    <x v="16"/>
    <x v="43"/>
    <x v="43"/>
    <x v="0"/>
    <x v="0"/>
    <x v="2"/>
    <x v="0"/>
    <x v="0"/>
  </r>
  <r>
    <n v="61"/>
    <d v="2011-01-03T00:00:00"/>
    <x v="0"/>
    <n v="0"/>
    <x v="0"/>
    <x v="15"/>
    <x v="0"/>
    <x v="2"/>
    <n v="1"/>
    <x v="12"/>
    <n v="0.2424"/>
    <n v="0.3"/>
    <n v="0.25369999999999998"/>
    <x v="24"/>
    <x v="29"/>
    <x v="44"/>
    <x v="0"/>
    <x v="0"/>
    <x v="2"/>
    <x v="0"/>
    <x v="0"/>
  </r>
  <r>
    <n v="62"/>
    <d v="2011-01-03T00:00:00"/>
    <x v="0"/>
    <n v="0"/>
    <x v="0"/>
    <x v="16"/>
    <x v="0"/>
    <x v="2"/>
    <n v="1"/>
    <x v="12"/>
    <n v="0.2424"/>
    <n v="0.3"/>
    <n v="0.25369999999999998"/>
    <x v="14"/>
    <x v="28"/>
    <x v="31"/>
    <x v="0"/>
    <x v="0"/>
    <x v="2"/>
    <x v="0"/>
    <x v="0"/>
  </r>
  <r>
    <n v="63"/>
    <d v="2011-01-03T00:00:00"/>
    <x v="0"/>
    <n v="0"/>
    <x v="0"/>
    <x v="17"/>
    <x v="0"/>
    <x v="2"/>
    <n v="1"/>
    <x v="0"/>
    <n v="0.2273"/>
    <n v="0.3"/>
    <n v="0.22389999999999999"/>
    <x v="16"/>
    <x v="44"/>
    <x v="45"/>
    <x v="0"/>
    <x v="0"/>
    <x v="2"/>
    <x v="0"/>
    <x v="0"/>
  </r>
  <r>
    <n v="64"/>
    <d v="2011-01-03T00:00:00"/>
    <x v="0"/>
    <n v="0"/>
    <x v="0"/>
    <x v="18"/>
    <x v="0"/>
    <x v="2"/>
    <n v="1"/>
    <x v="0"/>
    <n v="0.2576"/>
    <n v="0.32"/>
    <n v="0.1045"/>
    <x v="14"/>
    <x v="45"/>
    <x v="45"/>
    <x v="0"/>
    <x v="0"/>
    <x v="2"/>
    <x v="0"/>
    <x v="0"/>
  </r>
  <r>
    <n v="65"/>
    <d v="2011-01-03T00:00:00"/>
    <x v="0"/>
    <n v="0"/>
    <x v="0"/>
    <x v="19"/>
    <x v="0"/>
    <x v="2"/>
    <n v="1"/>
    <x v="2"/>
    <n v="0.2576"/>
    <n v="0.47"/>
    <n v="0"/>
    <x v="1"/>
    <x v="46"/>
    <x v="14"/>
    <x v="0"/>
    <x v="0"/>
    <x v="2"/>
    <x v="0"/>
    <x v="0"/>
  </r>
  <r>
    <n v="66"/>
    <d v="2011-01-03T00:00:00"/>
    <x v="0"/>
    <n v="0"/>
    <x v="0"/>
    <x v="20"/>
    <x v="0"/>
    <x v="2"/>
    <n v="1"/>
    <x v="2"/>
    <m/>
    <n v="0.47"/>
    <n v="0.1045"/>
    <x v="0"/>
    <x v="47"/>
    <x v="46"/>
    <x v="0"/>
    <x v="0"/>
    <x v="2"/>
    <x v="0"/>
    <x v="0"/>
  </r>
  <r>
    <n v="67"/>
    <d v="2011-01-03T00:00:00"/>
    <x v="0"/>
    <n v="0"/>
    <x v="0"/>
    <x v="21"/>
    <x v="0"/>
    <x v="2"/>
    <n v="1"/>
    <x v="15"/>
    <n v="0.19700000000000001"/>
    <n v="0.64"/>
    <n v="0.1343"/>
    <x v="0"/>
    <x v="47"/>
    <x v="46"/>
    <x v="0"/>
    <x v="0"/>
    <x v="2"/>
    <x v="0"/>
    <x v="0"/>
  </r>
  <r>
    <n v="68"/>
    <d v="2011-01-03T00:00:00"/>
    <x v="0"/>
    <n v="0"/>
    <x v="0"/>
    <x v="22"/>
    <x v="0"/>
    <x v="2"/>
    <n v="1"/>
    <x v="14"/>
    <n v="0.1515"/>
    <n v="0.69"/>
    <n v="0.1343"/>
    <x v="3"/>
    <x v="32"/>
    <x v="25"/>
    <x v="0"/>
    <x v="0"/>
    <x v="2"/>
    <x v="0"/>
    <x v="0"/>
  </r>
  <r>
    <n v="69"/>
    <d v="2011-01-03T00:00:00"/>
    <x v="0"/>
    <n v="0"/>
    <x v="0"/>
    <x v="23"/>
    <x v="0"/>
    <x v="2"/>
    <n v="1"/>
    <x v="15"/>
    <n v="0.21210000000000001"/>
    <n v="0.55000000000000004"/>
    <n v="0.1045"/>
    <x v="5"/>
    <x v="48"/>
    <x v="47"/>
    <x v="0"/>
    <x v="0"/>
    <x v="2"/>
    <x v="0"/>
    <x v="0"/>
  </r>
  <r>
    <n v="70"/>
    <d v="2011-01-04T00:00:00"/>
    <x v="0"/>
    <n v="0"/>
    <x v="0"/>
    <x v="0"/>
    <x v="0"/>
    <x v="3"/>
    <n v="1"/>
    <x v="13"/>
    <m/>
    <n v="0.55000000000000004"/>
    <n v="0.1045"/>
    <x v="3"/>
    <x v="34"/>
    <x v="36"/>
    <x v="0"/>
    <x v="0"/>
    <x v="3"/>
    <x v="0"/>
    <x v="0"/>
  </r>
  <r>
    <n v="71"/>
    <d v="2011-01-04T00:00:00"/>
    <x v="0"/>
    <n v="0"/>
    <x v="0"/>
    <x v="1"/>
    <x v="0"/>
    <x v="3"/>
    <n v="1"/>
    <x v="13"/>
    <n v="0.18179999999999999"/>
    <n v="0.59"/>
    <n v="0.1045"/>
    <x v="3"/>
    <x v="6"/>
    <x v="5"/>
    <x v="0"/>
    <x v="0"/>
    <x v="3"/>
    <x v="0"/>
    <x v="0"/>
  </r>
  <r>
    <n v="72"/>
    <d v="2011-01-04T00:00:00"/>
    <x v="0"/>
    <n v="0"/>
    <x v="0"/>
    <x v="2"/>
    <x v="0"/>
    <x v="3"/>
    <n v="1"/>
    <x v="14"/>
    <n v="0.1515"/>
    <n v="0.63"/>
    <n v="0.1343"/>
    <x v="3"/>
    <x v="4"/>
    <x v="4"/>
    <x v="0"/>
    <x v="0"/>
    <x v="3"/>
    <x v="0"/>
    <x v="0"/>
  </r>
  <r>
    <n v="73"/>
    <d v="2011-01-04T00:00:00"/>
    <x v="0"/>
    <n v="0"/>
    <x v="0"/>
    <x v="4"/>
    <x v="0"/>
    <x v="3"/>
    <n v="1"/>
    <x v="14"/>
    <n v="0.18179999999999999"/>
    <n v="0.63"/>
    <n v="8.9599999999999999E-2"/>
    <x v="3"/>
    <x v="6"/>
    <x v="5"/>
    <x v="0"/>
    <x v="0"/>
    <x v="3"/>
    <x v="0"/>
    <x v="0"/>
  </r>
  <r>
    <n v="74"/>
    <d v="2011-01-04T00:00:00"/>
    <x v="0"/>
    <n v="0"/>
    <x v="0"/>
    <x v="5"/>
    <x v="0"/>
    <x v="3"/>
    <n v="1"/>
    <x v="16"/>
    <n v="0.1515"/>
    <n v="0.68"/>
    <n v="0.1045"/>
    <x v="3"/>
    <x v="22"/>
    <x v="48"/>
    <x v="0"/>
    <x v="0"/>
    <x v="3"/>
    <x v="0"/>
    <x v="0"/>
  </r>
  <r>
    <n v="75"/>
    <d v="2011-01-04T00:00:00"/>
    <x v="0"/>
    <n v="0"/>
    <x v="0"/>
    <x v="6"/>
    <x v="0"/>
    <x v="3"/>
    <n v="1"/>
    <x v="16"/>
    <n v="0.1515"/>
    <n v="0.74"/>
    <n v="0.1045"/>
    <x v="3"/>
    <x v="49"/>
    <x v="9"/>
    <x v="0"/>
    <x v="0"/>
    <x v="3"/>
    <x v="0"/>
    <x v="0"/>
  </r>
  <r>
    <n v="76"/>
    <d v="2011-01-04T00:00:00"/>
    <x v="0"/>
    <n v="0"/>
    <x v="0"/>
    <x v="7"/>
    <x v="0"/>
    <x v="3"/>
    <n v="1"/>
    <x v="16"/>
    <n v="0.1515"/>
    <n v="0.74"/>
    <n v="0.1343"/>
    <x v="4"/>
    <x v="50"/>
    <x v="12"/>
    <x v="0"/>
    <x v="0"/>
    <x v="3"/>
    <x v="0"/>
    <x v="0"/>
  </r>
  <r>
    <n v="77"/>
    <d v="2011-01-04T00:00:00"/>
    <x v="0"/>
    <n v="0"/>
    <x v="0"/>
    <x v="8"/>
    <x v="0"/>
    <x v="3"/>
    <n v="1"/>
    <x v="14"/>
    <n v="0.1515"/>
    <n v="0.69"/>
    <n v="0.16420000000000001"/>
    <x v="4"/>
    <x v="51"/>
    <x v="49"/>
    <x v="0"/>
    <x v="0"/>
    <x v="3"/>
    <x v="0"/>
    <x v="0"/>
  </r>
  <r>
    <n v="78"/>
    <d v="2011-01-04T00:00:00"/>
    <x v="0"/>
    <n v="0"/>
    <x v="0"/>
    <x v="9"/>
    <x v="0"/>
    <x v="3"/>
    <n v="1"/>
    <x v="13"/>
    <n v="0.1515"/>
    <n v="0.64"/>
    <n v="0.22389999999999999"/>
    <x v="4"/>
    <x v="52"/>
    <x v="50"/>
    <x v="0"/>
    <x v="0"/>
    <x v="3"/>
    <x v="0"/>
    <x v="0"/>
  </r>
  <r>
    <n v="79"/>
    <d v="2011-01-04T00:00:00"/>
    <x v="0"/>
    <n v="0"/>
    <x v="0"/>
    <x v="10"/>
    <x v="0"/>
    <x v="3"/>
    <n v="2"/>
    <x v="13"/>
    <n v="0.13639999999999999"/>
    <n v="0.69"/>
    <n v="0.32840000000000003"/>
    <x v="2"/>
    <x v="53"/>
    <x v="51"/>
    <x v="1"/>
    <x v="0"/>
    <x v="3"/>
    <x v="0"/>
    <x v="1"/>
  </r>
  <r>
    <n v="80"/>
    <d v="2011-01-04T00:00:00"/>
    <x v="0"/>
    <n v="0"/>
    <x v="0"/>
    <x v="11"/>
    <x v="0"/>
    <x v="3"/>
    <n v="1"/>
    <x v="1"/>
    <n v="0.21210000000000001"/>
    <n v="0.51"/>
    <n v="0.29849999999999999"/>
    <x v="18"/>
    <x v="54"/>
    <x v="52"/>
    <x v="0"/>
    <x v="0"/>
    <x v="3"/>
    <x v="0"/>
    <x v="0"/>
  </r>
  <r>
    <n v="81"/>
    <d v="2011-01-04T00:00:00"/>
    <x v="0"/>
    <n v="0"/>
    <x v="0"/>
    <x v="12"/>
    <x v="0"/>
    <x v="3"/>
    <n v="1"/>
    <x v="1"/>
    <n v="0.2273"/>
    <n v="0.51"/>
    <n v="0.16420000000000001"/>
    <x v="6"/>
    <x v="43"/>
    <x v="53"/>
    <x v="0"/>
    <x v="0"/>
    <x v="3"/>
    <x v="0"/>
    <x v="0"/>
  </r>
  <r>
    <n v="82"/>
    <d v="2011-01-04T00:00:00"/>
    <x v="0"/>
    <n v="0"/>
    <x v="0"/>
    <x v="13"/>
    <x v="0"/>
    <x v="3"/>
    <n v="1"/>
    <x v="0"/>
    <n v="0.2273"/>
    <n v="0.56000000000000005"/>
    <n v="0.19400000000000001"/>
    <x v="25"/>
    <x v="55"/>
    <x v="54"/>
    <x v="0"/>
    <x v="0"/>
    <x v="3"/>
    <x v="0"/>
    <x v="0"/>
  </r>
  <r>
    <n v="83"/>
    <d v="2011-01-04T00:00:00"/>
    <x v="0"/>
    <n v="0"/>
    <x v="0"/>
    <x v="14"/>
    <x v="0"/>
    <x v="3"/>
    <n v="1"/>
    <x v="12"/>
    <n v="0.2576"/>
    <n v="0.52"/>
    <n v="0.22389999999999999"/>
    <x v="14"/>
    <x v="25"/>
    <x v="55"/>
    <x v="0"/>
    <x v="0"/>
    <x v="3"/>
    <x v="0"/>
    <x v="0"/>
  </r>
  <r>
    <n v="84"/>
    <d v="2011-01-04T00:00:00"/>
    <x v="0"/>
    <n v="0"/>
    <x v="0"/>
    <x v="15"/>
    <x v="0"/>
    <x v="3"/>
    <n v="1"/>
    <x v="17"/>
    <n v="0.2727"/>
    <n v="0.52"/>
    <n v="0.25369999999999998"/>
    <x v="26"/>
    <x v="41"/>
    <x v="32"/>
    <x v="0"/>
    <x v="0"/>
    <x v="3"/>
    <x v="0"/>
    <x v="0"/>
  </r>
  <r>
    <n v="85"/>
    <d v="2011-01-04T00:00:00"/>
    <x v="0"/>
    <n v="0"/>
    <x v="0"/>
    <x v="16"/>
    <x v="0"/>
    <x v="3"/>
    <n v="1"/>
    <x v="11"/>
    <n v="0.28789999999999999"/>
    <n v="0.49"/>
    <n v="0.25369999999999998"/>
    <x v="13"/>
    <x v="56"/>
    <x v="56"/>
    <x v="0"/>
    <x v="0"/>
    <x v="3"/>
    <x v="0"/>
    <x v="0"/>
  </r>
  <r>
    <n v="86"/>
    <d v="2011-01-04T00:00:00"/>
    <x v="0"/>
    <n v="0"/>
    <x v="0"/>
    <x v="17"/>
    <x v="0"/>
    <x v="3"/>
    <n v="1"/>
    <x v="17"/>
    <n v="0.2727"/>
    <n v="0.48"/>
    <n v="0.22389999999999999"/>
    <x v="22"/>
    <x v="57"/>
    <x v="57"/>
    <x v="0"/>
    <x v="0"/>
    <x v="3"/>
    <x v="0"/>
    <x v="0"/>
  </r>
  <r>
    <n v="87"/>
    <d v="2011-01-04T00:00:00"/>
    <x v="0"/>
    <n v="0"/>
    <x v="0"/>
    <x v="18"/>
    <x v="0"/>
    <x v="3"/>
    <n v="1"/>
    <x v="12"/>
    <n v="0.2576"/>
    <n v="0.48"/>
    <n v="0.19400000000000001"/>
    <x v="0"/>
    <x v="58"/>
    <x v="58"/>
    <x v="0"/>
    <x v="0"/>
    <x v="3"/>
    <x v="0"/>
    <x v="0"/>
  </r>
  <r>
    <n v="88"/>
    <d v="2011-01-04T00:00:00"/>
    <x v="0"/>
    <n v="0"/>
    <x v="0"/>
    <x v="19"/>
    <x v="0"/>
    <x v="3"/>
    <n v="1"/>
    <x v="0"/>
    <n v="0.2576"/>
    <n v="0.48"/>
    <n v="0.1045"/>
    <x v="4"/>
    <x v="59"/>
    <x v="59"/>
    <x v="0"/>
    <x v="0"/>
    <x v="3"/>
    <x v="0"/>
    <x v="0"/>
  </r>
  <r>
    <n v="89"/>
    <d v="2011-01-04T00:00:00"/>
    <x v="0"/>
    <n v="0"/>
    <x v="0"/>
    <x v="20"/>
    <x v="0"/>
    <x v="3"/>
    <n v="1"/>
    <x v="0"/>
    <n v="0.2576"/>
    <n v="0.48"/>
    <n v="0.1045"/>
    <x v="5"/>
    <x v="42"/>
    <x v="60"/>
    <x v="0"/>
    <x v="0"/>
    <x v="3"/>
    <x v="0"/>
    <x v="0"/>
  </r>
  <r>
    <n v="90"/>
    <d v="2011-01-04T00:00:00"/>
    <x v="0"/>
    <n v="0"/>
    <x v="0"/>
    <x v="21"/>
    <x v="0"/>
    <x v="3"/>
    <n v="1"/>
    <x v="1"/>
    <n v="0.2727"/>
    <n v="0.64"/>
    <n v="0"/>
    <x v="3"/>
    <x v="41"/>
    <x v="61"/>
    <x v="0"/>
    <x v="0"/>
    <x v="3"/>
    <x v="0"/>
    <x v="0"/>
  </r>
  <r>
    <n v="91"/>
    <d v="2011-01-04T00:00:00"/>
    <x v="0"/>
    <n v="0"/>
    <x v="0"/>
    <x v="22"/>
    <x v="0"/>
    <x v="3"/>
    <n v="1"/>
    <x v="1"/>
    <n v="0.2576"/>
    <n v="0.64"/>
    <n v="8.9599999999999999E-2"/>
    <x v="5"/>
    <x v="60"/>
    <x v="17"/>
    <x v="0"/>
    <x v="0"/>
    <x v="3"/>
    <x v="0"/>
    <x v="0"/>
  </r>
  <r>
    <n v="92"/>
    <d v="2011-01-04T00:00:00"/>
    <x v="0"/>
    <n v="0"/>
    <x v="0"/>
    <x v="23"/>
    <x v="0"/>
    <x v="3"/>
    <n v="1"/>
    <x v="2"/>
    <n v="0.2273"/>
    <n v="0.69"/>
    <n v="8.9599999999999999E-2"/>
    <x v="4"/>
    <x v="33"/>
    <x v="62"/>
    <x v="0"/>
    <x v="0"/>
    <x v="3"/>
    <x v="0"/>
    <x v="0"/>
  </r>
  <r>
    <n v="93"/>
    <d v="2011-01-05T00:00:00"/>
    <x v="0"/>
    <n v="0"/>
    <x v="0"/>
    <x v="0"/>
    <x v="0"/>
    <x v="4"/>
    <n v="1"/>
    <x v="2"/>
    <n v="0.2576"/>
    <n v="0.64"/>
    <n v="0"/>
    <x v="3"/>
    <x v="8"/>
    <x v="24"/>
    <x v="0"/>
    <x v="0"/>
    <x v="4"/>
    <x v="0"/>
    <x v="0"/>
  </r>
  <r>
    <n v="94"/>
    <d v="2011-01-05T00:00:00"/>
    <x v="0"/>
    <n v="0"/>
    <x v="0"/>
    <x v="1"/>
    <x v="0"/>
    <x v="4"/>
    <n v="1"/>
    <x v="13"/>
    <n v="0.19700000000000001"/>
    <n v="0.74"/>
    <n v="8.9599999999999999E-2"/>
    <x v="3"/>
    <x v="8"/>
    <x v="24"/>
    <x v="0"/>
    <x v="0"/>
    <x v="4"/>
    <x v="0"/>
    <x v="0"/>
  </r>
  <r>
    <n v="95"/>
    <d v="2011-01-05T00:00:00"/>
    <x v="0"/>
    <n v="0"/>
    <x v="0"/>
    <x v="2"/>
    <x v="0"/>
    <x v="4"/>
    <n v="1"/>
    <x v="13"/>
    <n v="0.19700000000000001"/>
    <n v="0.74"/>
    <n v="8.9599999999999999E-2"/>
    <x v="3"/>
    <x v="6"/>
    <x v="5"/>
    <x v="0"/>
    <x v="0"/>
    <x v="4"/>
    <x v="0"/>
    <x v="0"/>
  </r>
  <r>
    <n v="96"/>
    <d v="2011-01-05T00:00:00"/>
    <x v="0"/>
    <n v="0"/>
    <x v="0"/>
    <x v="4"/>
    <x v="0"/>
    <x v="4"/>
    <n v="1"/>
    <x v="0"/>
    <n v="0.2273"/>
    <n v="0.48"/>
    <n v="0.22389999999999999"/>
    <x v="3"/>
    <x v="6"/>
    <x v="5"/>
    <x v="0"/>
    <x v="0"/>
    <x v="4"/>
    <x v="0"/>
    <x v="0"/>
  </r>
  <r>
    <n v="97"/>
    <d v="2011-01-05T00:00:00"/>
    <x v="0"/>
    <n v="0"/>
    <x v="0"/>
    <x v="5"/>
    <x v="0"/>
    <x v="4"/>
    <n v="1"/>
    <x v="1"/>
    <n v="0.2273"/>
    <n v="0.47"/>
    <n v="0.16420000000000001"/>
    <x v="3"/>
    <x v="35"/>
    <x v="6"/>
    <x v="0"/>
    <x v="0"/>
    <x v="4"/>
    <x v="0"/>
    <x v="0"/>
  </r>
  <r>
    <n v="98"/>
    <d v="2011-01-05T00:00:00"/>
    <x v="0"/>
    <n v="0"/>
    <x v="0"/>
    <x v="6"/>
    <x v="0"/>
    <x v="4"/>
    <n v="1"/>
    <x v="2"/>
    <n v="0.19700000000000001"/>
    <n v="0.47"/>
    <n v="0.22389999999999999"/>
    <x v="3"/>
    <x v="39"/>
    <x v="63"/>
    <x v="0"/>
    <x v="0"/>
    <x v="4"/>
    <x v="0"/>
    <x v="0"/>
  </r>
  <r>
    <n v="99"/>
    <d v="2011-01-05T00:00:00"/>
    <x v="0"/>
    <n v="0"/>
    <x v="0"/>
    <x v="7"/>
    <x v="0"/>
    <x v="4"/>
    <n v="1"/>
    <x v="15"/>
    <n v="0.18179999999999999"/>
    <n v="0.43"/>
    <n v="0.19400000000000001"/>
    <x v="5"/>
    <x v="61"/>
    <x v="39"/>
    <x v="0"/>
    <x v="0"/>
    <x v="4"/>
    <x v="0"/>
    <x v="0"/>
  </r>
  <r>
    <n v="100"/>
    <d v="2011-01-05T00:00:00"/>
    <x v="0"/>
    <n v="0"/>
    <x v="0"/>
    <x v="8"/>
    <x v="0"/>
    <x v="4"/>
    <n v="1"/>
    <x v="2"/>
    <n v="0.18179999999999999"/>
    <n v="0.4"/>
    <n v="0.29849999999999999"/>
    <x v="0"/>
    <x v="62"/>
    <x v="64"/>
    <x v="0"/>
    <x v="0"/>
    <x v="4"/>
    <x v="0"/>
    <x v="0"/>
  </r>
  <r>
    <n v="101"/>
    <d v="2011-01-05T00:00:00"/>
    <x v="0"/>
    <n v="0"/>
    <x v="0"/>
    <x v="9"/>
    <x v="0"/>
    <x v="4"/>
    <n v="1"/>
    <x v="1"/>
    <n v="0.19700000000000001"/>
    <n v="0.37"/>
    <n v="0.32840000000000003"/>
    <x v="15"/>
    <x v="63"/>
    <x v="65"/>
    <x v="0"/>
    <x v="0"/>
    <x v="4"/>
    <x v="0"/>
    <x v="0"/>
  </r>
  <r>
    <n v="102"/>
    <d v="2011-01-05T00:00:00"/>
    <x v="0"/>
    <n v="0"/>
    <x v="0"/>
    <x v="10"/>
    <x v="0"/>
    <x v="4"/>
    <n v="1"/>
    <x v="1"/>
    <n v="0.19700000000000001"/>
    <n v="0.37"/>
    <n v="0.32840000000000003"/>
    <x v="17"/>
    <x v="42"/>
    <x v="52"/>
    <x v="0"/>
    <x v="0"/>
    <x v="4"/>
    <x v="0"/>
    <x v="0"/>
  </r>
  <r>
    <n v="103"/>
    <d v="2011-01-05T00:00:00"/>
    <x v="0"/>
    <n v="0"/>
    <x v="0"/>
    <x v="11"/>
    <x v="0"/>
    <x v="4"/>
    <n v="1"/>
    <x v="12"/>
    <n v="0.2273"/>
    <n v="0.33"/>
    <n v="0.32840000000000003"/>
    <x v="6"/>
    <x v="60"/>
    <x v="66"/>
    <x v="0"/>
    <x v="0"/>
    <x v="4"/>
    <x v="0"/>
    <x v="0"/>
  </r>
  <r>
    <n v="104"/>
    <d v="2011-01-05T00:00:00"/>
    <x v="0"/>
    <n v="0"/>
    <x v="0"/>
    <x v="12"/>
    <x v="0"/>
    <x v="4"/>
    <n v="1"/>
    <x v="12"/>
    <n v="0.2273"/>
    <n v="0.33"/>
    <n v="0.32840000000000003"/>
    <x v="2"/>
    <x v="64"/>
    <x v="67"/>
    <x v="0"/>
    <x v="0"/>
    <x v="4"/>
    <x v="0"/>
    <x v="0"/>
  </r>
  <r>
    <n v="105"/>
    <d v="2011-01-05T00:00:00"/>
    <x v="0"/>
    <n v="0"/>
    <x v="0"/>
    <x v="13"/>
    <x v="0"/>
    <x v="4"/>
    <n v="1"/>
    <x v="17"/>
    <n v="0.2576"/>
    <n v="0.3"/>
    <n v="0.29849999999999999"/>
    <x v="15"/>
    <x v="65"/>
    <x v="68"/>
    <x v="0"/>
    <x v="0"/>
    <x v="4"/>
    <x v="0"/>
    <x v="0"/>
  </r>
  <r>
    <n v="106"/>
    <d v="2011-01-05T00:00:00"/>
    <x v="0"/>
    <n v="0"/>
    <x v="0"/>
    <x v="14"/>
    <x v="0"/>
    <x v="4"/>
    <n v="1"/>
    <x v="11"/>
    <n v="0.28789999999999999"/>
    <n v="0.28000000000000003"/>
    <n v="0.19400000000000001"/>
    <x v="22"/>
    <x v="15"/>
    <x v="69"/>
    <x v="0"/>
    <x v="0"/>
    <x v="4"/>
    <x v="0"/>
    <x v="0"/>
  </r>
  <r>
    <n v="107"/>
    <d v="2011-01-05T00:00:00"/>
    <x v="0"/>
    <n v="0"/>
    <x v="0"/>
    <x v="15"/>
    <x v="0"/>
    <x v="4"/>
    <n v="1"/>
    <x v="11"/>
    <n v="0.28789999999999999"/>
    <n v="0.28000000000000003"/>
    <n v="0.19400000000000001"/>
    <x v="18"/>
    <x v="11"/>
    <x v="69"/>
    <x v="0"/>
    <x v="0"/>
    <x v="4"/>
    <x v="0"/>
    <x v="0"/>
  </r>
  <r>
    <n v="108"/>
    <d v="2011-01-05T00:00:00"/>
    <x v="0"/>
    <n v="0"/>
    <x v="0"/>
    <x v="16"/>
    <x v="0"/>
    <x v="4"/>
    <n v="1"/>
    <x v="11"/>
    <n v="0.31819999999999998"/>
    <n v="0.28000000000000003"/>
    <n v="8.9599999999999999E-2"/>
    <x v="17"/>
    <x v="66"/>
    <x v="70"/>
    <x v="0"/>
    <x v="0"/>
    <x v="4"/>
    <x v="0"/>
    <x v="0"/>
  </r>
  <r>
    <n v="109"/>
    <d v="2011-01-05T00:00:00"/>
    <x v="0"/>
    <n v="0"/>
    <x v="0"/>
    <x v="17"/>
    <x v="0"/>
    <x v="4"/>
    <n v="1"/>
    <x v="0"/>
    <n v="0.2273"/>
    <n v="0.38"/>
    <n v="0.19400000000000001"/>
    <x v="17"/>
    <x v="67"/>
    <x v="71"/>
    <x v="0"/>
    <x v="0"/>
    <x v="4"/>
    <x v="0"/>
    <x v="0"/>
  </r>
  <r>
    <n v="110"/>
    <d v="2011-01-05T00:00:00"/>
    <x v="0"/>
    <n v="0"/>
    <x v="0"/>
    <x v="18"/>
    <x v="0"/>
    <x v="4"/>
    <n v="1"/>
    <x v="0"/>
    <n v="0.2424"/>
    <n v="0.38"/>
    <n v="0.1343"/>
    <x v="0"/>
    <x v="68"/>
    <x v="72"/>
    <x v="0"/>
    <x v="0"/>
    <x v="4"/>
    <x v="0"/>
    <x v="0"/>
  </r>
  <r>
    <n v="111"/>
    <d v="2011-01-05T00:00:00"/>
    <x v="0"/>
    <n v="0"/>
    <x v="0"/>
    <x v="19"/>
    <x v="0"/>
    <x v="4"/>
    <n v="1"/>
    <x v="0"/>
    <n v="0.2576"/>
    <n v="0.38"/>
    <n v="0.1045"/>
    <x v="2"/>
    <x v="69"/>
    <x v="73"/>
    <x v="0"/>
    <x v="0"/>
    <x v="4"/>
    <x v="0"/>
    <x v="0"/>
  </r>
  <r>
    <n v="112"/>
    <d v="2011-01-05T00:00:00"/>
    <x v="0"/>
    <n v="0"/>
    <x v="0"/>
    <x v="20"/>
    <x v="0"/>
    <x v="4"/>
    <n v="1"/>
    <x v="1"/>
    <n v="0.2273"/>
    <n v="0.47"/>
    <n v="0.16420000000000001"/>
    <x v="18"/>
    <x v="70"/>
    <x v="70"/>
    <x v="0"/>
    <x v="0"/>
    <x v="4"/>
    <x v="0"/>
    <x v="0"/>
  </r>
  <r>
    <n v="113"/>
    <d v="2011-01-05T00:00:00"/>
    <x v="0"/>
    <n v="0"/>
    <x v="0"/>
    <x v="21"/>
    <x v="0"/>
    <x v="4"/>
    <n v="1"/>
    <x v="2"/>
    <n v="0.19700000000000001"/>
    <n v="0.51"/>
    <n v="0.19400000000000001"/>
    <x v="0"/>
    <x v="71"/>
    <x v="74"/>
    <x v="0"/>
    <x v="0"/>
    <x v="4"/>
    <x v="0"/>
    <x v="0"/>
  </r>
  <r>
    <n v="114"/>
    <d v="2011-01-05T00:00:00"/>
    <x v="0"/>
    <n v="0"/>
    <x v="0"/>
    <x v="22"/>
    <x v="0"/>
    <x v="4"/>
    <n v="1"/>
    <x v="15"/>
    <n v="0.19700000000000001"/>
    <n v="0.55000000000000004"/>
    <n v="0.1343"/>
    <x v="5"/>
    <x v="40"/>
    <x v="51"/>
    <x v="0"/>
    <x v="0"/>
    <x v="4"/>
    <x v="0"/>
    <x v="0"/>
  </r>
  <r>
    <n v="115"/>
    <d v="2011-01-05T00:00:00"/>
    <x v="0"/>
    <n v="0"/>
    <x v="0"/>
    <x v="23"/>
    <x v="0"/>
    <x v="4"/>
    <n v="1"/>
    <x v="2"/>
    <n v="0.2576"/>
    <n v="0.47"/>
    <n v="0"/>
    <x v="5"/>
    <x v="72"/>
    <x v="75"/>
    <x v="0"/>
    <x v="0"/>
    <x v="4"/>
    <x v="0"/>
    <x v="0"/>
  </r>
  <r>
    <n v="116"/>
    <d v="2011-01-06T00:00:00"/>
    <x v="0"/>
    <n v="0"/>
    <x v="0"/>
    <x v="0"/>
    <x v="0"/>
    <x v="5"/>
    <n v="1"/>
    <x v="15"/>
    <n v="0.2424"/>
    <n v="0.55000000000000004"/>
    <n v="0"/>
    <x v="3"/>
    <x v="48"/>
    <x v="62"/>
    <x v="0"/>
    <x v="0"/>
    <x v="5"/>
    <x v="0"/>
    <x v="0"/>
  </r>
  <r>
    <n v="117"/>
    <d v="2011-01-06T00:00:00"/>
    <x v="0"/>
    <n v="0"/>
    <x v="0"/>
    <x v="1"/>
    <x v="0"/>
    <x v="5"/>
    <n v="1"/>
    <x v="13"/>
    <n v="0.2273"/>
    <n v="0.64"/>
    <n v="0"/>
    <x v="3"/>
    <x v="22"/>
    <x v="48"/>
    <x v="0"/>
    <x v="0"/>
    <x v="5"/>
    <x v="0"/>
    <x v="0"/>
  </r>
  <r>
    <n v="118"/>
    <d v="2011-01-06T00:00:00"/>
    <x v="0"/>
    <n v="0"/>
    <x v="0"/>
    <x v="2"/>
    <x v="0"/>
    <x v="5"/>
    <n v="1"/>
    <x v="13"/>
    <n v="0.2273"/>
    <n v="0.64"/>
    <n v="0"/>
    <x v="3"/>
    <x v="6"/>
    <x v="5"/>
    <x v="0"/>
    <x v="0"/>
    <x v="5"/>
    <x v="0"/>
    <x v="0"/>
  </r>
  <r>
    <n v="119"/>
    <d v="2011-01-06T00:00:00"/>
    <x v="0"/>
    <n v="0"/>
    <x v="0"/>
    <x v="4"/>
    <x v="0"/>
    <x v="5"/>
    <n v="2"/>
    <x v="13"/>
    <n v="0.19700000000000001"/>
    <n v="0.64"/>
    <n v="8.9599999999999999E-2"/>
    <x v="3"/>
    <x v="4"/>
    <x v="4"/>
    <x v="1"/>
    <x v="0"/>
    <x v="5"/>
    <x v="0"/>
    <x v="1"/>
  </r>
  <r>
    <n v="120"/>
    <d v="2011-01-06T00:00:00"/>
    <x v="0"/>
    <n v="0"/>
    <x v="0"/>
    <x v="5"/>
    <x v="0"/>
    <x v="5"/>
    <n v="2"/>
    <x v="14"/>
    <n v="0.18179999999999999"/>
    <n v="0.69"/>
    <n v="8.9599999999999999E-2"/>
    <x v="3"/>
    <x v="22"/>
    <x v="48"/>
    <x v="1"/>
    <x v="0"/>
    <x v="5"/>
    <x v="0"/>
    <x v="1"/>
  </r>
  <r>
    <n v="121"/>
    <d v="2011-01-06T00:00:00"/>
    <x v="0"/>
    <n v="0"/>
    <x v="0"/>
    <x v="6"/>
    <x v="0"/>
    <x v="5"/>
    <n v="2"/>
    <x v="14"/>
    <n v="0.16669999999999999"/>
    <n v="0.63"/>
    <n v="0.1045"/>
    <x v="3"/>
    <x v="49"/>
    <x v="9"/>
    <x v="1"/>
    <x v="0"/>
    <x v="5"/>
    <x v="0"/>
    <x v="1"/>
  </r>
  <r>
    <n v="122"/>
    <d v="2011-01-06T00:00:00"/>
    <x v="0"/>
    <n v="0"/>
    <x v="0"/>
    <x v="7"/>
    <x v="0"/>
    <x v="5"/>
    <n v="2"/>
    <x v="13"/>
    <n v="0.2273"/>
    <n v="0.59"/>
    <n v="0"/>
    <x v="3"/>
    <x v="73"/>
    <x v="76"/>
    <x v="1"/>
    <x v="0"/>
    <x v="5"/>
    <x v="0"/>
    <x v="1"/>
  </r>
  <r>
    <n v="123"/>
    <d v="2011-01-06T00:00:00"/>
    <x v="0"/>
    <n v="0"/>
    <x v="0"/>
    <x v="8"/>
    <x v="0"/>
    <x v="5"/>
    <n v="1"/>
    <x v="13"/>
    <n v="0.2273"/>
    <n v="0.59"/>
    <n v="0"/>
    <x v="0"/>
    <x v="74"/>
    <x v="77"/>
    <x v="0"/>
    <x v="0"/>
    <x v="5"/>
    <x v="0"/>
    <x v="0"/>
  </r>
  <r>
    <n v="124"/>
    <d v="2011-01-06T00:00:00"/>
    <x v="0"/>
    <n v="0"/>
    <x v="0"/>
    <x v="9"/>
    <x v="0"/>
    <x v="5"/>
    <n v="2"/>
    <x v="15"/>
    <n v="0.2424"/>
    <n v="0.51"/>
    <n v="0"/>
    <x v="15"/>
    <x v="75"/>
    <x v="78"/>
    <x v="1"/>
    <x v="0"/>
    <x v="5"/>
    <x v="0"/>
    <x v="1"/>
  </r>
  <r>
    <n v="125"/>
    <d v="2011-01-06T00:00:00"/>
    <x v="0"/>
    <n v="0"/>
    <x v="0"/>
    <x v="10"/>
    <x v="0"/>
    <x v="5"/>
    <n v="1"/>
    <x v="2"/>
    <n v="0.2576"/>
    <n v="0.47"/>
    <n v="0"/>
    <x v="0"/>
    <x v="76"/>
    <x v="79"/>
    <x v="0"/>
    <x v="0"/>
    <x v="5"/>
    <x v="0"/>
    <x v="0"/>
  </r>
  <r>
    <n v="126"/>
    <d v="2011-01-06T00:00:00"/>
    <x v="0"/>
    <n v="0"/>
    <x v="0"/>
    <x v="11"/>
    <x v="0"/>
    <x v="5"/>
    <n v="1"/>
    <x v="1"/>
    <n v="0.2576"/>
    <n v="0.44"/>
    <n v="8.9599999999999999E-2"/>
    <x v="4"/>
    <x v="77"/>
    <x v="29"/>
    <x v="0"/>
    <x v="0"/>
    <x v="5"/>
    <x v="0"/>
    <x v="0"/>
  </r>
  <r>
    <n v="127"/>
    <d v="2011-01-06T00:00:00"/>
    <x v="0"/>
    <n v="0"/>
    <x v="0"/>
    <x v="12"/>
    <x v="0"/>
    <x v="5"/>
    <n v="1"/>
    <x v="12"/>
    <n v="0.28789999999999999"/>
    <n v="0.35"/>
    <n v="0"/>
    <x v="15"/>
    <x v="78"/>
    <x v="11"/>
    <x v="0"/>
    <x v="0"/>
    <x v="5"/>
    <x v="0"/>
    <x v="0"/>
  </r>
  <r>
    <n v="128"/>
    <d v="2011-01-06T00:00:00"/>
    <x v="0"/>
    <n v="0"/>
    <x v="0"/>
    <x v="13"/>
    <x v="0"/>
    <x v="5"/>
    <n v="1"/>
    <x v="12"/>
    <n v="0.2727"/>
    <n v="0.35"/>
    <n v="0.1045"/>
    <x v="6"/>
    <x v="11"/>
    <x v="16"/>
    <x v="0"/>
    <x v="0"/>
    <x v="5"/>
    <x v="0"/>
    <x v="0"/>
  </r>
  <r>
    <n v="129"/>
    <d v="2011-01-06T00:00:00"/>
    <x v="0"/>
    <n v="0"/>
    <x v="0"/>
    <x v="14"/>
    <x v="0"/>
    <x v="5"/>
    <n v="1"/>
    <x v="17"/>
    <n v="0.2727"/>
    <n v="0.36"/>
    <n v="0.16420000000000001"/>
    <x v="16"/>
    <x v="79"/>
    <x v="27"/>
    <x v="0"/>
    <x v="0"/>
    <x v="5"/>
    <x v="0"/>
    <x v="0"/>
  </r>
  <r>
    <n v="130"/>
    <d v="2011-01-06T00:00:00"/>
    <x v="0"/>
    <n v="0"/>
    <x v="0"/>
    <x v="15"/>
    <x v="0"/>
    <x v="5"/>
    <n v="1"/>
    <x v="17"/>
    <n v="0.2727"/>
    <n v="0.36"/>
    <n v="0"/>
    <x v="1"/>
    <x v="25"/>
    <x v="69"/>
    <x v="0"/>
    <x v="0"/>
    <x v="5"/>
    <x v="0"/>
    <x v="0"/>
  </r>
  <r>
    <n v="131"/>
    <d v="2011-01-06T00:00:00"/>
    <x v="0"/>
    <n v="0"/>
    <x v="0"/>
    <x v="16"/>
    <x v="0"/>
    <x v="5"/>
    <n v="1"/>
    <x v="12"/>
    <n v="0.2576"/>
    <n v="0.38"/>
    <n v="0.16420000000000001"/>
    <x v="6"/>
    <x v="64"/>
    <x v="80"/>
    <x v="0"/>
    <x v="0"/>
    <x v="5"/>
    <x v="0"/>
    <x v="0"/>
  </r>
  <r>
    <n v="132"/>
    <d v="2011-01-06T00:00:00"/>
    <x v="0"/>
    <n v="0"/>
    <x v="0"/>
    <x v="17"/>
    <x v="0"/>
    <x v="5"/>
    <n v="1"/>
    <x v="1"/>
    <n v="0.2273"/>
    <n v="0.51"/>
    <n v="0.16420000000000001"/>
    <x v="14"/>
    <x v="80"/>
    <x v="81"/>
    <x v="0"/>
    <x v="0"/>
    <x v="5"/>
    <x v="0"/>
    <x v="0"/>
  </r>
  <r>
    <n v="133"/>
    <d v="2011-01-06T00:00:00"/>
    <x v="0"/>
    <n v="0"/>
    <x v="0"/>
    <x v="18"/>
    <x v="0"/>
    <x v="5"/>
    <n v="1"/>
    <x v="1"/>
    <n v="0.2273"/>
    <n v="0.51"/>
    <n v="0.1343"/>
    <x v="2"/>
    <x v="81"/>
    <x v="82"/>
    <x v="0"/>
    <x v="0"/>
    <x v="5"/>
    <x v="0"/>
    <x v="0"/>
  </r>
  <r>
    <n v="134"/>
    <d v="2011-01-06T00:00:00"/>
    <x v="0"/>
    <n v="0"/>
    <x v="0"/>
    <x v="19"/>
    <x v="0"/>
    <x v="5"/>
    <n v="1"/>
    <x v="1"/>
    <n v="0.2576"/>
    <n v="0.55000000000000004"/>
    <n v="8.9599999999999999E-2"/>
    <x v="0"/>
    <x v="63"/>
    <x v="59"/>
    <x v="0"/>
    <x v="0"/>
    <x v="5"/>
    <x v="0"/>
    <x v="0"/>
  </r>
  <r>
    <n v="135"/>
    <d v="2011-01-06T00:00:00"/>
    <x v="0"/>
    <n v="0"/>
    <x v="0"/>
    <x v="20"/>
    <x v="0"/>
    <x v="5"/>
    <n v="1"/>
    <x v="2"/>
    <n v="0.21210000000000001"/>
    <n v="0.51"/>
    <n v="0.16420000000000001"/>
    <x v="0"/>
    <x v="43"/>
    <x v="83"/>
    <x v="0"/>
    <x v="0"/>
    <x v="5"/>
    <x v="0"/>
    <x v="0"/>
  </r>
  <r>
    <n v="136"/>
    <d v="2011-01-06T00:00:00"/>
    <x v="0"/>
    <n v="0"/>
    <x v="0"/>
    <x v="21"/>
    <x v="0"/>
    <x v="5"/>
    <n v="2"/>
    <x v="1"/>
    <n v="0.21210000000000001"/>
    <n v="0.55000000000000004"/>
    <n v="0.22389999999999999"/>
    <x v="3"/>
    <x v="41"/>
    <x v="61"/>
    <x v="1"/>
    <x v="0"/>
    <x v="5"/>
    <x v="0"/>
    <x v="1"/>
  </r>
  <r>
    <n v="137"/>
    <d v="2011-01-06T00:00:00"/>
    <x v="0"/>
    <n v="0"/>
    <x v="0"/>
    <x v="22"/>
    <x v="0"/>
    <x v="5"/>
    <n v="2"/>
    <x v="1"/>
    <n v="0.21210000000000001"/>
    <n v="0.51"/>
    <n v="0.28360000000000002"/>
    <x v="5"/>
    <x v="82"/>
    <x v="46"/>
    <x v="1"/>
    <x v="0"/>
    <x v="5"/>
    <x v="0"/>
    <x v="1"/>
  </r>
  <r>
    <n v="138"/>
    <d v="2011-01-06T00:00:00"/>
    <x v="0"/>
    <n v="0"/>
    <x v="0"/>
    <x v="23"/>
    <x v="0"/>
    <x v="5"/>
    <n v="2"/>
    <x v="2"/>
    <n v="0.19700000000000001"/>
    <n v="0.59"/>
    <n v="0.19400000000000001"/>
    <x v="17"/>
    <x v="23"/>
    <x v="84"/>
    <x v="1"/>
    <x v="0"/>
    <x v="5"/>
    <x v="0"/>
    <x v="1"/>
  </r>
  <r>
    <n v="139"/>
    <d v="2011-01-07T00:00:00"/>
    <x v="0"/>
    <n v="0"/>
    <x v="0"/>
    <x v="0"/>
    <x v="0"/>
    <x v="6"/>
    <n v="2"/>
    <x v="2"/>
    <n v="0.19700000000000001"/>
    <n v="0.64"/>
    <n v="0.19400000000000001"/>
    <x v="17"/>
    <x v="0"/>
    <x v="22"/>
    <x v="1"/>
    <x v="0"/>
    <x v="6"/>
    <x v="0"/>
    <x v="1"/>
  </r>
  <r>
    <n v="140"/>
    <d v="2011-01-07T00:00:00"/>
    <x v="0"/>
    <n v="0"/>
    <x v="0"/>
    <x v="1"/>
    <x v="0"/>
    <x v="6"/>
    <n v="2"/>
    <x v="2"/>
    <n v="0.19700000000000001"/>
    <n v="0.69"/>
    <n v="0.22389999999999999"/>
    <x v="4"/>
    <x v="34"/>
    <x v="85"/>
    <x v="1"/>
    <x v="0"/>
    <x v="6"/>
    <x v="0"/>
    <x v="1"/>
  </r>
  <r>
    <n v="141"/>
    <d v="2011-01-07T00:00:00"/>
    <x v="0"/>
    <n v="0"/>
    <x v="0"/>
    <x v="2"/>
    <x v="0"/>
    <x v="6"/>
    <n v="2"/>
    <x v="2"/>
    <n v="0.19700000000000001"/>
    <n v="0.69"/>
    <n v="0.22389999999999999"/>
    <x v="3"/>
    <x v="4"/>
    <x v="4"/>
    <x v="1"/>
    <x v="0"/>
    <x v="6"/>
    <x v="0"/>
    <x v="1"/>
  </r>
  <r>
    <n v="142"/>
    <d v="2011-01-07T00:00:00"/>
    <x v="0"/>
    <n v="0"/>
    <x v="0"/>
    <x v="4"/>
    <x v="0"/>
    <x v="6"/>
    <n v="2"/>
    <x v="2"/>
    <n v="0.21210000000000001"/>
    <n v="0.69"/>
    <n v="0.1343"/>
    <x v="3"/>
    <x v="4"/>
    <x v="4"/>
    <x v="1"/>
    <x v="0"/>
    <x v="6"/>
    <x v="0"/>
    <x v="1"/>
  </r>
  <r>
    <n v="143"/>
    <d v="2011-01-07T00:00:00"/>
    <x v="0"/>
    <n v="0"/>
    <x v="0"/>
    <x v="5"/>
    <x v="0"/>
    <x v="6"/>
    <n v="3"/>
    <x v="1"/>
    <n v="0.2727"/>
    <n v="0.55000000000000004"/>
    <n v="0"/>
    <x v="3"/>
    <x v="34"/>
    <x v="36"/>
    <x v="2"/>
    <x v="0"/>
    <x v="6"/>
    <x v="0"/>
    <x v="2"/>
  </r>
  <r>
    <n v="144"/>
    <d v="2011-01-07T00:00:00"/>
    <x v="0"/>
    <n v="0"/>
    <x v="0"/>
    <x v="6"/>
    <x v="0"/>
    <x v="6"/>
    <n v="2"/>
    <x v="2"/>
    <n v="0.2576"/>
    <n v="0.69"/>
    <n v="0"/>
    <x v="1"/>
    <x v="16"/>
    <x v="19"/>
    <x v="1"/>
    <x v="0"/>
    <x v="6"/>
    <x v="0"/>
    <x v="1"/>
  </r>
  <r>
    <n v="145"/>
    <d v="2011-01-07T00:00:00"/>
    <x v="0"/>
    <n v="0"/>
    <x v="0"/>
    <x v="7"/>
    <x v="0"/>
    <x v="6"/>
    <n v="1"/>
    <x v="2"/>
    <n v="0.21210000000000001"/>
    <n v="0.69"/>
    <n v="0.1343"/>
    <x v="1"/>
    <x v="83"/>
    <x v="11"/>
    <x v="0"/>
    <x v="0"/>
    <x v="6"/>
    <x v="0"/>
    <x v="0"/>
  </r>
  <r>
    <n v="146"/>
    <d v="2011-01-07T00:00:00"/>
    <x v="0"/>
    <n v="0"/>
    <x v="0"/>
    <x v="8"/>
    <x v="0"/>
    <x v="6"/>
    <n v="1"/>
    <x v="2"/>
    <n v="0.19700000000000001"/>
    <n v="0.51"/>
    <n v="0.25369999999999998"/>
    <x v="20"/>
    <x v="84"/>
    <x v="86"/>
    <x v="0"/>
    <x v="0"/>
    <x v="6"/>
    <x v="0"/>
    <x v="0"/>
  </r>
  <r>
    <n v="147"/>
    <d v="2011-01-07T00:00:00"/>
    <x v="0"/>
    <n v="0"/>
    <x v="0"/>
    <x v="9"/>
    <x v="0"/>
    <x v="6"/>
    <n v="1"/>
    <x v="2"/>
    <n v="0.18179999999999999"/>
    <n v="0.47"/>
    <n v="0.29849999999999999"/>
    <x v="14"/>
    <x v="85"/>
    <x v="87"/>
    <x v="0"/>
    <x v="0"/>
    <x v="6"/>
    <x v="0"/>
    <x v="0"/>
  </r>
  <r>
    <n v="148"/>
    <d v="2011-01-07T00:00:00"/>
    <x v="0"/>
    <n v="0"/>
    <x v="0"/>
    <x v="10"/>
    <x v="0"/>
    <x v="6"/>
    <n v="1"/>
    <x v="1"/>
    <n v="0.19700000000000001"/>
    <n v="0.37"/>
    <n v="0.32840000000000003"/>
    <x v="19"/>
    <x v="12"/>
    <x v="55"/>
    <x v="0"/>
    <x v="0"/>
    <x v="6"/>
    <x v="0"/>
    <x v="0"/>
  </r>
  <r>
    <n v="149"/>
    <d v="2011-01-07T00:00:00"/>
    <x v="0"/>
    <n v="0"/>
    <x v="0"/>
    <x v="11"/>
    <x v="0"/>
    <x v="6"/>
    <n v="2"/>
    <x v="2"/>
    <n v="0.19700000000000001"/>
    <n v="0.4"/>
    <n v="0.22389999999999999"/>
    <x v="21"/>
    <x v="41"/>
    <x v="16"/>
    <x v="1"/>
    <x v="0"/>
    <x v="6"/>
    <x v="0"/>
    <x v="1"/>
  </r>
  <r>
    <n v="150"/>
    <d v="2011-01-07T00:00:00"/>
    <x v="0"/>
    <n v="0"/>
    <x v="0"/>
    <x v="12"/>
    <x v="0"/>
    <x v="6"/>
    <n v="2"/>
    <x v="2"/>
    <n v="0.19700000000000001"/>
    <n v="0.37"/>
    <n v="0.25369999999999998"/>
    <x v="14"/>
    <x v="54"/>
    <x v="29"/>
    <x v="1"/>
    <x v="0"/>
    <x v="6"/>
    <x v="0"/>
    <x v="1"/>
  </r>
  <r>
    <n v="151"/>
    <d v="2011-01-07T00:00:00"/>
    <x v="0"/>
    <n v="0"/>
    <x v="0"/>
    <x v="13"/>
    <x v="0"/>
    <x v="6"/>
    <n v="2"/>
    <x v="2"/>
    <n v="0.18179999999999999"/>
    <n v="0.37"/>
    <n v="0.28360000000000002"/>
    <x v="14"/>
    <x v="27"/>
    <x v="88"/>
    <x v="1"/>
    <x v="0"/>
    <x v="6"/>
    <x v="0"/>
    <x v="1"/>
  </r>
  <r>
    <n v="152"/>
    <d v="2011-01-07T00:00:00"/>
    <x v="0"/>
    <n v="0"/>
    <x v="0"/>
    <x v="14"/>
    <x v="0"/>
    <x v="6"/>
    <n v="2"/>
    <x v="2"/>
    <n v="0.19700000000000001"/>
    <n v="0.4"/>
    <n v="0.25369999999999998"/>
    <x v="18"/>
    <x v="30"/>
    <x v="89"/>
    <x v="1"/>
    <x v="0"/>
    <x v="6"/>
    <x v="0"/>
    <x v="1"/>
  </r>
  <r>
    <n v="153"/>
    <d v="2011-01-07T00:00:00"/>
    <x v="0"/>
    <n v="0"/>
    <x v="0"/>
    <x v="15"/>
    <x v="0"/>
    <x v="6"/>
    <n v="2"/>
    <x v="2"/>
    <n v="0.21210000000000001"/>
    <n v="0.37"/>
    <n v="0.16420000000000001"/>
    <x v="14"/>
    <x v="36"/>
    <x v="44"/>
    <x v="1"/>
    <x v="0"/>
    <x v="6"/>
    <x v="0"/>
    <x v="1"/>
  </r>
  <r>
    <n v="154"/>
    <d v="2011-01-07T00:00:00"/>
    <x v="0"/>
    <n v="0"/>
    <x v="0"/>
    <x v="16"/>
    <x v="0"/>
    <x v="6"/>
    <n v="2"/>
    <x v="2"/>
    <n v="0.21210000000000001"/>
    <n v="0.37"/>
    <n v="0.16420000000000001"/>
    <x v="2"/>
    <x v="70"/>
    <x v="90"/>
    <x v="1"/>
    <x v="0"/>
    <x v="6"/>
    <x v="0"/>
    <x v="1"/>
  </r>
  <r>
    <n v="155"/>
    <d v="2011-01-07T00:00:00"/>
    <x v="0"/>
    <n v="0"/>
    <x v="0"/>
    <x v="17"/>
    <x v="0"/>
    <x v="6"/>
    <n v="2"/>
    <x v="2"/>
    <n v="0.2576"/>
    <n v="0.37"/>
    <n v="0"/>
    <x v="14"/>
    <x v="86"/>
    <x v="91"/>
    <x v="1"/>
    <x v="0"/>
    <x v="6"/>
    <x v="0"/>
    <x v="1"/>
  </r>
  <r>
    <n v="156"/>
    <d v="2011-01-07T00:00:00"/>
    <x v="0"/>
    <n v="0"/>
    <x v="0"/>
    <x v="18"/>
    <x v="0"/>
    <x v="6"/>
    <n v="1"/>
    <x v="2"/>
    <n v="0.2273"/>
    <n v="0.4"/>
    <n v="8.9599999999999999E-2"/>
    <x v="18"/>
    <x v="75"/>
    <x v="92"/>
    <x v="0"/>
    <x v="0"/>
    <x v="6"/>
    <x v="0"/>
    <x v="0"/>
  </r>
  <r>
    <n v="157"/>
    <d v="2011-01-07T00:00:00"/>
    <x v="0"/>
    <n v="0"/>
    <x v="0"/>
    <x v="19"/>
    <x v="0"/>
    <x v="6"/>
    <n v="1"/>
    <x v="13"/>
    <n v="0.19700000000000001"/>
    <n v="0.55000000000000004"/>
    <n v="8.9599999999999999E-2"/>
    <x v="0"/>
    <x v="50"/>
    <x v="76"/>
    <x v="0"/>
    <x v="0"/>
    <x v="6"/>
    <x v="0"/>
    <x v="0"/>
  </r>
  <r>
    <n v="158"/>
    <d v="2011-01-07T00:00:00"/>
    <x v="0"/>
    <n v="0"/>
    <x v="0"/>
    <x v="20"/>
    <x v="0"/>
    <x v="6"/>
    <n v="1"/>
    <x v="15"/>
    <n v="0.21210000000000001"/>
    <n v="0.47"/>
    <n v="0.1045"/>
    <x v="5"/>
    <x v="54"/>
    <x v="41"/>
    <x v="0"/>
    <x v="0"/>
    <x v="6"/>
    <x v="0"/>
    <x v="0"/>
  </r>
  <r>
    <n v="159"/>
    <d v="2011-01-07T00:00:00"/>
    <x v="0"/>
    <n v="0"/>
    <x v="0"/>
    <x v="21"/>
    <x v="0"/>
    <x v="6"/>
    <n v="1"/>
    <x v="15"/>
    <n v="0.19700000000000001"/>
    <n v="0.47"/>
    <n v="0.1343"/>
    <x v="3"/>
    <x v="87"/>
    <x v="21"/>
    <x v="0"/>
    <x v="0"/>
    <x v="6"/>
    <x v="0"/>
    <x v="0"/>
  </r>
  <r>
    <n v="160"/>
    <d v="2011-01-07T00:00:00"/>
    <x v="0"/>
    <n v="0"/>
    <x v="0"/>
    <x v="22"/>
    <x v="0"/>
    <x v="6"/>
    <n v="2"/>
    <x v="15"/>
    <n v="0.19700000000000001"/>
    <n v="0.43"/>
    <n v="0.16420000000000001"/>
    <x v="4"/>
    <x v="60"/>
    <x v="9"/>
    <x v="1"/>
    <x v="0"/>
    <x v="6"/>
    <x v="0"/>
    <x v="1"/>
  </r>
  <r>
    <n v="161"/>
    <d v="2011-01-07T00:00:00"/>
    <x v="0"/>
    <n v="0"/>
    <x v="0"/>
    <x v="23"/>
    <x v="0"/>
    <x v="6"/>
    <n v="2"/>
    <x v="15"/>
    <n v="0.19700000000000001"/>
    <n v="0.51"/>
    <n v="0.16420000000000001"/>
    <x v="5"/>
    <x v="88"/>
    <x v="93"/>
    <x v="1"/>
    <x v="0"/>
    <x v="6"/>
    <x v="0"/>
    <x v="1"/>
  </r>
  <r>
    <n v="162"/>
    <d v="2011-01-08T00:00:00"/>
    <x v="0"/>
    <n v="0"/>
    <x v="0"/>
    <x v="0"/>
    <x v="0"/>
    <x v="0"/>
    <n v="2"/>
    <x v="15"/>
    <n v="0.19700000000000001"/>
    <n v="0.51"/>
    <n v="0.16420000000000001"/>
    <x v="5"/>
    <x v="9"/>
    <x v="94"/>
    <x v="1"/>
    <x v="0"/>
    <x v="0"/>
    <x v="0"/>
    <x v="1"/>
  </r>
  <r>
    <n v="163"/>
    <d v="2011-01-08T00:00:00"/>
    <x v="0"/>
    <n v="0"/>
    <x v="0"/>
    <x v="1"/>
    <x v="0"/>
    <x v="0"/>
    <n v="2"/>
    <x v="15"/>
    <n v="0.21210000000000001"/>
    <n v="0.55000000000000004"/>
    <n v="8.9599999999999999E-2"/>
    <x v="5"/>
    <x v="89"/>
    <x v="0"/>
    <x v="1"/>
    <x v="0"/>
    <x v="0"/>
    <x v="0"/>
    <x v="1"/>
  </r>
  <r>
    <n v="164"/>
    <d v="2011-01-08T00:00:00"/>
    <x v="0"/>
    <n v="0"/>
    <x v="0"/>
    <x v="2"/>
    <x v="0"/>
    <x v="0"/>
    <n v="2"/>
    <x v="15"/>
    <n v="0.2424"/>
    <n v="0.55000000000000004"/>
    <n v="0"/>
    <x v="0"/>
    <x v="0"/>
    <x v="0"/>
    <x v="1"/>
    <x v="0"/>
    <x v="0"/>
    <x v="0"/>
    <x v="1"/>
  </r>
  <r>
    <n v="165"/>
    <d v="2011-01-08T00:00:00"/>
    <x v="0"/>
    <n v="0"/>
    <x v="0"/>
    <x v="3"/>
    <x v="0"/>
    <x v="0"/>
    <n v="3"/>
    <x v="15"/>
    <n v="0.19700000000000001"/>
    <n v="0.55000000000000004"/>
    <n v="0.16420000000000001"/>
    <x v="3"/>
    <x v="7"/>
    <x v="85"/>
    <x v="2"/>
    <x v="0"/>
    <x v="0"/>
    <x v="0"/>
    <x v="2"/>
  </r>
  <r>
    <n v="166"/>
    <d v="2011-01-08T00:00:00"/>
    <x v="0"/>
    <n v="0"/>
    <x v="0"/>
    <x v="4"/>
    <x v="0"/>
    <x v="0"/>
    <n v="3"/>
    <x v="15"/>
    <n v="0.19700000000000001"/>
    <n v="0.55000000000000004"/>
    <n v="0.16420000000000001"/>
    <x v="3"/>
    <x v="4"/>
    <x v="4"/>
    <x v="2"/>
    <x v="0"/>
    <x v="0"/>
    <x v="0"/>
    <x v="2"/>
  </r>
  <r>
    <n v="167"/>
    <d v="2011-01-08T00:00:00"/>
    <x v="0"/>
    <n v="0"/>
    <x v="0"/>
    <x v="5"/>
    <x v="0"/>
    <x v="0"/>
    <n v="2"/>
    <x v="13"/>
    <n v="0.16669999999999999"/>
    <n v="0.74"/>
    <n v="0.16420000000000001"/>
    <x v="3"/>
    <x v="34"/>
    <x v="36"/>
    <x v="1"/>
    <x v="0"/>
    <x v="0"/>
    <x v="0"/>
    <x v="1"/>
  </r>
  <r>
    <n v="168"/>
    <d v="2011-01-08T00:00:00"/>
    <x v="0"/>
    <n v="0"/>
    <x v="0"/>
    <x v="6"/>
    <x v="0"/>
    <x v="0"/>
    <n v="2"/>
    <x v="13"/>
    <n v="0.16669999999999999"/>
    <n v="0.74"/>
    <n v="0.16420000000000001"/>
    <x v="3"/>
    <x v="6"/>
    <x v="5"/>
    <x v="1"/>
    <x v="0"/>
    <x v="0"/>
    <x v="0"/>
    <x v="1"/>
  </r>
  <r>
    <n v="169"/>
    <d v="2011-01-08T00:00:00"/>
    <x v="0"/>
    <n v="0"/>
    <x v="0"/>
    <x v="7"/>
    <x v="0"/>
    <x v="0"/>
    <n v="2"/>
    <x v="13"/>
    <n v="0.18179999999999999"/>
    <n v="0.74"/>
    <n v="0.1045"/>
    <x v="5"/>
    <x v="21"/>
    <x v="23"/>
    <x v="1"/>
    <x v="0"/>
    <x v="0"/>
    <x v="0"/>
    <x v="1"/>
  </r>
  <r>
    <n v="170"/>
    <d v="2011-01-08T00:00:00"/>
    <x v="0"/>
    <n v="0"/>
    <x v="0"/>
    <x v="8"/>
    <x v="0"/>
    <x v="0"/>
    <n v="3"/>
    <x v="13"/>
    <n v="0.18179999999999999"/>
    <n v="0.93"/>
    <n v="0.1045"/>
    <x v="3"/>
    <x v="89"/>
    <x v="93"/>
    <x v="2"/>
    <x v="0"/>
    <x v="0"/>
    <x v="0"/>
    <x v="2"/>
  </r>
  <r>
    <n v="171"/>
    <d v="2011-01-08T00:00:00"/>
    <x v="0"/>
    <n v="0"/>
    <x v="0"/>
    <x v="9"/>
    <x v="0"/>
    <x v="0"/>
    <n v="3"/>
    <x v="13"/>
    <n v="0.18179999999999999"/>
    <n v="0.93"/>
    <n v="0.1045"/>
    <x v="3"/>
    <x v="32"/>
    <x v="25"/>
    <x v="2"/>
    <x v="0"/>
    <x v="0"/>
    <x v="0"/>
    <x v="2"/>
  </r>
  <r>
    <n v="172"/>
    <d v="2011-01-08T00:00:00"/>
    <x v="0"/>
    <n v="0"/>
    <x v="0"/>
    <x v="10"/>
    <x v="0"/>
    <x v="0"/>
    <n v="2"/>
    <x v="15"/>
    <n v="0.19700000000000001"/>
    <n v="0.8"/>
    <n v="0.16420000000000001"/>
    <x v="2"/>
    <x v="90"/>
    <x v="42"/>
    <x v="1"/>
    <x v="0"/>
    <x v="0"/>
    <x v="0"/>
    <x v="1"/>
  </r>
  <r>
    <n v="173"/>
    <d v="2011-01-08T00:00:00"/>
    <x v="0"/>
    <n v="0"/>
    <x v="0"/>
    <x v="11"/>
    <x v="0"/>
    <x v="0"/>
    <n v="2"/>
    <x v="2"/>
    <n v="0.18179999999999999"/>
    <n v="0.69"/>
    <n v="0.3881"/>
    <x v="4"/>
    <x v="91"/>
    <x v="69"/>
    <x v="1"/>
    <x v="0"/>
    <x v="0"/>
    <x v="0"/>
    <x v="1"/>
  </r>
  <r>
    <n v="174"/>
    <d v="2011-01-08T00:00:00"/>
    <x v="0"/>
    <n v="0"/>
    <x v="0"/>
    <x v="12"/>
    <x v="0"/>
    <x v="0"/>
    <n v="2"/>
    <x v="2"/>
    <n v="0.18179999999999999"/>
    <n v="0.59"/>
    <n v="0.35820000000000002"/>
    <x v="1"/>
    <x v="92"/>
    <x v="95"/>
    <x v="1"/>
    <x v="0"/>
    <x v="0"/>
    <x v="0"/>
    <x v="1"/>
  </r>
  <r>
    <n v="175"/>
    <d v="2011-01-08T00:00:00"/>
    <x v="0"/>
    <n v="0"/>
    <x v="0"/>
    <x v="13"/>
    <x v="0"/>
    <x v="0"/>
    <n v="1"/>
    <x v="2"/>
    <n v="0.18179999999999999"/>
    <n v="0.44"/>
    <n v="0.32840000000000003"/>
    <x v="18"/>
    <x v="73"/>
    <x v="96"/>
    <x v="0"/>
    <x v="0"/>
    <x v="0"/>
    <x v="0"/>
    <x v="0"/>
  </r>
  <r>
    <n v="176"/>
    <d v="2011-01-08T00:00:00"/>
    <x v="0"/>
    <n v="0"/>
    <x v="0"/>
    <x v="14"/>
    <x v="0"/>
    <x v="0"/>
    <n v="1"/>
    <x v="2"/>
    <n v="0.16669999999999999"/>
    <n v="0.32"/>
    <n v="0.49249999999999999"/>
    <x v="6"/>
    <x v="93"/>
    <x v="76"/>
    <x v="0"/>
    <x v="0"/>
    <x v="0"/>
    <x v="0"/>
    <x v="0"/>
  </r>
  <r>
    <n v="177"/>
    <d v="2011-01-08T00:00:00"/>
    <x v="0"/>
    <n v="0"/>
    <x v="0"/>
    <x v="15"/>
    <x v="0"/>
    <x v="0"/>
    <n v="1"/>
    <x v="2"/>
    <n v="0.16669999999999999"/>
    <n v="0.32"/>
    <n v="0.44779999999999998"/>
    <x v="2"/>
    <x v="94"/>
    <x v="30"/>
    <x v="0"/>
    <x v="0"/>
    <x v="0"/>
    <x v="0"/>
    <x v="0"/>
  </r>
  <r>
    <n v="178"/>
    <d v="2011-01-08T00:00:00"/>
    <x v="0"/>
    <n v="0"/>
    <x v="0"/>
    <x v="16"/>
    <x v="0"/>
    <x v="0"/>
    <n v="1"/>
    <x v="15"/>
    <n v="0.13639999999999999"/>
    <n v="0.28999999999999998"/>
    <n v="0.44779999999999998"/>
    <x v="1"/>
    <x v="56"/>
    <x v="31"/>
    <x v="0"/>
    <x v="0"/>
    <x v="0"/>
    <x v="0"/>
    <x v="0"/>
  </r>
  <r>
    <n v="179"/>
    <d v="2011-01-08T00:00:00"/>
    <x v="0"/>
    <n v="0"/>
    <x v="0"/>
    <x v="17"/>
    <x v="0"/>
    <x v="0"/>
    <n v="1"/>
    <x v="13"/>
    <n v="0.1212"/>
    <n v="0.37"/>
    <n v="0.55220000000000002"/>
    <x v="2"/>
    <x v="27"/>
    <x v="83"/>
    <x v="0"/>
    <x v="0"/>
    <x v="0"/>
    <x v="0"/>
    <x v="0"/>
  </r>
  <r>
    <n v="180"/>
    <d v="2011-01-08T00:00:00"/>
    <x v="0"/>
    <n v="0"/>
    <x v="0"/>
    <x v="18"/>
    <x v="0"/>
    <x v="0"/>
    <n v="1"/>
    <x v="14"/>
    <n v="0.1212"/>
    <n v="0.39"/>
    <n v="0.29849999999999999"/>
    <x v="0"/>
    <x v="15"/>
    <x v="97"/>
    <x v="0"/>
    <x v="0"/>
    <x v="0"/>
    <x v="0"/>
    <x v="0"/>
  </r>
  <r>
    <n v="181"/>
    <d v="2011-01-08T00:00:00"/>
    <x v="0"/>
    <n v="0"/>
    <x v="0"/>
    <x v="19"/>
    <x v="0"/>
    <x v="0"/>
    <n v="1"/>
    <x v="14"/>
    <n v="0.1212"/>
    <n v="0.36"/>
    <n v="0.25369999999999998"/>
    <x v="17"/>
    <x v="16"/>
    <x v="33"/>
    <x v="0"/>
    <x v="0"/>
    <x v="0"/>
    <x v="0"/>
    <x v="0"/>
  </r>
  <r>
    <n v="182"/>
    <d v="2011-01-08T00:00:00"/>
    <x v="0"/>
    <n v="0"/>
    <x v="0"/>
    <x v="20"/>
    <x v="0"/>
    <x v="0"/>
    <n v="1"/>
    <x v="16"/>
    <n v="0.1212"/>
    <n v="0.36"/>
    <n v="0.25369999999999998"/>
    <x v="3"/>
    <x v="95"/>
    <x v="20"/>
    <x v="0"/>
    <x v="0"/>
    <x v="0"/>
    <x v="0"/>
    <x v="0"/>
  </r>
  <r>
    <n v="183"/>
    <d v="2011-01-08T00:00:00"/>
    <x v="0"/>
    <n v="0"/>
    <x v="0"/>
    <x v="21"/>
    <x v="0"/>
    <x v="0"/>
    <n v="1"/>
    <x v="16"/>
    <n v="0.1061"/>
    <n v="0.39"/>
    <n v="0.35820000000000002"/>
    <x v="4"/>
    <x v="96"/>
    <x v="18"/>
    <x v="0"/>
    <x v="0"/>
    <x v="0"/>
    <x v="0"/>
    <x v="0"/>
  </r>
  <r>
    <n v="184"/>
    <d v="2011-01-08T00:00:00"/>
    <x v="0"/>
    <n v="0"/>
    <x v="0"/>
    <x v="22"/>
    <x v="0"/>
    <x v="0"/>
    <n v="1"/>
    <x v="16"/>
    <n v="0.1061"/>
    <n v="0.36"/>
    <n v="0.3881"/>
    <x v="5"/>
    <x v="39"/>
    <x v="19"/>
    <x v="0"/>
    <x v="0"/>
    <x v="0"/>
    <x v="0"/>
    <x v="0"/>
  </r>
  <r>
    <n v="185"/>
    <d v="2011-01-08T00:00:00"/>
    <x v="0"/>
    <n v="0"/>
    <x v="0"/>
    <x v="23"/>
    <x v="0"/>
    <x v="0"/>
    <n v="1"/>
    <x v="18"/>
    <n v="6.0600000000000001E-2"/>
    <n v="0.39"/>
    <n v="0.44779999999999998"/>
    <x v="3"/>
    <x v="97"/>
    <x v="34"/>
    <x v="0"/>
    <x v="0"/>
    <x v="0"/>
    <x v="0"/>
    <x v="0"/>
  </r>
  <r>
    <n v="186"/>
    <d v="2011-01-09T00:00:00"/>
    <x v="0"/>
    <n v="0"/>
    <x v="0"/>
    <x v="0"/>
    <x v="0"/>
    <x v="1"/>
    <n v="1"/>
    <x v="18"/>
    <n v="7.5800000000000006E-2"/>
    <n v="0.42"/>
    <n v="0.3881"/>
    <x v="5"/>
    <x v="9"/>
    <x v="94"/>
    <x v="0"/>
    <x v="0"/>
    <x v="1"/>
    <x v="0"/>
    <x v="0"/>
  </r>
  <r>
    <n v="187"/>
    <d v="2011-01-09T00:00:00"/>
    <x v="0"/>
    <n v="0"/>
    <x v="0"/>
    <x v="1"/>
    <x v="0"/>
    <x v="1"/>
    <n v="1"/>
    <x v="18"/>
    <n v="6.0600000000000001E-2"/>
    <n v="0.42"/>
    <n v="0.4627"/>
    <x v="3"/>
    <x v="98"/>
    <x v="47"/>
    <x v="0"/>
    <x v="0"/>
    <x v="1"/>
    <x v="0"/>
    <x v="0"/>
  </r>
  <r>
    <n v="188"/>
    <d v="2011-01-09T00:00:00"/>
    <x v="0"/>
    <n v="0"/>
    <x v="0"/>
    <x v="2"/>
    <x v="0"/>
    <x v="1"/>
    <n v="1"/>
    <x v="18"/>
    <n v="6.0600000000000001E-2"/>
    <n v="0.46"/>
    <n v="0.4627"/>
    <x v="3"/>
    <x v="48"/>
    <x v="62"/>
    <x v="0"/>
    <x v="0"/>
    <x v="1"/>
    <x v="0"/>
    <x v="0"/>
  </r>
  <r>
    <n v="189"/>
    <d v="2011-01-09T00:00:00"/>
    <x v="0"/>
    <n v="0"/>
    <x v="0"/>
    <x v="3"/>
    <x v="0"/>
    <x v="1"/>
    <n v="1"/>
    <x v="18"/>
    <n v="7.5800000000000006E-2"/>
    <n v="0.46"/>
    <n v="0.41789999999999999"/>
    <x v="3"/>
    <x v="22"/>
    <x v="48"/>
    <x v="0"/>
    <x v="0"/>
    <x v="1"/>
    <x v="0"/>
    <x v="0"/>
  </r>
  <r>
    <n v="190"/>
    <d v="2011-01-09T00:00:00"/>
    <x v="0"/>
    <n v="0"/>
    <x v="0"/>
    <x v="4"/>
    <x v="0"/>
    <x v="1"/>
    <n v="1"/>
    <x v="19"/>
    <n v="9.0899999999999995E-2"/>
    <n v="0.53"/>
    <n v="0.19400000000000001"/>
    <x v="3"/>
    <x v="4"/>
    <x v="4"/>
    <x v="0"/>
    <x v="0"/>
    <x v="1"/>
    <x v="0"/>
    <x v="0"/>
  </r>
  <r>
    <n v="191"/>
    <d v="2011-01-09T00:00:00"/>
    <x v="0"/>
    <n v="0"/>
    <x v="0"/>
    <x v="5"/>
    <x v="0"/>
    <x v="1"/>
    <n v="1"/>
    <x v="19"/>
    <n v="9.0899999999999995E-2"/>
    <n v="0.53"/>
    <n v="0.19400000000000001"/>
    <x v="3"/>
    <x v="4"/>
    <x v="4"/>
    <x v="0"/>
    <x v="0"/>
    <x v="1"/>
    <x v="0"/>
    <x v="0"/>
  </r>
  <r>
    <n v="192"/>
    <d v="2011-01-09T00:00:00"/>
    <x v="0"/>
    <n v="0"/>
    <x v="0"/>
    <x v="6"/>
    <x v="0"/>
    <x v="1"/>
    <n v="1"/>
    <x v="18"/>
    <n v="9.0899999999999995E-2"/>
    <n v="0.49"/>
    <n v="0.28360000000000002"/>
    <x v="3"/>
    <x v="4"/>
    <x v="4"/>
    <x v="0"/>
    <x v="0"/>
    <x v="1"/>
    <x v="0"/>
    <x v="0"/>
  </r>
  <r>
    <n v="193"/>
    <d v="2011-01-09T00:00:00"/>
    <x v="0"/>
    <n v="0"/>
    <x v="0"/>
    <x v="7"/>
    <x v="0"/>
    <x v="1"/>
    <n v="1"/>
    <x v="19"/>
    <n v="9.0899999999999995E-2"/>
    <n v="0.53"/>
    <n v="0.19400000000000001"/>
    <x v="5"/>
    <x v="34"/>
    <x v="24"/>
    <x v="0"/>
    <x v="0"/>
    <x v="1"/>
    <x v="0"/>
    <x v="0"/>
  </r>
  <r>
    <n v="194"/>
    <d v="2011-01-09T00:00:00"/>
    <x v="0"/>
    <n v="0"/>
    <x v="0"/>
    <x v="8"/>
    <x v="0"/>
    <x v="1"/>
    <n v="1"/>
    <x v="18"/>
    <n v="9.0899999999999995E-2"/>
    <n v="0.49"/>
    <n v="0.28360000000000002"/>
    <x v="3"/>
    <x v="3"/>
    <x v="98"/>
    <x v="0"/>
    <x v="0"/>
    <x v="1"/>
    <x v="0"/>
    <x v="0"/>
  </r>
  <r>
    <n v="195"/>
    <d v="2011-01-09T00:00:00"/>
    <x v="0"/>
    <n v="0"/>
    <x v="0"/>
    <x v="9"/>
    <x v="0"/>
    <x v="1"/>
    <n v="1"/>
    <x v="16"/>
    <n v="7.5800000000000006E-2"/>
    <n v="0.46"/>
    <n v="0.52239999999999998"/>
    <x v="3"/>
    <x v="23"/>
    <x v="75"/>
    <x v="0"/>
    <x v="0"/>
    <x v="1"/>
    <x v="0"/>
    <x v="0"/>
  </r>
  <r>
    <n v="196"/>
    <d v="2011-01-09T00:00:00"/>
    <x v="0"/>
    <n v="0"/>
    <x v="0"/>
    <x v="10"/>
    <x v="0"/>
    <x v="1"/>
    <n v="1"/>
    <x v="14"/>
    <n v="0.1061"/>
    <n v="0.43"/>
    <n v="0.3881"/>
    <x v="3"/>
    <x v="47"/>
    <x v="99"/>
    <x v="0"/>
    <x v="0"/>
    <x v="1"/>
    <x v="0"/>
    <x v="0"/>
  </r>
  <r>
    <n v="197"/>
    <d v="2011-01-09T00:00:00"/>
    <x v="0"/>
    <n v="0"/>
    <x v="0"/>
    <x v="11"/>
    <x v="0"/>
    <x v="1"/>
    <n v="1"/>
    <x v="13"/>
    <n v="0.1212"/>
    <n v="0.4"/>
    <n v="0.52239999999999998"/>
    <x v="4"/>
    <x v="12"/>
    <x v="99"/>
    <x v="0"/>
    <x v="0"/>
    <x v="1"/>
    <x v="0"/>
    <x v="0"/>
  </r>
  <r>
    <n v="198"/>
    <d v="2011-01-09T00:00:00"/>
    <x v="0"/>
    <n v="0"/>
    <x v="0"/>
    <x v="12"/>
    <x v="0"/>
    <x v="1"/>
    <n v="1"/>
    <x v="15"/>
    <n v="0.13639999999999999"/>
    <n v="0.37"/>
    <n v="0.44779999999999998"/>
    <x v="17"/>
    <x v="55"/>
    <x v="56"/>
    <x v="0"/>
    <x v="0"/>
    <x v="1"/>
    <x v="0"/>
    <x v="0"/>
  </r>
  <r>
    <n v="199"/>
    <d v="2011-01-09T00:00:00"/>
    <x v="0"/>
    <n v="0"/>
    <x v="0"/>
    <x v="13"/>
    <x v="0"/>
    <x v="1"/>
    <n v="1"/>
    <x v="2"/>
    <n v="0.16669999999999999"/>
    <n v="0.34"/>
    <n v="0.44779999999999998"/>
    <x v="15"/>
    <x v="94"/>
    <x v="28"/>
    <x v="0"/>
    <x v="0"/>
    <x v="1"/>
    <x v="0"/>
    <x v="0"/>
  </r>
  <r>
    <n v="200"/>
    <d v="2011-01-09T00:00:00"/>
    <x v="0"/>
    <n v="0"/>
    <x v="0"/>
    <x v="14"/>
    <x v="0"/>
    <x v="1"/>
    <n v="1"/>
    <x v="1"/>
    <n v="0.18179999999999999"/>
    <n v="0.32"/>
    <n v="0.4627"/>
    <x v="1"/>
    <x v="27"/>
    <x v="44"/>
    <x v="0"/>
    <x v="0"/>
    <x v="1"/>
    <x v="0"/>
    <x v="0"/>
  </r>
  <r>
    <n v="201"/>
    <d v="2011-01-09T00:00:00"/>
    <x v="0"/>
    <n v="0"/>
    <x v="0"/>
    <x v="15"/>
    <x v="0"/>
    <x v="1"/>
    <n v="1"/>
    <x v="1"/>
    <n v="0.19700000000000001"/>
    <n v="0.35"/>
    <n v="0.35820000000000002"/>
    <x v="2"/>
    <x v="99"/>
    <x v="100"/>
    <x v="0"/>
    <x v="0"/>
    <x v="1"/>
    <x v="0"/>
    <x v="0"/>
  </r>
  <r>
    <n v="202"/>
    <d v="2011-01-09T00:00:00"/>
    <x v="0"/>
    <n v="0"/>
    <x v="0"/>
    <x v="16"/>
    <x v="0"/>
    <x v="1"/>
    <n v="1"/>
    <x v="2"/>
    <n v="0.16669999999999999"/>
    <n v="0.34"/>
    <n v="0.44779999999999998"/>
    <x v="23"/>
    <x v="55"/>
    <x v="101"/>
    <x v="0"/>
    <x v="0"/>
    <x v="1"/>
    <x v="0"/>
    <x v="0"/>
  </r>
  <r>
    <n v="203"/>
    <d v="2011-01-09T00:00:00"/>
    <x v="0"/>
    <n v="0"/>
    <x v="0"/>
    <x v="17"/>
    <x v="0"/>
    <x v="1"/>
    <n v="1"/>
    <x v="15"/>
    <n v="0.1515"/>
    <n v="0.37"/>
    <n v="0.3881"/>
    <x v="0"/>
    <x v="79"/>
    <x v="69"/>
    <x v="0"/>
    <x v="0"/>
    <x v="1"/>
    <x v="0"/>
    <x v="0"/>
  </r>
  <r>
    <n v="204"/>
    <d v="2011-01-09T00:00:00"/>
    <x v="0"/>
    <n v="0"/>
    <x v="0"/>
    <x v="18"/>
    <x v="0"/>
    <x v="1"/>
    <n v="1"/>
    <x v="13"/>
    <n v="0.13639999999999999"/>
    <n v="0.4"/>
    <n v="0.32840000000000003"/>
    <x v="17"/>
    <x v="100"/>
    <x v="61"/>
    <x v="0"/>
    <x v="0"/>
    <x v="1"/>
    <x v="0"/>
    <x v="0"/>
  </r>
  <r>
    <n v="205"/>
    <d v="2011-01-09T00:00:00"/>
    <x v="0"/>
    <n v="0"/>
    <x v="0"/>
    <x v="19"/>
    <x v="0"/>
    <x v="1"/>
    <n v="1"/>
    <x v="13"/>
    <n v="0.13639999999999999"/>
    <n v="0.43"/>
    <n v="0.32840000000000003"/>
    <x v="5"/>
    <x v="71"/>
    <x v="102"/>
    <x v="0"/>
    <x v="0"/>
    <x v="1"/>
    <x v="0"/>
    <x v="0"/>
  </r>
  <r>
    <n v="206"/>
    <d v="2011-01-09T00:00:00"/>
    <x v="0"/>
    <n v="0"/>
    <x v="0"/>
    <x v="20"/>
    <x v="0"/>
    <x v="1"/>
    <n v="1"/>
    <x v="14"/>
    <n v="0.1212"/>
    <n v="0.46"/>
    <n v="0.25369999999999998"/>
    <x v="3"/>
    <x v="101"/>
    <x v="103"/>
    <x v="0"/>
    <x v="0"/>
    <x v="1"/>
    <x v="0"/>
    <x v="0"/>
  </r>
  <r>
    <n v="207"/>
    <d v="2011-01-09T00:00:00"/>
    <x v="0"/>
    <n v="0"/>
    <x v="0"/>
    <x v="21"/>
    <x v="0"/>
    <x v="1"/>
    <n v="1"/>
    <x v="14"/>
    <n v="0.1061"/>
    <n v="0.46"/>
    <n v="0.41789999999999999"/>
    <x v="5"/>
    <x v="23"/>
    <x v="25"/>
    <x v="0"/>
    <x v="0"/>
    <x v="1"/>
    <x v="0"/>
    <x v="0"/>
  </r>
  <r>
    <n v="208"/>
    <d v="2011-01-09T00:00:00"/>
    <x v="0"/>
    <n v="0"/>
    <x v="0"/>
    <x v="22"/>
    <x v="0"/>
    <x v="1"/>
    <n v="1"/>
    <x v="14"/>
    <n v="0.1212"/>
    <n v="0.46"/>
    <n v="0.29849999999999999"/>
    <x v="2"/>
    <x v="3"/>
    <x v="93"/>
    <x v="0"/>
    <x v="0"/>
    <x v="1"/>
    <x v="0"/>
    <x v="0"/>
  </r>
  <r>
    <n v="209"/>
    <d v="2011-01-09T00:00:00"/>
    <x v="0"/>
    <n v="0"/>
    <x v="0"/>
    <x v="23"/>
    <x v="0"/>
    <x v="1"/>
    <n v="1"/>
    <x v="16"/>
    <n v="0.13639999999999999"/>
    <n v="0.5"/>
    <n v="0.19400000000000001"/>
    <x v="3"/>
    <x v="8"/>
    <x v="24"/>
    <x v="0"/>
    <x v="0"/>
    <x v="1"/>
    <x v="0"/>
    <x v="0"/>
  </r>
  <r>
    <n v="210"/>
    <d v="2011-01-10T00:00:00"/>
    <x v="0"/>
    <n v="0"/>
    <x v="0"/>
    <x v="0"/>
    <x v="0"/>
    <x v="2"/>
    <n v="1"/>
    <x v="16"/>
    <n v="0.1212"/>
    <n v="0.5"/>
    <n v="0.28360000000000002"/>
    <x v="4"/>
    <x v="35"/>
    <x v="36"/>
    <x v="0"/>
    <x v="0"/>
    <x v="2"/>
    <x v="0"/>
    <x v="0"/>
  </r>
  <r>
    <n v="211"/>
    <d v="2011-01-10T00:00:00"/>
    <x v="0"/>
    <n v="0"/>
    <x v="0"/>
    <x v="1"/>
    <x v="0"/>
    <x v="2"/>
    <n v="1"/>
    <x v="16"/>
    <n v="0.1212"/>
    <n v="0.5"/>
    <n v="0.28360000000000002"/>
    <x v="5"/>
    <x v="5"/>
    <x v="4"/>
    <x v="0"/>
    <x v="0"/>
    <x v="2"/>
    <x v="0"/>
    <x v="0"/>
  </r>
  <r>
    <n v="212"/>
    <d v="2011-01-10T00:00:00"/>
    <x v="0"/>
    <n v="0"/>
    <x v="0"/>
    <x v="2"/>
    <x v="0"/>
    <x v="2"/>
    <n v="1"/>
    <x v="16"/>
    <n v="0.1212"/>
    <n v="0.5"/>
    <n v="0.22389999999999999"/>
    <x v="3"/>
    <x v="35"/>
    <x v="6"/>
    <x v="0"/>
    <x v="0"/>
    <x v="2"/>
    <x v="0"/>
    <x v="0"/>
  </r>
  <r>
    <n v="213"/>
    <d v="2011-01-10T00:00:00"/>
    <x v="0"/>
    <n v="0"/>
    <x v="0"/>
    <x v="3"/>
    <x v="0"/>
    <x v="2"/>
    <n v="1"/>
    <x v="16"/>
    <n v="0.1212"/>
    <n v="0.5"/>
    <n v="0.22389999999999999"/>
    <x v="3"/>
    <x v="4"/>
    <x v="4"/>
    <x v="0"/>
    <x v="0"/>
    <x v="2"/>
    <x v="0"/>
    <x v="0"/>
  </r>
  <r>
    <n v="214"/>
    <d v="2011-01-10T00:00:00"/>
    <x v="0"/>
    <n v="0"/>
    <x v="0"/>
    <x v="4"/>
    <x v="0"/>
    <x v="2"/>
    <n v="1"/>
    <x v="18"/>
    <n v="0.1212"/>
    <n v="0.54"/>
    <n v="0.1343"/>
    <x v="5"/>
    <x v="6"/>
    <x v="6"/>
    <x v="0"/>
    <x v="0"/>
    <x v="2"/>
    <x v="0"/>
    <x v="0"/>
  </r>
  <r>
    <n v="215"/>
    <d v="2011-01-10T00:00:00"/>
    <x v="0"/>
    <n v="0"/>
    <x v="0"/>
    <x v="5"/>
    <x v="0"/>
    <x v="2"/>
    <n v="1"/>
    <x v="18"/>
    <n v="0.1061"/>
    <n v="0.54"/>
    <n v="0.25369999999999998"/>
    <x v="3"/>
    <x v="35"/>
    <x v="6"/>
    <x v="0"/>
    <x v="0"/>
    <x v="2"/>
    <x v="0"/>
    <x v="0"/>
  </r>
  <r>
    <n v="216"/>
    <d v="2011-01-10T00:00:00"/>
    <x v="0"/>
    <n v="0"/>
    <x v="0"/>
    <x v="6"/>
    <x v="0"/>
    <x v="2"/>
    <n v="1"/>
    <x v="16"/>
    <n v="0.1212"/>
    <n v="0.5"/>
    <n v="0.28360000000000002"/>
    <x v="3"/>
    <x v="17"/>
    <x v="35"/>
    <x v="0"/>
    <x v="0"/>
    <x v="2"/>
    <x v="0"/>
    <x v="0"/>
  </r>
  <r>
    <n v="217"/>
    <d v="2011-01-10T00:00:00"/>
    <x v="0"/>
    <n v="0"/>
    <x v="0"/>
    <x v="7"/>
    <x v="0"/>
    <x v="2"/>
    <n v="1"/>
    <x v="16"/>
    <n v="0.1212"/>
    <n v="0.5"/>
    <n v="0.22389999999999999"/>
    <x v="4"/>
    <x v="102"/>
    <x v="43"/>
    <x v="0"/>
    <x v="0"/>
    <x v="2"/>
    <x v="0"/>
    <x v="0"/>
  </r>
  <r>
    <n v="218"/>
    <d v="2011-01-10T00:00:00"/>
    <x v="0"/>
    <n v="0"/>
    <x v="0"/>
    <x v="8"/>
    <x v="0"/>
    <x v="2"/>
    <n v="2"/>
    <x v="16"/>
    <n v="0.1212"/>
    <n v="0.5"/>
    <n v="0.28360000000000002"/>
    <x v="17"/>
    <x v="103"/>
    <x v="104"/>
    <x v="1"/>
    <x v="0"/>
    <x v="2"/>
    <x v="0"/>
    <x v="1"/>
  </r>
  <r>
    <n v="219"/>
    <d v="2011-01-10T00:00:00"/>
    <x v="0"/>
    <n v="0"/>
    <x v="0"/>
    <x v="9"/>
    <x v="0"/>
    <x v="2"/>
    <n v="2"/>
    <x v="14"/>
    <n v="0.1212"/>
    <n v="0.5"/>
    <n v="0.25369999999999998"/>
    <x v="4"/>
    <x v="50"/>
    <x v="12"/>
    <x v="1"/>
    <x v="0"/>
    <x v="2"/>
    <x v="0"/>
    <x v="1"/>
  </r>
  <r>
    <n v="220"/>
    <d v="2011-01-10T00:00:00"/>
    <x v="0"/>
    <n v="0"/>
    <x v="0"/>
    <x v="10"/>
    <x v="0"/>
    <x v="2"/>
    <n v="2"/>
    <x v="14"/>
    <n v="0.1212"/>
    <n v="0.5"/>
    <n v="0.29849999999999999"/>
    <x v="3"/>
    <x v="17"/>
    <x v="35"/>
    <x v="1"/>
    <x v="0"/>
    <x v="2"/>
    <x v="0"/>
    <x v="1"/>
  </r>
  <r>
    <n v="221"/>
    <d v="2011-01-10T00:00:00"/>
    <x v="0"/>
    <n v="0"/>
    <x v="0"/>
    <x v="11"/>
    <x v="0"/>
    <x v="2"/>
    <n v="2"/>
    <x v="13"/>
    <n v="0.13639999999999999"/>
    <n v="0.47"/>
    <n v="0.28360000000000002"/>
    <x v="4"/>
    <x v="95"/>
    <x v="33"/>
    <x v="1"/>
    <x v="0"/>
    <x v="2"/>
    <x v="0"/>
    <x v="1"/>
  </r>
  <r>
    <n v="222"/>
    <d v="2011-01-10T00:00:00"/>
    <x v="0"/>
    <n v="0"/>
    <x v="0"/>
    <x v="12"/>
    <x v="0"/>
    <x v="2"/>
    <n v="2"/>
    <x v="2"/>
    <n v="0.18179999999999999"/>
    <n v="0.4"/>
    <n v="0.28360000000000002"/>
    <x v="2"/>
    <x v="12"/>
    <x v="46"/>
    <x v="1"/>
    <x v="0"/>
    <x v="2"/>
    <x v="0"/>
    <x v="1"/>
  </r>
  <r>
    <n v="223"/>
    <d v="2011-01-10T00:00:00"/>
    <x v="0"/>
    <n v="0"/>
    <x v="0"/>
    <x v="13"/>
    <x v="0"/>
    <x v="2"/>
    <n v="2"/>
    <x v="2"/>
    <n v="0.18179999999999999"/>
    <n v="0.4"/>
    <n v="0.28360000000000002"/>
    <x v="17"/>
    <x v="54"/>
    <x v="60"/>
    <x v="1"/>
    <x v="0"/>
    <x v="2"/>
    <x v="0"/>
    <x v="1"/>
  </r>
  <r>
    <n v="224"/>
    <d v="2011-01-10T00:00:00"/>
    <x v="0"/>
    <n v="0"/>
    <x v="0"/>
    <x v="14"/>
    <x v="0"/>
    <x v="2"/>
    <n v="2"/>
    <x v="2"/>
    <n v="0.19700000000000001"/>
    <n v="0.4"/>
    <n v="0.22389999999999999"/>
    <x v="3"/>
    <x v="12"/>
    <x v="105"/>
    <x v="1"/>
    <x v="0"/>
    <x v="2"/>
    <x v="0"/>
    <x v="1"/>
  </r>
  <r>
    <n v="225"/>
    <d v="2011-01-10T00:00:00"/>
    <x v="0"/>
    <n v="0"/>
    <x v="0"/>
    <x v="15"/>
    <x v="0"/>
    <x v="2"/>
    <n v="2"/>
    <x v="2"/>
    <n v="0.19700000000000001"/>
    <n v="0.4"/>
    <n v="0.22389999999999999"/>
    <x v="4"/>
    <x v="30"/>
    <x v="79"/>
    <x v="1"/>
    <x v="0"/>
    <x v="2"/>
    <x v="0"/>
    <x v="1"/>
  </r>
  <r>
    <n v="226"/>
    <d v="2011-01-10T00:00:00"/>
    <x v="0"/>
    <n v="0"/>
    <x v="0"/>
    <x v="16"/>
    <x v="0"/>
    <x v="2"/>
    <n v="1"/>
    <x v="2"/>
    <n v="0.21210000000000001"/>
    <n v="0.4"/>
    <n v="0.1343"/>
    <x v="17"/>
    <x v="14"/>
    <x v="30"/>
    <x v="0"/>
    <x v="0"/>
    <x v="2"/>
    <x v="0"/>
    <x v="0"/>
  </r>
  <r>
    <n v="227"/>
    <d v="2011-01-10T00:00:00"/>
    <x v="0"/>
    <n v="0"/>
    <x v="0"/>
    <x v="17"/>
    <x v="0"/>
    <x v="2"/>
    <n v="1"/>
    <x v="2"/>
    <n v="0.2273"/>
    <n v="0.4"/>
    <n v="0.1045"/>
    <x v="17"/>
    <x v="104"/>
    <x v="106"/>
    <x v="0"/>
    <x v="0"/>
    <x v="2"/>
    <x v="0"/>
    <x v="0"/>
  </r>
  <r>
    <n v="228"/>
    <d v="2011-01-10T00:00:00"/>
    <x v="0"/>
    <n v="0"/>
    <x v="0"/>
    <x v="18"/>
    <x v="0"/>
    <x v="2"/>
    <n v="1"/>
    <x v="2"/>
    <n v="0.19700000000000001"/>
    <n v="0.4"/>
    <n v="0.22389999999999999"/>
    <x v="5"/>
    <x v="105"/>
    <x v="107"/>
    <x v="0"/>
    <x v="0"/>
    <x v="2"/>
    <x v="0"/>
    <x v="0"/>
  </r>
  <r>
    <n v="229"/>
    <d v="2011-01-10T00:00:00"/>
    <x v="0"/>
    <n v="0"/>
    <x v="0"/>
    <x v="19"/>
    <x v="0"/>
    <x v="2"/>
    <n v="1"/>
    <x v="13"/>
    <n v="0.16669999999999999"/>
    <n v="0.47"/>
    <n v="0.16420000000000001"/>
    <x v="0"/>
    <x v="50"/>
    <x v="76"/>
    <x v="0"/>
    <x v="0"/>
    <x v="2"/>
    <x v="0"/>
    <x v="0"/>
  </r>
  <r>
    <n v="230"/>
    <d v="2011-01-10T00:00:00"/>
    <x v="0"/>
    <n v="0"/>
    <x v="0"/>
    <x v="20"/>
    <x v="0"/>
    <x v="2"/>
    <n v="1"/>
    <x v="13"/>
    <n v="0.16669999999999999"/>
    <n v="0.5"/>
    <n v="0.16420000000000001"/>
    <x v="5"/>
    <x v="26"/>
    <x v="30"/>
    <x v="0"/>
    <x v="0"/>
    <x v="2"/>
    <x v="0"/>
    <x v="0"/>
  </r>
  <r>
    <n v="231"/>
    <d v="2011-01-10T00:00:00"/>
    <x v="0"/>
    <n v="0"/>
    <x v="0"/>
    <x v="21"/>
    <x v="0"/>
    <x v="2"/>
    <n v="1"/>
    <x v="14"/>
    <n v="0.13639999999999999"/>
    <n v="0.59"/>
    <n v="0.19400000000000001"/>
    <x v="5"/>
    <x v="53"/>
    <x v="103"/>
    <x v="0"/>
    <x v="0"/>
    <x v="2"/>
    <x v="0"/>
    <x v="0"/>
  </r>
  <r>
    <n v="232"/>
    <d v="2011-01-10T00:00:00"/>
    <x v="0"/>
    <n v="0"/>
    <x v="0"/>
    <x v="22"/>
    <x v="0"/>
    <x v="2"/>
    <n v="1"/>
    <x v="14"/>
    <n v="0.1515"/>
    <n v="0.59"/>
    <n v="0.16420000000000001"/>
    <x v="4"/>
    <x v="97"/>
    <x v="108"/>
    <x v="0"/>
    <x v="0"/>
    <x v="2"/>
    <x v="0"/>
    <x v="0"/>
  </r>
  <r>
    <n v="233"/>
    <d v="2011-01-10T00:00:00"/>
    <x v="0"/>
    <n v="0"/>
    <x v="0"/>
    <x v="23"/>
    <x v="0"/>
    <x v="2"/>
    <n v="1"/>
    <x v="14"/>
    <n v="0.1515"/>
    <n v="0.59"/>
    <n v="0.16420000000000001"/>
    <x v="3"/>
    <x v="72"/>
    <x v="109"/>
    <x v="0"/>
    <x v="0"/>
    <x v="2"/>
    <x v="0"/>
    <x v="0"/>
  </r>
  <r>
    <n v="234"/>
    <d v="2011-01-11T00:00:00"/>
    <x v="0"/>
    <n v="0"/>
    <x v="0"/>
    <x v="0"/>
    <x v="0"/>
    <x v="3"/>
    <n v="1"/>
    <x v="14"/>
    <n v="0.16669999999999999"/>
    <n v="0.59"/>
    <n v="0.1045"/>
    <x v="4"/>
    <x v="3"/>
    <x v="47"/>
    <x v="0"/>
    <x v="0"/>
    <x v="3"/>
    <x v="0"/>
    <x v="0"/>
  </r>
  <r>
    <n v="235"/>
    <d v="2011-01-11T00:00:00"/>
    <x v="0"/>
    <n v="0"/>
    <x v="0"/>
    <x v="1"/>
    <x v="0"/>
    <x v="3"/>
    <n v="1"/>
    <x v="14"/>
    <n v="0.1515"/>
    <n v="0.59"/>
    <n v="0.16420000000000001"/>
    <x v="3"/>
    <x v="35"/>
    <x v="6"/>
    <x v="0"/>
    <x v="0"/>
    <x v="3"/>
    <x v="0"/>
    <x v="0"/>
  </r>
  <r>
    <n v="236"/>
    <d v="2011-01-11T00:00:00"/>
    <x v="0"/>
    <n v="0"/>
    <x v="0"/>
    <x v="2"/>
    <x v="0"/>
    <x v="3"/>
    <n v="2"/>
    <x v="13"/>
    <n v="0.1515"/>
    <n v="0.55000000000000004"/>
    <n v="0.19400000000000001"/>
    <x v="3"/>
    <x v="35"/>
    <x v="6"/>
    <x v="1"/>
    <x v="0"/>
    <x v="3"/>
    <x v="0"/>
    <x v="1"/>
  </r>
  <r>
    <n v="237"/>
    <d v="2011-01-11T00:00:00"/>
    <x v="0"/>
    <n v="0"/>
    <x v="0"/>
    <x v="5"/>
    <x v="0"/>
    <x v="3"/>
    <n v="2"/>
    <x v="13"/>
    <n v="0.18179999999999999"/>
    <n v="0.55000000000000004"/>
    <n v="0.1343"/>
    <x v="3"/>
    <x v="8"/>
    <x v="24"/>
    <x v="1"/>
    <x v="0"/>
    <x v="3"/>
    <x v="0"/>
    <x v="1"/>
  </r>
  <r>
    <n v="238"/>
    <d v="2011-01-11T00:00:00"/>
    <x v="0"/>
    <n v="0"/>
    <x v="0"/>
    <x v="6"/>
    <x v="0"/>
    <x v="3"/>
    <n v="2"/>
    <x v="13"/>
    <n v="0.18179999999999999"/>
    <n v="0.55000000000000004"/>
    <n v="0.1343"/>
    <x v="3"/>
    <x v="2"/>
    <x v="110"/>
    <x v="1"/>
    <x v="0"/>
    <x v="3"/>
    <x v="0"/>
    <x v="1"/>
  </r>
  <r>
    <n v="239"/>
    <d v="2011-01-11T00:00:00"/>
    <x v="0"/>
    <n v="0"/>
    <x v="0"/>
    <x v="7"/>
    <x v="0"/>
    <x v="3"/>
    <n v="2"/>
    <x v="13"/>
    <n v="0.2273"/>
    <n v="0.55000000000000004"/>
    <n v="0"/>
    <x v="4"/>
    <x v="106"/>
    <x v="111"/>
    <x v="1"/>
    <x v="0"/>
    <x v="3"/>
    <x v="0"/>
    <x v="1"/>
  </r>
  <r>
    <n v="240"/>
    <d v="2011-01-11T00:00:00"/>
    <x v="0"/>
    <n v="0"/>
    <x v="0"/>
    <x v="8"/>
    <x v="0"/>
    <x v="3"/>
    <n v="2"/>
    <x v="15"/>
    <n v="0.21210000000000001"/>
    <n v="0.51"/>
    <n v="8.9599999999999999E-2"/>
    <x v="0"/>
    <x v="107"/>
    <x v="112"/>
    <x v="1"/>
    <x v="0"/>
    <x v="3"/>
    <x v="0"/>
    <x v="1"/>
  </r>
  <r>
    <n v="241"/>
    <d v="2011-01-11T00:00:00"/>
    <x v="0"/>
    <n v="0"/>
    <x v="0"/>
    <x v="9"/>
    <x v="0"/>
    <x v="3"/>
    <n v="2"/>
    <x v="15"/>
    <n v="0.19700000000000001"/>
    <n v="0.51"/>
    <n v="0.16420000000000001"/>
    <x v="0"/>
    <x v="69"/>
    <x v="113"/>
    <x v="1"/>
    <x v="0"/>
    <x v="3"/>
    <x v="0"/>
    <x v="1"/>
  </r>
  <r>
    <n v="242"/>
    <d v="2011-01-11T00:00:00"/>
    <x v="0"/>
    <n v="0"/>
    <x v="0"/>
    <x v="10"/>
    <x v="0"/>
    <x v="3"/>
    <n v="2"/>
    <x v="2"/>
    <n v="0.21210000000000001"/>
    <n v="0.51"/>
    <n v="0.16420000000000001"/>
    <x v="0"/>
    <x v="82"/>
    <x v="60"/>
    <x v="1"/>
    <x v="0"/>
    <x v="3"/>
    <x v="0"/>
    <x v="1"/>
  </r>
  <r>
    <n v="243"/>
    <d v="2011-01-11T00:00:00"/>
    <x v="0"/>
    <n v="0"/>
    <x v="0"/>
    <x v="11"/>
    <x v="0"/>
    <x v="3"/>
    <n v="2"/>
    <x v="2"/>
    <n v="0.21210000000000001"/>
    <n v="0.47"/>
    <n v="0.1343"/>
    <x v="17"/>
    <x v="17"/>
    <x v="17"/>
    <x v="1"/>
    <x v="0"/>
    <x v="3"/>
    <x v="0"/>
    <x v="1"/>
  </r>
  <r>
    <n v="244"/>
    <d v="2011-01-11T00:00:00"/>
    <x v="0"/>
    <n v="0"/>
    <x v="0"/>
    <x v="12"/>
    <x v="0"/>
    <x v="3"/>
    <n v="2"/>
    <x v="2"/>
    <n v="0.2273"/>
    <n v="0.51"/>
    <n v="0.1045"/>
    <x v="4"/>
    <x v="11"/>
    <x v="52"/>
    <x v="1"/>
    <x v="0"/>
    <x v="3"/>
    <x v="0"/>
    <x v="1"/>
  </r>
  <r>
    <n v="245"/>
    <d v="2011-01-11T00:00:00"/>
    <x v="0"/>
    <n v="0"/>
    <x v="0"/>
    <x v="13"/>
    <x v="0"/>
    <x v="3"/>
    <n v="2"/>
    <x v="2"/>
    <n v="0.2273"/>
    <n v="0.59"/>
    <n v="8.9599999999999999E-2"/>
    <x v="15"/>
    <x v="24"/>
    <x v="46"/>
    <x v="1"/>
    <x v="0"/>
    <x v="3"/>
    <x v="0"/>
    <x v="1"/>
  </r>
  <r>
    <n v="246"/>
    <d v="2011-01-11T00:00:00"/>
    <x v="0"/>
    <n v="0"/>
    <x v="0"/>
    <x v="14"/>
    <x v="0"/>
    <x v="3"/>
    <n v="2"/>
    <x v="2"/>
    <n v="0.2273"/>
    <n v="0.59"/>
    <n v="8.9599999999999999E-2"/>
    <x v="0"/>
    <x v="91"/>
    <x v="55"/>
    <x v="1"/>
    <x v="0"/>
    <x v="3"/>
    <x v="0"/>
    <x v="1"/>
  </r>
  <r>
    <n v="247"/>
    <d v="2011-01-11T00:00:00"/>
    <x v="0"/>
    <n v="0"/>
    <x v="0"/>
    <x v="15"/>
    <x v="0"/>
    <x v="3"/>
    <n v="2"/>
    <x v="13"/>
    <n v="0.19700000000000001"/>
    <n v="0.8"/>
    <n v="8.9599999999999999E-2"/>
    <x v="4"/>
    <x v="108"/>
    <x v="105"/>
    <x v="1"/>
    <x v="0"/>
    <x v="3"/>
    <x v="0"/>
    <x v="1"/>
  </r>
  <r>
    <n v="248"/>
    <d v="2011-01-11T00:00:00"/>
    <x v="0"/>
    <n v="0"/>
    <x v="0"/>
    <x v="16"/>
    <x v="0"/>
    <x v="3"/>
    <n v="2"/>
    <x v="13"/>
    <n v="0.1515"/>
    <n v="0.86"/>
    <n v="0.22389999999999999"/>
    <x v="17"/>
    <x v="109"/>
    <x v="31"/>
    <x v="1"/>
    <x v="0"/>
    <x v="3"/>
    <x v="0"/>
    <x v="1"/>
  </r>
  <r>
    <n v="249"/>
    <d v="2011-01-11T00:00:00"/>
    <x v="0"/>
    <n v="0"/>
    <x v="0"/>
    <x v="17"/>
    <x v="0"/>
    <x v="3"/>
    <n v="2"/>
    <x v="13"/>
    <n v="0.1515"/>
    <n v="0.86"/>
    <n v="0.22389999999999999"/>
    <x v="15"/>
    <x v="110"/>
    <x v="114"/>
    <x v="1"/>
    <x v="0"/>
    <x v="3"/>
    <x v="0"/>
    <x v="1"/>
  </r>
  <r>
    <n v="250"/>
    <d v="2011-01-11T00:00:00"/>
    <x v="0"/>
    <n v="0"/>
    <x v="0"/>
    <x v="18"/>
    <x v="0"/>
    <x v="3"/>
    <n v="3"/>
    <x v="13"/>
    <n v="0.18179999999999999"/>
    <n v="0.93"/>
    <n v="0.1045"/>
    <x v="5"/>
    <x v="111"/>
    <x v="76"/>
    <x v="2"/>
    <x v="0"/>
    <x v="3"/>
    <x v="0"/>
    <x v="2"/>
  </r>
  <r>
    <n v="251"/>
    <d v="2011-01-11T00:00:00"/>
    <x v="0"/>
    <n v="0"/>
    <x v="0"/>
    <x v="19"/>
    <x v="0"/>
    <x v="3"/>
    <n v="3"/>
    <x v="13"/>
    <n v="0.2273"/>
    <n v="0.93"/>
    <n v="0"/>
    <x v="3"/>
    <x v="82"/>
    <x v="41"/>
    <x v="2"/>
    <x v="0"/>
    <x v="3"/>
    <x v="0"/>
    <x v="2"/>
  </r>
  <r>
    <n v="252"/>
    <d v="2011-01-11T00:00:00"/>
    <x v="0"/>
    <n v="0"/>
    <x v="0"/>
    <x v="20"/>
    <x v="0"/>
    <x v="3"/>
    <n v="3"/>
    <x v="13"/>
    <n v="0.1515"/>
    <n v="0.93"/>
    <n v="0.19400000000000001"/>
    <x v="3"/>
    <x v="1"/>
    <x v="2"/>
    <x v="2"/>
    <x v="0"/>
    <x v="3"/>
    <x v="0"/>
    <x v="2"/>
  </r>
  <r>
    <n v="253"/>
    <d v="2011-01-11T00:00:00"/>
    <x v="0"/>
    <n v="0"/>
    <x v="0"/>
    <x v="21"/>
    <x v="0"/>
    <x v="3"/>
    <n v="3"/>
    <x v="13"/>
    <n v="0.19700000000000001"/>
    <n v="0.86"/>
    <n v="8.9599999999999999E-2"/>
    <x v="3"/>
    <x v="32"/>
    <x v="25"/>
    <x v="2"/>
    <x v="0"/>
    <x v="3"/>
    <x v="0"/>
    <x v="2"/>
  </r>
  <r>
    <n v="254"/>
    <d v="2011-01-11T00:00:00"/>
    <x v="0"/>
    <n v="0"/>
    <x v="0"/>
    <x v="22"/>
    <x v="0"/>
    <x v="3"/>
    <n v="3"/>
    <x v="13"/>
    <n v="0.18179999999999999"/>
    <n v="0.93"/>
    <n v="0.1045"/>
    <x v="5"/>
    <x v="95"/>
    <x v="115"/>
    <x v="2"/>
    <x v="0"/>
    <x v="3"/>
    <x v="0"/>
    <x v="2"/>
  </r>
  <r>
    <n v="255"/>
    <d v="2011-01-11T00:00:00"/>
    <x v="0"/>
    <n v="0"/>
    <x v="0"/>
    <x v="23"/>
    <x v="0"/>
    <x v="3"/>
    <n v="3"/>
    <x v="13"/>
    <n v="0.19700000000000001"/>
    <n v="0.93"/>
    <n v="8.9599999999999999E-2"/>
    <x v="5"/>
    <x v="72"/>
    <x v="75"/>
    <x v="2"/>
    <x v="0"/>
    <x v="3"/>
    <x v="0"/>
    <x v="2"/>
  </r>
  <r>
    <n v="256"/>
    <d v="2011-01-12T00:00:00"/>
    <x v="0"/>
    <n v="0"/>
    <x v="0"/>
    <x v="0"/>
    <x v="0"/>
    <x v="4"/>
    <n v="2"/>
    <x v="13"/>
    <n v="0.19700000000000001"/>
    <n v="0.86"/>
    <n v="8.9599999999999999E-2"/>
    <x v="3"/>
    <x v="7"/>
    <x v="85"/>
    <x v="1"/>
    <x v="0"/>
    <x v="4"/>
    <x v="0"/>
    <x v="1"/>
  </r>
  <r>
    <n v="257"/>
    <d v="2011-01-12T00:00:00"/>
    <x v="0"/>
    <n v="0"/>
    <x v="0"/>
    <x v="1"/>
    <x v="0"/>
    <x v="4"/>
    <n v="2"/>
    <x v="13"/>
    <n v="0.18179999999999999"/>
    <n v="0.86"/>
    <n v="0.1045"/>
    <x v="3"/>
    <x v="8"/>
    <x v="24"/>
    <x v="1"/>
    <x v="0"/>
    <x v="4"/>
    <x v="0"/>
    <x v="1"/>
  </r>
  <r>
    <n v="258"/>
    <d v="2011-01-12T00:00:00"/>
    <x v="0"/>
    <n v="0"/>
    <x v="0"/>
    <x v="2"/>
    <x v="0"/>
    <x v="4"/>
    <n v="1"/>
    <x v="14"/>
    <n v="0.1515"/>
    <n v="0.86"/>
    <n v="0.1343"/>
    <x v="3"/>
    <x v="4"/>
    <x v="4"/>
    <x v="0"/>
    <x v="0"/>
    <x v="4"/>
    <x v="0"/>
    <x v="0"/>
  </r>
  <r>
    <n v="259"/>
    <d v="2011-01-12T00:00:00"/>
    <x v="0"/>
    <n v="0"/>
    <x v="0"/>
    <x v="5"/>
    <x v="0"/>
    <x v="4"/>
    <n v="1"/>
    <x v="14"/>
    <n v="0.1515"/>
    <n v="0.86"/>
    <n v="0.16420000000000001"/>
    <x v="3"/>
    <x v="34"/>
    <x v="36"/>
    <x v="0"/>
    <x v="0"/>
    <x v="4"/>
    <x v="0"/>
    <x v="0"/>
  </r>
  <r>
    <n v="260"/>
    <d v="2011-01-12T00:00:00"/>
    <x v="0"/>
    <n v="0"/>
    <x v="0"/>
    <x v="6"/>
    <x v="0"/>
    <x v="4"/>
    <n v="1"/>
    <x v="16"/>
    <n v="0.1515"/>
    <n v="0.93"/>
    <n v="0.1343"/>
    <x v="3"/>
    <x v="20"/>
    <x v="0"/>
    <x v="0"/>
    <x v="0"/>
    <x v="4"/>
    <x v="0"/>
    <x v="0"/>
  </r>
  <r>
    <n v="261"/>
    <d v="2011-01-12T00:00:00"/>
    <x v="0"/>
    <n v="0"/>
    <x v="0"/>
    <x v="7"/>
    <x v="0"/>
    <x v="4"/>
    <n v="1"/>
    <x v="14"/>
    <n v="0.1515"/>
    <n v="0.69"/>
    <n v="0.1343"/>
    <x v="3"/>
    <x v="25"/>
    <x v="60"/>
    <x v="0"/>
    <x v="0"/>
    <x v="4"/>
    <x v="0"/>
    <x v="0"/>
  </r>
  <r>
    <n v="262"/>
    <d v="2011-01-12T00:00:00"/>
    <x v="0"/>
    <n v="0"/>
    <x v="0"/>
    <x v="8"/>
    <x v="0"/>
    <x v="4"/>
    <n v="1"/>
    <x v="13"/>
    <n v="0.16669999999999999"/>
    <n v="0.59"/>
    <n v="0.16420000000000001"/>
    <x v="0"/>
    <x v="85"/>
    <x v="116"/>
    <x v="0"/>
    <x v="0"/>
    <x v="4"/>
    <x v="0"/>
    <x v="0"/>
  </r>
  <r>
    <n v="263"/>
    <d v="2011-01-12T00:00:00"/>
    <x v="0"/>
    <n v="0"/>
    <x v="0"/>
    <x v="9"/>
    <x v="0"/>
    <x v="4"/>
    <n v="1"/>
    <x v="13"/>
    <n v="0.13639999999999999"/>
    <n v="0.59"/>
    <n v="0.32840000000000003"/>
    <x v="0"/>
    <x v="78"/>
    <x v="117"/>
    <x v="0"/>
    <x v="0"/>
    <x v="4"/>
    <x v="0"/>
    <x v="0"/>
  </r>
  <r>
    <n v="264"/>
    <d v="2011-01-12T00:00:00"/>
    <x v="0"/>
    <n v="0"/>
    <x v="0"/>
    <x v="10"/>
    <x v="0"/>
    <x v="4"/>
    <n v="1"/>
    <x v="15"/>
    <n v="0.18179999999999999"/>
    <n v="0.55000000000000004"/>
    <n v="0.22389999999999999"/>
    <x v="3"/>
    <x v="87"/>
    <x v="21"/>
    <x v="0"/>
    <x v="0"/>
    <x v="4"/>
    <x v="0"/>
    <x v="0"/>
  </r>
  <r>
    <n v="265"/>
    <d v="2011-01-12T00:00:00"/>
    <x v="0"/>
    <n v="0"/>
    <x v="0"/>
    <x v="11"/>
    <x v="0"/>
    <x v="4"/>
    <n v="1"/>
    <x v="2"/>
    <n v="0.18179999999999999"/>
    <n v="0.51"/>
    <n v="0.3881"/>
    <x v="0"/>
    <x v="1"/>
    <x v="17"/>
    <x v="0"/>
    <x v="0"/>
    <x v="4"/>
    <x v="0"/>
    <x v="0"/>
  </r>
  <r>
    <n v="266"/>
    <d v="2011-01-12T00:00:00"/>
    <x v="0"/>
    <n v="0"/>
    <x v="0"/>
    <x v="12"/>
    <x v="0"/>
    <x v="4"/>
    <n v="1"/>
    <x v="2"/>
    <n v="0.1515"/>
    <n v="0.47"/>
    <n v="0.58209999999999995"/>
    <x v="0"/>
    <x v="15"/>
    <x v="97"/>
    <x v="0"/>
    <x v="0"/>
    <x v="4"/>
    <x v="0"/>
    <x v="0"/>
  </r>
  <r>
    <n v="267"/>
    <d v="2011-01-12T00:00:00"/>
    <x v="0"/>
    <n v="0"/>
    <x v="0"/>
    <x v="13"/>
    <x v="0"/>
    <x v="4"/>
    <n v="1"/>
    <x v="1"/>
    <n v="0.19700000000000001"/>
    <n v="0.44"/>
    <n v="0.35820000000000002"/>
    <x v="3"/>
    <x v="47"/>
    <x v="99"/>
    <x v="0"/>
    <x v="0"/>
    <x v="4"/>
    <x v="0"/>
    <x v="0"/>
  </r>
  <r>
    <n v="268"/>
    <d v="2011-01-12T00:00:00"/>
    <x v="0"/>
    <n v="0"/>
    <x v="0"/>
    <x v="14"/>
    <x v="0"/>
    <x v="4"/>
    <n v="1"/>
    <x v="2"/>
    <n v="0.18179999999999999"/>
    <n v="0.47"/>
    <n v="0.32840000000000003"/>
    <x v="3"/>
    <x v="100"/>
    <x v="40"/>
    <x v="0"/>
    <x v="0"/>
    <x v="4"/>
    <x v="0"/>
    <x v="0"/>
  </r>
  <r>
    <n v="269"/>
    <d v="2011-01-12T00:00:00"/>
    <x v="0"/>
    <n v="0"/>
    <x v="0"/>
    <x v="15"/>
    <x v="0"/>
    <x v="4"/>
    <n v="1"/>
    <x v="2"/>
    <n v="0.16669999999999999"/>
    <n v="0.47"/>
    <n v="0.41789999999999999"/>
    <x v="5"/>
    <x v="41"/>
    <x v="99"/>
    <x v="0"/>
    <x v="0"/>
    <x v="4"/>
    <x v="0"/>
    <x v="0"/>
  </r>
  <r>
    <n v="270"/>
    <d v="2011-01-12T00:00:00"/>
    <x v="0"/>
    <n v="0"/>
    <x v="0"/>
    <x v="16"/>
    <x v="0"/>
    <x v="4"/>
    <n v="1"/>
    <x v="1"/>
    <n v="0.19700000000000001"/>
    <n v="0.44"/>
    <n v="0.32840000000000003"/>
    <x v="2"/>
    <x v="36"/>
    <x v="118"/>
    <x v="0"/>
    <x v="0"/>
    <x v="4"/>
    <x v="0"/>
    <x v="0"/>
  </r>
  <r>
    <n v="271"/>
    <d v="2011-01-12T00:00:00"/>
    <x v="0"/>
    <n v="0"/>
    <x v="0"/>
    <x v="17"/>
    <x v="0"/>
    <x v="4"/>
    <n v="1"/>
    <x v="2"/>
    <n v="0.18179999999999999"/>
    <n v="0.47"/>
    <n v="0.35820000000000002"/>
    <x v="3"/>
    <x v="112"/>
    <x v="119"/>
    <x v="0"/>
    <x v="0"/>
    <x v="4"/>
    <x v="0"/>
    <x v="0"/>
  </r>
  <r>
    <n v="272"/>
    <d v="2011-01-12T00:00:00"/>
    <x v="0"/>
    <n v="0"/>
    <x v="0"/>
    <x v="18"/>
    <x v="0"/>
    <x v="4"/>
    <n v="1"/>
    <x v="2"/>
    <n v="0.1515"/>
    <n v="0.47"/>
    <n v="0.52239999999999998"/>
    <x v="4"/>
    <x v="113"/>
    <x v="120"/>
    <x v="0"/>
    <x v="0"/>
    <x v="4"/>
    <x v="0"/>
    <x v="0"/>
  </r>
  <r>
    <n v="273"/>
    <d v="2011-01-12T00:00:00"/>
    <x v="0"/>
    <n v="0"/>
    <x v="0"/>
    <x v="19"/>
    <x v="0"/>
    <x v="4"/>
    <n v="1"/>
    <x v="15"/>
    <n v="0.1515"/>
    <n v="0.47"/>
    <n v="0.41789999999999999"/>
    <x v="5"/>
    <x v="70"/>
    <x v="56"/>
    <x v="0"/>
    <x v="0"/>
    <x v="4"/>
    <x v="0"/>
    <x v="0"/>
  </r>
  <r>
    <n v="274"/>
    <d v="2011-01-12T00:00:00"/>
    <x v="0"/>
    <n v="0"/>
    <x v="0"/>
    <x v="20"/>
    <x v="0"/>
    <x v="4"/>
    <n v="1"/>
    <x v="13"/>
    <n v="0.13639999999999999"/>
    <n v="0.5"/>
    <n v="0.32840000000000003"/>
    <x v="4"/>
    <x v="25"/>
    <x v="10"/>
    <x v="0"/>
    <x v="0"/>
    <x v="4"/>
    <x v="0"/>
    <x v="0"/>
  </r>
  <r>
    <n v="275"/>
    <d v="2011-01-12T00:00:00"/>
    <x v="0"/>
    <n v="0"/>
    <x v="0"/>
    <x v="21"/>
    <x v="0"/>
    <x v="4"/>
    <n v="1"/>
    <x v="13"/>
    <n v="0.13639999999999999"/>
    <n v="0.55000000000000004"/>
    <n v="0.32840000000000003"/>
    <x v="3"/>
    <x v="77"/>
    <x v="52"/>
    <x v="0"/>
    <x v="0"/>
    <x v="4"/>
    <x v="0"/>
    <x v="0"/>
  </r>
  <r>
    <n v="276"/>
    <d v="2011-01-12T00:00:00"/>
    <x v="0"/>
    <n v="0"/>
    <x v="0"/>
    <x v="22"/>
    <x v="0"/>
    <x v="4"/>
    <n v="1"/>
    <x v="13"/>
    <n v="0.1212"/>
    <n v="0.55000000000000004"/>
    <n v="0.44779999999999998"/>
    <x v="5"/>
    <x v="1"/>
    <x v="63"/>
    <x v="0"/>
    <x v="0"/>
    <x v="4"/>
    <x v="0"/>
    <x v="0"/>
  </r>
  <r>
    <n v="277"/>
    <d v="2011-01-12T00:00:00"/>
    <x v="0"/>
    <n v="0"/>
    <x v="0"/>
    <x v="23"/>
    <x v="0"/>
    <x v="4"/>
    <n v="1"/>
    <x v="14"/>
    <n v="0.1061"/>
    <n v="0.59"/>
    <n v="0.41789999999999999"/>
    <x v="5"/>
    <x v="23"/>
    <x v="25"/>
    <x v="0"/>
    <x v="0"/>
    <x v="4"/>
    <x v="0"/>
    <x v="0"/>
  </r>
  <r>
    <n v="278"/>
    <d v="2011-01-13T00:00:00"/>
    <x v="0"/>
    <n v="0"/>
    <x v="0"/>
    <x v="0"/>
    <x v="0"/>
    <x v="5"/>
    <n v="1"/>
    <x v="14"/>
    <n v="0.1212"/>
    <n v="0.59"/>
    <n v="0.28360000000000002"/>
    <x v="5"/>
    <x v="8"/>
    <x v="85"/>
    <x v="0"/>
    <x v="0"/>
    <x v="5"/>
    <x v="0"/>
    <x v="0"/>
  </r>
  <r>
    <n v="279"/>
    <d v="2011-01-13T00:00:00"/>
    <x v="0"/>
    <n v="0"/>
    <x v="0"/>
    <x v="1"/>
    <x v="0"/>
    <x v="5"/>
    <n v="1"/>
    <x v="14"/>
    <n v="0.1212"/>
    <n v="0.5"/>
    <n v="0.28360000000000002"/>
    <x v="3"/>
    <x v="6"/>
    <x v="5"/>
    <x v="0"/>
    <x v="0"/>
    <x v="5"/>
    <x v="0"/>
    <x v="0"/>
  </r>
  <r>
    <n v="280"/>
    <d v="2011-01-13T00:00:00"/>
    <x v="0"/>
    <n v="0"/>
    <x v="0"/>
    <x v="2"/>
    <x v="0"/>
    <x v="5"/>
    <n v="1"/>
    <x v="14"/>
    <n v="0.1212"/>
    <n v="0.5"/>
    <n v="0.35820000000000002"/>
    <x v="3"/>
    <x v="6"/>
    <x v="5"/>
    <x v="0"/>
    <x v="0"/>
    <x v="5"/>
    <x v="0"/>
    <x v="0"/>
  </r>
  <r>
    <n v="281"/>
    <d v="2011-01-13T00:00:00"/>
    <x v="0"/>
    <n v="0"/>
    <x v="0"/>
    <x v="3"/>
    <x v="0"/>
    <x v="5"/>
    <n v="1"/>
    <x v="14"/>
    <n v="0.1212"/>
    <n v="0.5"/>
    <n v="0.32840000000000003"/>
    <x v="3"/>
    <x v="35"/>
    <x v="6"/>
    <x v="0"/>
    <x v="0"/>
    <x v="5"/>
    <x v="0"/>
    <x v="0"/>
  </r>
  <r>
    <n v="282"/>
    <d v="2011-01-13T00:00:00"/>
    <x v="0"/>
    <n v="0"/>
    <x v="0"/>
    <x v="4"/>
    <x v="0"/>
    <x v="5"/>
    <n v="1"/>
    <x v="14"/>
    <n v="0.1212"/>
    <n v="0.5"/>
    <n v="0.25369999999999998"/>
    <x v="3"/>
    <x v="22"/>
    <x v="48"/>
    <x v="0"/>
    <x v="0"/>
    <x v="5"/>
    <x v="0"/>
    <x v="0"/>
  </r>
  <r>
    <n v="283"/>
    <d v="2011-01-13T00:00:00"/>
    <x v="0"/>
    <n v="0"/>
    <x v="0"/>
    <x v="5"/>
    <x v="0"/>
    <x v="5"/>
    <n v="1"/>
    <x v="14"/>
    <n v="0.1212"/>
    <n v="0.5"/>
    <n v="0.29849999999999999"/>
    <x v="3"/>
    <x v="35"/>
    <x v="6"/>
    <x v="0"/>
    <x v="0"/>
    <x v="5"/>
    <x v="0"/>
    <x v="0"/>
  </r>
  <r>
    <n v="284"/>
    <d v="2011-01-13T00:00:00"/>
    <x v="0"/>
    <n v="0"/>
    <x v="0"/>
    <x v="6"/>
    <x v="0"/>
    <x v="5"/>
    <n v="1"/>
    <x v="16"/>
    <n v="0.1515"/>
    <n v="0.54"/>
    <n v="0.1343"/>
    <x v="3"/>
    <x v="95"/>
    <x v="20"/>
    <x v="0"/>
    <x v="0"/>
    <x v="5"/>
    <x v="0"/>
    <x v="0"/>
  </r>
  <r>
    <n v="285"/>
    <d v="2011-01-13T00:00:00"/>
    <x v="0"/>
    <n v="0"/>
    <x v="0"/>
    <x v="7"/>
    <x v="0"/>
    <x v="5"/>
    <n v="1"/>
    <x v="16"/>
    <n v="0.1515"/>
    <n v="0.54"/>
    <n v="0.1343"/>
    <x v="3"/>
    <x v="109"/>
    <x v="44"/>
    <x v="0"/>
    <x v="0"/>
    <x v="5"/>
    <x v="0"/>
    <x v="0"/>
  </r>
  <r>
    <n v="286"/>
    <d v="2011-01-13T00:00:00"/>
    <x v="0"/>
    <n v="0"/>
    <x v="0"/>
    <x v="8"/>
    <x v="0"/>
    <x v="5"/>
    <n v="1"/>
    <x v="14"/>
    <n v="0.13639999999999999"/>
    <n v="0.5"/>
    <n v="0.19400000000000001"/>
    <x v="2"/>
    <x v="114"/>
    <x v="121"/>
    <x v="0"/>
    <x v="0"/>
    <x v="5"/>
    <x v="0"/>
    <x v="0"/>
  </r>
  <r>
    <n v="287"/>
    <d v="2011-01-13T00:00:00"/>
    <x v="0"/>
    <n v="0"/>
    <x v="0"/>
    <x v="9"/>
    <x v="0"/>
    <x v="5"/>
    <n v="1"/>
    <x v="14"/>
    <n v="0.1212"/>
    <n v="0.5"/>
    <n v="0.32840000000000003"/>
    <x v="4"/>
    <x v="115"/>
    <x v="119"/>
    <x v="0"/>
    <x v="0"/>
    <x v="5"/>
    <x v="0"/>
    <x v="0"/>
  </r>
  <r>
    <n v="288"/>
    <d v="2011-01-13T00:00:00"/>
    <x v="0"/>
    <n v="0"/>
    <x v="0"/>
    <x v="10"/>
    <x v="0"/>
    <x v="5"/>
    <n v="2"/>
    <x v="13"/>
    <n v="0.13639999999999999"/>
    <n v="0.5"/>
    <n v="0.35820000000000002"/>
    <x v="4"/>
    <x v="49"/>
    <x v="103"/>
    <x v="1"/>
    <x v="0"/>
    <x v="5"/>
    <x v="0"/>
    <x v="1"/>
  </r>
  <r>
    <n v="289"/>
    <d v="2011-01-13T00:00:00"/>
    <x v="0"/>
    <n v="0"/>
    <x v="0"/>
    <x v="11"/>
    <x v="0"/>
    <x v="5"/>
    <n v="2"/>
    <x v="2"/>
    <n v="0.16669999999999999"/>
    <n v="0.44"/>
    <n v="0.44779999999999998"/>
    <x v="17"/>
    <x v="39"/>
    <x v="18"/>
    <x v="1"/>
    <x v="0"/>
    <x v="5"/>
    <x v="0"/>
    <x v="1"/>
  </r>
  <r>
    <n v="290"/>
    <d v="2011-01-13T00:00:00"/>
    <x v="0"/>
    <n v="0"/>
    <x v="0"/>
    <x v="12"/>
    <x v="0"/>
    <x v="5"/>
    <n v="1"/>
    <x v="2"/>
    <n v="0.16669999999999999"/>
    <n v="0.44"/>
    <n v="0.41789999999999999"/>
    <x v="0"/>
    <x v="47"/>
    <x v="46"/>
    <x v="0"/>
    <x v="0"/>
    <x v="5"/>
    <x v="0"/>
    <x v="0"/>
  </r>
  <r>
    <n v="291"/>
    <d v="2011-01-13T00:00:00"/>
    <x v="0"/>
    <n v="0"/>
    <x v="0"/>
    <x v="13"/>
    <x v="0"/>
    <x v="5"/>
    <n v="1"/>
    <x v="1"/>
    <n v="0.19700000000000001"/>
    <n v="0.41"/>
    <n v="0.44779999999999998"/>
    <x v="4"/>
    <x v="38"/>
    <x v="56"/>
    <x v="0"/>
    <x v="0"/>
    <x v="5"/>
    <x v="0"/>
    <x v="0"/>
  </r>
  <r>
    <n v="292"/>
    <d v="2011-01-13T00:00:00"/>
    <x v="0"/>
    <n v="0"/>
    <x v="0"/>
    <x v="14"/>
    <x v="0"/>
    <x v="5"/>
    <n v="1"/>
    <x v="1"/>
    <n v="0.19700000000000001"/>
    <n v="0.41"/>
    <n v="0.3881"/>
    <x v="0"/>
    <x v="87"/>
    <x v="51"/>
    <x v="0"/>
    <x v="0"/>
    <x v="5"/>
    <x v="0"/>
    <x v="0"/>
  </r>
  <r>
    <n v="293"/>
    <d v="2011-01-13T00:00:00"/>
    <x v="0"/>
    <n v="0"/>
    <x v="0"/>
    <x v="15"/>
    <x v="0"/>
    <x v="5"/>
    <n v="1"/>
    <x v="0"/>
    <n v="0.21210000000000001"/>
    <n v="0.38"/>
    <n v="0.29849999999999999"/>
    <x v="2"/>
    <x v="11"/>
    <x v="122"/>
    <x v="0"/>
    <x v="0"/>
    <x v="5"/>
    <x v="0"/>
    <x v="0"/>
  </r>
  <r>
    <n v="294"/>
    <d v="2011-01-13T00:00:00"/>
    <x v="0"/>
    <n v="0"/>
    <x v="0"/>
    <x v="16"/>
    <x v="0"/>
    <x v="5"/>
    <n v="1"/>
    <x v="0"/>
    <n v="0.21210000000000001"/>
    <n v="0.38"/>
    <n v="0.35820000000000002"/>
    <x v="4"/>
    <x v="83"/>
    <x v="53"/>
    <x v="0"/>
    <x v="0"/>
    <x v="5"/>
    <x v="0"/>
    <x v="0"/>
  </r>
  <r>
    <n v="295"/>
    <d v="2011-01-13T00:00:00"/>
    <x v="0"/>
    <n v="0"/>
    <x v="0"/>
    <x v="17"/>
    <x v="0"/>
    <x v="5"/>
    <n v="1"/>
    <x v="2"/>
    <n v="0.18179999999999999"/>
    <n v="0.4"/>
    <n v="0.28360000000000002"/>
    <x v="17"/>
    <x v="81"/>
    <x v="123"/>
    <x v="0"/>
    <x v="0"/>
    <x v="5"/>
    <x v="0"/>
    <x v="0"/>
  </r>
  <r>
    <n v="296"/>
    <d v="2011-01-13T00:00:00"/>
    <x v="0"/>
    <n v="0"/>
    <x v="0"/>
    <x v="18"/>
    <x v="0"/>
    <x v="5"/>
    <n v="1"/>
    <x v="2"/>
    <n v="0.18179999999999999"/>
    <n v="0.4"/>
    <n v="0.32840000000000003"/>
    <x v="0"/>
    <x v="116"/>
    <x v="124"/>
    <x v="0"/>
    <x v="0"/>
    <x v="5"/>
    <x v="0"/>
    <x v="0"/>
  </r>
  <r>
    <n v="297"/>
    <d v="2011-01-13T00:00:00"/>
    <x v="0"/>
    <n v="0"/>
    <x v="0"/>
    <x v="19"/>
    <x v="0"/>
    <x v="5"/>
    <n v="1"/>
    <x v="13"/>
    <n v="0.1515"/>
    <n v="0.47"/>
    <n v="0.25369999999999998"/>
    <x v="5"/>
    <x v="52"/>
    <x v="111"/>
    <x v="0"/>
    <x v="0"/>
    <x v="5"/>
    <x v="0"/>
    <x v="0"/>
  </r>
  <r>
    <n v="298"/>
    <d v="2011-01-13T00:00:00"/>
    <x v="0"/>
    <n v="0"/>
    <x v="0"/>
    <x v="20"/>
    <x v="0"/>
    <x v="5"/>
    <n v="1"/>
    <x v="13"/>
    <n v="0.1515"/>
    <n v="0.47"/>
    <n v="0.22389999999999999"/>
    <x v="3"/>
    <x v="27"/>
    <x v="37"/>
    <x v="0"/>
    <x v="0"/>
    <x v="5"/>
    <x v="0"/>
    <x v="0"/>
  </r>
  <r>
    <n v="299"/>
    <d v="2011-01-13T00:00:00"/>
    <x v="0"/>
    <n v="0"/>
    <x v="0"/>
    <x v="21"/>
    <x v="0"/>
    <x v="5"/>
    <n v="1"/>
    <x v="14"/>
    <n v="0.1212"/>
    <n v="0.46"/>
    <n v="0.29849999999999999"/>
    <x v="3"/>
    <x v="71"/>
    <x v="1"/>
    <x v="0"/>
    <x v="0"/>
    <x v="5"/>
    <x v="0"/>
    <x v="0"/>
  </r>
  <r>
    <n v="300"/>
    <d v="2011-01-13T00:00:00"/>
    <x v="0"/>
    <n v="0"/>
    <x v="0"/>
    <x v="22"/>
    <x v="0"/>
    <x v="5"/>
    <n v="1"/>
    <x v="14"/>
    <n v="0.1212"/>
    <n v="0.46"/>
    <n v="0.32840000000000003"/>
    <x v="3"/>
    <x v="10"/>
    <x v="33"/>
    <x v="0"/>
    <x v="0"/>
    <x v="5"/>
    <x v="0"/>
    <x v="0"/>
  </r>
  <r>
    <n v="301"/>
    <d v="2011-01-13T00:00:00"/>
    <x v="0"/>
    <n v="0"/>
    <x v="0"/>
    <x v="23"/>
    <x v="0"/>
    <x v="5"/>
    <n v="1"/>
    <x v="16"/>
    <n v="0.13639999999999999"/>
    <n v="0.5"/>
    <n v="0.19400000000000001"/>
    <x v="5"/>
    <x v="88"/>
    <x v="93"/>
    <x v="0"/>
    <x v="0"/>
    <x v="5"/>
    <x v="0"/>
    <x v="0"/>
  </r>
  <r>
    <n v="302"/>
    <d v="2011-01-14T00:00:00"/>
    <x v="0"/>
    <n v="0"/>
    <x v="0"/>
    <x v="0"/>
    <x v="0"/>
    <x v="6"/>
    <n v="1"/>
    <x v="16"/>
    <n v="0.13639999999999999"/>
    <n v="0.5"/>
    <n v="0.19400000000000001"/>
    <x v="3"/>
    <x v="88"/>
    <x v="8"/>
    <x v="0"/>
    <x v="0"/>
    <x v="6"/>
    <x v="0"/>
    <x v="0"/>
  </r>
  <r>
    <n v="303"/>
    <d v="2011-01-14T00:00:00"/>
    <x v="0"/>
    <n v="0"/>
    <x v="0"/>
    <x v="1"/>
    <x v="0"/>
    <x v="6"/>
    <n v="1"/>
    <x v="18"/>
    <n v="0.1212"/>
    <n v="0.54"/>
    <n v="0.16420000000000001"/>
    <x v="3"/>
    <x v="34"/>
    <x v="36"/>
    <x v="0"/>
    <x v="0"/>
    <x v="6"/>
    <x v="0"/>
    <x v="0"/>
  </r>
  <r>
    <n v="304"/>
    <d v="2011-01-14T00:00:00"/>
    <x v="0"/>
    <n v="0"/>
    <x v="0"/>
    <x v="2"/>
    <x v="0"/>
    <x v="6"/>
    <n v="1"/>
    <x v="18"/>
    <n v="0.1212"/>
    <n v="0.54"/>
    <n v="0.1343"/>
    <x v="3"/>
    <x v="4"/>
    <x v="4"/>
    <x v="0"/>
    <x v="0"/>
    <x v="6"/>
    <x v="0"/>
    <x v="0"/>
  </r>
  <r>
    <n v="305"/>
    <d v="2011-01-14T00:00:00"/>
    <x v="0"/>
    <n v="0"/>
    <x v="0"/>
    <x v="3"/>
    <x v="0"/>
    <x v="6"/>
    <n v="1"/>
    <x v="18"/>
    <n v="0.13639999999999999"/>
    <n v="0.54"/>
    <n v="0.1045"/>
    <x v="3"/>
    <x v="4"/>
    <x v="4"/>
    <x v="0"/>
    <x v="0"/>
    <x v="6"/>
    <x v="0"/>
    <x v="0"/>
  </r>
  <r>
    <n v="306"/>
    <d v="2011-01-14T00:00:00"/>
    <x v="0"/>
    <n v="0"/>
    <x v="0"/>
    <x v="5"/>
    <x v="0"/>
    <x v="6"/>
    <n v="1"/>
    <x v="18"/>
    <n v="0.13639999999999999"/>
    <n v="0.54"/>
    <n v="8.9599999999999999E-2"/>
    <x v="3"/>
    <x v="21"/>
    <x v="7"/>
    <x v="0"/>
    <x v="0"/>
    <x v="6"/>
    <x v="0"/>
    <x v="0"/>
  </r>
  <r>
    <n v="307"/>
    <d v="2011-01-14T00:00:00"/>
    <x v="0"/>
    <n v="0"/>
    <x v="0"/>
    <x v="6"/>
    <x v="0"/>
    <x v="6"/>
    <n v="1"/>
    <x v="18"/>
    <n v="0.18179999999999999"/>
    <n v="0.54"/>
    <n v="0"/>
    <x v="3"/>
    <x v="19"/>
    <x v="22"/>
    <x v="0"/>
    <x v="0"/>
    <x v="6"/>
    <x v="0"/>
    <x v="0"/>
  </r>
  <r>
    <n v="308"/>
    <d v="2011-01-14T00:00:00"/>
    <x v="0"/>
    <n v="0"/>
    <x v="0"/>
    <x v="7"/>
    <x v="0"/>
    <x v="6"/>
    <n v="1"/>
    <x v="18"/>
    <n v="0.1212"/>
    <n v="0.74"/>
    <n v="0.16420000000000001"/>
    <x v="3"/>
    <x v="14"/>
    <x v="27"/>
    <x v="0"/>
    <x v="0"/>
    <x v="6"/>
    <x v="0"/>
    <x v="0"/>
  </r>
  <r>
    <n v="309"/>
    <d v="2011-01-14T00:00:00"/>
    <x v="0"/>
    <n v="0"/>
    <x v="0"/>
    <x v="8"/>
    <x v="0"/>
    <x v="6"/>
    <n v="1"/>
    <x v="16"/>
    <n v="0.16669999999999999"/>
    <n v="0.68"/>
    <n v="0"/>
    <x v="4"/>
    <x v="117"/>
    <x v="125"/>
    <x v="0"/>
    <x v="0"/>
    <x v="6"/>
    <x v="0"/>
    <x v="0"/>
  </r>
  <r>
    <n v="310"/>
    <d v="2011-01-14T00:00:00"/>
    <x v="0"/>
    <n v="0"/>
    <x v="0"/>
    <x v="9"/>
    <x v="0"/>
    <x v="6"/>
    <n v="1"/>
    <x v="14"/>
    <n v="0.1515"/>
    <n v="0.69"/>
    <n v="0.1343"/>
    <x v="3"/>
    <x v="118"/>
    <x v="126"/>
    <x v="0"/>
    <x v="0"/>
    <x v="6"/>
    <x v="0"/>
    <x v="0"/>
  </r>
  <r>
    <n v="311"/>
    <d v="2011-01-14T00:00:00"/>
    <x v="0"/>
    <n v="0"/>
    <x v="0"/>
    <x v="10"/>
    <x v="0"/>
    <x v="6"/>
    <n v="1"/>
    <x v="15"/>
    <n v="0.18179999999999999"/>
    <n v="0.55000000000000004"/>
    <n v="0.19400000000000001"/>
    <x v="17"/>
    <x v="71"/>
    <x v="40"/>
    <x v="0"/>
    <x v="0"/>
    <x v="6"/>
    <x v="0"/>
    <x v="0"/>
  </r>
  <r>
    <n v="312"/>
    <d v="2011-01-14T00:00:00"/>
    <x v="0"/>
    <n v="0"/>
    <x v="0"/>
    <x v="11"/>
    <x v="0"/>
    <x v="6"/>
    <n v="1"/>
    <x v="15"/>
    <n v="0.16669999999999999"/>
    <n v="0.51"/>
    <n v="0.28360000000000002"/>
    <x v="15"/>
    <x v="12"/>
    <x v="26"/>
    <x v="0"/>
    <x v="0"/>
    <x v="6"/>
    <x v="0"/>
    <x v="0"/>
  </r>
  <r>
    <n v="313"/>
    <d v="2011-01-14T00:00:00"/>
    <x v="0"/>
    <n v="0"/>
    <x v="0"/>
    <x v="12"/>
    <x v="0"/>
    <x v="6"/>
    <n v="1"/>
    <x v="2"/>
    <n v="0.19700000000000001"/>
    <n v="0.44"/>
    <n v="0.25369999999999998"/>
    <x v="4"/>
    <x v="79"/>
    <x v="42"/>
    <x v="0"/>
    <x v="0"/>
    <x v="6"/>
    <x v="0"/>
    <x v="0"/>
  </r>
  <r>
    <n v="314"/>
    <d v="2011-01-14T00:00:00"/>
    <x v="0"/>
    <n v="0"/>
    <x v="0"/>
    <x v="13"/>
    <x v="0"/>
    <x v="6"/>
    <n v="1"/>
    <x v="1"/>
    <n v="0.19700000000000001"/>
    <n v="0.37"/>
    <n v="0.3881"/>
    <x v="17"/>
    <x v="26"/>
    <x v="43"/>
    <x v="0"/>
    <x v="0"/>
    <x v="6"/>
    <x v="0"/>
    <x v="0"/>
  </r>
  <r>
    <n v="315"/>
    <d v="2011-01-14T00:00:00"/>
    <x v="0"/>
    <n v="0"/>
    <x v="0"/>
    <x v="14"/>
    <x v="0"/>
    <x v="6"/>
    <n v="1"/>
    <x v="1"/>
    <n v="0.21210000000000001"/>
    <n v="0.41"/>
    <n v="0.28360000000000002"/>
    <x v="2"/>
    <x v="79"/>
    <x v="37"/>
    <x v="0"/>
    <x v="0"/>
    <x v="6"/>
    <x v="0"/>
    <x v="0"/>
  </r>
  <r>
    <n v="316"/>
    <d v="2011-01-14T00:00:00"/>
    <x v="0"/>
    <n v="0"/>
    <x v="0"/>
    <x v="15"/>
    <x v="0"/>
    <x v="6"/>
    <n v="1"/>
    <x v="0"/>
    <n v="0.2424"/>
    <n v="0.38"/>
    <n v="0.16420000000000001"/>
    <x v="14"/>
    <x v="79"/>
    <x v="118"/>
    <x v="0"/>
    <x v="0"/>
    <x v="6"/>
    <x v="0"/>
    <x v="0"/>
  </r>
  <r>
    <n v="317"/>
    <d v="2011-01-14T00:00:00"/>
    <x v="0"/>
    <n v="0"/>
    <x v="0"/>
    <x v="16"/>
    <x v="0"/>
    <x v="6"/>
    <n v="1"/>
    <x v="1"/>
    <n v="0.2424"/>
    <n v="0.41"/>
    <n v="0.1045"/>
    <x v="0"/>
    <x v="61"/>
    <x v="127"/>
    <x v="0"/>
    <x v="0"/>
    <x v="6"/>
    <x v="0"/>
    <x v="0"/>
  </r>
  <r>
    <n v="318"/>
    <d v="2011-01-14T00:00:00"/>
    <x v="0"/>
    <n v="0"/>
    <x v="0"/>
    <x v="17"/>
    <x v="0"/>
    <x v="6"/>
    <n v="1"/>
    <x v="1"/>
    <n v="0.2273"/>
    <n v="0.41"/>
    <n v="0.16420000000000001"/>
    <x v="17"/>
    <x v="119"/>
    <x v="128"/>
    <x v="0"/>
    <x v="0"/>
    <x v="6"/>
    <x v="0"/>
    <x v="0"/>
  </r>
  <r>
    <n v="319"/>
    <d v="2011-01-14T00:00:00"/>
    <x v="0"/>
    <n v="0"/>
    <x v="0"/>
    <x v="18"/>
    <x v="0"/>
    <x v="6"/>
    <n v="1"/>
    <x v="2"/>
    <n v="0.2576"/>
    <n v="0.47"/>
    <n v="0"/>
    <x v="2"/>
    <x v="120"/>
    <x v="119"/>
    <x v="0"/>
    <x v="0"/>
    <x v="6"/>
    <x v="0"/>
    <x v="0"/>
  </r>
  <r>
    <n v="320"/>
    <d v="2011-01-14T00:00:00"/>
    <x v="0"/>
    <n v="0"/>
    <x v="0"/>
    <x v="19"/>
    <x v="0"/>
    <x v="6"/>
    <n v="1"/>
    <x v="13"/>
    <n v="0.19700000000000001"/>
    <n v="0.59"/>
    <n v="8.9599999999999999E-2"/>
    <x v="0"/>
    <x v="121"/>
    <x v="101"/>
    <x v="0"/>
    <x v="0"/>
    <x v="6"/>
    <x v="0"/>
    <x v="0"/>
  </r>
  <r>
    <n v="321"/>
    <d v="2011-01-14T00:00:00"/>
    <x v="0"/>
    <n v="0"/>
    <x v="0"/>
    <x v="20"/>
    <x v="0"/>
    <x v="6"/>
    <n v="1"/>
    <x v="15"/>
    <n v="0.2424"/>
    <n v="0.59"/>
    <n v="0"/>
    <x v="3"/>
    <x v="56"/>
    <x v="118"/>
    <x v="0"/>
    <x v="0"/>
    <x v="6"/>
    <x v="0"/>
    <x v="0"/>
  </r>
  <r>
    <n v="322"/>
    <d v="2011-01-14T00:00:00"/>
    <x v="0"/>
    <n v="0"/>
    <x v="0"/>
    <x v="21"/>
    <x v="0"/>
    <x v="6"/>
    <n v="1"/>
    <x v="13"/>
    <n v="0.2273"/>
    <n v="0.69"/>
    <n v="0"/>
    <x v="17"/>
    <x v="41"/>
    <x v="46"/>
    <x v="0"/>
    <x v="0"/>
    <x v="6"/>
    <x v="0"/>
    <x v="0"/>
  </r>
  <r>
    <n v="323"/>
    <d v="2011-01-14T00:00:00"/>
    <x v="0"/>
    <n v="0"/>
    <x v="0"/>
    <x v="22"/>
    <x v="0"/>
    <x v="6"/>
    <n v="2"/>
    <x v="13"/>
    <n v="0.2273"/>
    <n v="0.69"/>
    <n v="0"/>
    <x v="4"/>
    <x v="60"/>
    <x v="9"/>
    <x v="1"/>
    <x v="0"/>
    <x v="6"/>
    <x v="0"/>
    <x v="1"/>
  </r>
  <r>
    <n v="324"/>
    <d v="2011-01-14T00:00:00"/>
    <x v="0"/>
    <n v="0"/>
    <x v="0"/>
    <x v="23"/>
    <x v="0"/>
    <x v="6"/>
    <n v="2"/>
    <x v="15"/>
    <n v="0.2424"/>
    <n v="0.55000000000000004"/>
    <n v="0"/>
    <x v="5"/>
    <x v="16"/>
    <x v="110"/>
    <x v="1"/>
    <x v="0"/>
    <x v="6"/>
    <x v="0"/>
    <x v="1"/>
  </r>
  <r>
    <n v="325"/>
    <d v="2011-01-15T00:00:00"/>
    <x v="0"/>
    <n v="0"/>
    <x v="0"/>
    <x v="0"/>
    <x v="0"/>
    <x v="0"/>
    <n v="1"/>
    <x v="15"/>
    <n v="0.2424"/>
    <n v="0.55000000000000004"/>
    <n v="0"/>
    <x v="0"/>
    <x v="18"/>
    <x v="20"/>
    <x v="0"/>
    <x v="0"/>
    <x v="0"/>
    <x v="0"/>
    <x v="0"/>
  </r>
  <r>
    <n v="326"/>
    <d v="2011-01-15T00:00:00"/>
    <x v="0"/>
    <n v="0"/>
    <x v="0"/>
    <x v="1"/>
    <x v="0"/>
    <x v="0"/>
    <n v="2"/>
    <x v="13"/>
    <n v="0.19700000000000001"/>
    <n v="0.59"/>
    <n v="8.9599999999999999E-2"/>
    <x v="4"/>
    <x v="72"/>
    <x v="25"/>
    <x v="1"/>
    <x v="0"/>
    <x v="0"/>
    <x v="0"/>
    <x v="1"/>
  </r>
  <r>
    <n v="327"/>
    <d v="2011-01-15T00:00:00"/>
    <x v="0"/>
    <n v="0"/>
    <x v="0"/>
    <x v="2"/>
    <x v="0"/>
    <x v="0"/>
    <n v="2"/>
    <x v="13"/>
    <n v="0.19700000000000001"/>
    <n v="0.59"/>
    <n v="8.9599999999999999E-2"/>
    <x v="3"/>
    <x v="98"/>
    <x v="47"/>
    <x v="1"/>
    <x v="0"/>
    <x v="0"/>
    <x v="0"/>
    <x v="1"/>
  </r>
  <r>
    <n v="328"/>
    <d v="2011-01-15T00:00:00"/>
    <x v="0"/>
    <n v="0"/>
    <x v="0"/>
    <x v="3"/>
    <x v="0"/>
    <x v="0"/>
    <n v="2"/>
    <x v="13"/>
    <n v="0.2273"/>
    <n v="0.59"/>
    <n v="0"/>
    <x v="5"/>
    <x v="7"/>
    <x v="7"/>
    <x v="1"/>
    <x v="0"/>
    <x v="0"/>
    <x v="0"/>
    <x v="1"/>
  </r>
  <r>
    <n v="329"/>
    <d v="2011-01-15T00:00:00"/>
    <x v="0"/>
    <n v="0"/>
    <x v="0"/>
    <x v="4"/>
    <x v="0"/>
    <x v="0"/>
    <n v="2"/>
    <x v="13"/>
    <n v="0.2273"/>
    <n v="0.59"/>
    <n v="0"/>
    <x v="3"/>
    <x v="34"/>
    <x v="36"/>
    <x v="1"/>
    <x v="0"/>
    <x v="0"/>
    <x v="0"/>
    <x v="1"/>
  </r>
  <r>
    <n v="330"/>
    <d v="2011-01-15T00:00:00"/>
    <x v="0"/>
    <n v="0"/>
    <x v="0"/>
    <x v="5"/>
    <x v="0"/>
    <x v="0"/>
    <n v="1"/>
    <x v="13"/>
    <n v="0.2273"/>
    <n v="0.59"/>
    <n v="0"/>
    <x v="3"/>
    <x v="4"/>
    <x v="4"/>
    <x v="0"/>
    <x v="0"/>
    <x v="0"/>
    <x v="0"/>
    <x v="0"/>
  </r>
  <r>
    <n v="331"/>
    <d v="2011-01-15T00:00:00"/>
    <x v="0"/>
    <n v="0"/>
    <x v="0"/>
    <x v="6"/>
    <x v="0"/>
    <x v="0"/>
    <n v="1"/>
    <x v="14"/>
    <n v="0.16669999999999999"/>
    <n v="0.63"/>
    <n v="0.1045"/>
    <x v="5"/>
    <x v="6"/>
    <x v="6"/>
    <x v="0"/>
    <x v="0"/>
    <x v="0"/>
    <x v="0"/>
    <x v="0"/>
  </r>
  <r>
    <n v="332"/>
    <d v="2011-01-15T00:00:00"/>
    <x v="0"/>
    <n v="0"/>
    <x v="0"/>
    <x v="7"/>
    <x v="0"/>
    <x v="0"/>
    <n v="1"/>
    <x v="14"/>
    <n v="0.21210000000000001"/>
    <n v="0.63"/>
    <n v="0"/>
    <x v="5"/>
    <x v="33"/>
    <x v="98"/>
    <x v="0"/>
    <x v="0"/>
    <x v="0"/>
    <x v="0"/>
    <x v="0"/>
  </r>
  <r>
    <n v="333"/>
    <d v="2011-01-15T00:00:00"/>
    <x v="0"/>
    <n v="0"/>
    <x v="0"/>
    <x v="8"/>
    <x v="0"/>
    <x v="0"/>
    <n v="1"/>
    <x v="14"/>
    <n v="0.1515"/>
    <n v="0.63"/>
    <n v="0.1343"/>
    <x v="5"/>
    <x v="97"/>
    <x v="84"/>
    <x v="0"/>
    <x v="0"/>
    <x v="0"/>
    <x v="0"/>
    <x v="0"/>
  </r>
  <r>
    <n v="334"/>
    <d v="2011-01-15T00:00:00"/>
    <x v="0"/>
    <n v="0"/>
    <x v="0"/>
    <x v="9"/>
    <x v="0"/>
    <x v="0"/>
    <n v="1"/>
    <x v="13"/>
    <n v="0.18179999999999999"/>
    <n v="0.64"/>
    <n v="0.1343"/>
    <x v="4"/>
    <x v="17"/>
    <x v="63"/>
    <x v="0"/>
    <x v="0"/>
    <x v="0"/>
    <x v="0"/>
    <x v="0"/>
  </r>
  <r>
    <n v="335"/>
    <d v="2011-01-15T00:00:00"/>
    <x v="0"/>
    <n v="0"/>
    <x v="0"/>
    <x v="10"/>
    <x v="0"/>
    <x v="0"/>
    <n v="1"/>
    <x v="15"/>
    <n v="0.19700000000000001"/>
    <n v="0.59"/>
    <n v="0.16420000000000001"/>
    <x v="4"/>
    <x v="77"/>
    <x v="29"/>
    <x v="0"/>
    <x v="0"/>
    <x v="0"/>
    <x v="0"/>
    <x v="0"/>
  </r>
  <r>
    <n v="336"/>
    <d v="2011-01-15T00:00:00"/>
    <x v="0"/>
    <n v="0"/>
    <x v="0"/>
    <x v="11"/>
    <x v="0"/>
    <x v="0"/>
    <n v="1"/>
    <x v="2"/>
    <n v="0.19700000000000001"/>
    <n v="0.55000000000000004"/>
    <n v="0.22389999999999999"/>
    <x v="25"/>
    <x v="25"/>
    <x v="44"/>
    <x v="0"/>
    <x v="0"/>
    <x v="0"/>
    <x v="0"/>
    <x v="0"/>
  </r>
  <r>
    <n v="337"/>
    <d v="2011-01-15T00:00:00"/>
    <x v="0"/>
    <n v="0"/>
    <x v="0"/>
    <x v="12"/>
    <x v="0"/>
    <x v="0"/>
    <n v="1"/>
    <x v="0"/>
    <n v="0.2273"/>
    <n v="0.48"/>
    <n v="0.22389999999999999"/>
    <x v="13"/>
    <x v="64"/>
    <x v="70"/>
    <x v="0"/>
    <x v="0"/>
    <x v="0"/>
    <x v="0"/>
    <x v="0"/>
  </r>
  <r>
    <n v="338"/>
    <d v="2011-01-15T00:00:00"/>
    <x v="0"/>
    <n v="0"/>
    <x v="0"/>
    <x v="13"/>
    <x v="0"/>
    <x v="0"/>
    <n v="1"/>
    <x v="17"/>
    <n v="0.2576"/>
    <n v="0.38"/>
    <n v="0.29849999999999999"/>
    <x v="27"/>
    <x v="122"/>
    <x v="129"/>
    <x v="0"/>
    <x v="0"/>
    <x v="0"/>
    <x v="0"/>
    <x v="0"/>
  </r>
  <r>
    <n v="339"/>
    <d v="2011-01-15T00:00:00"/>
    <x v="0"/>
    <n v="0"/>
    <x v="0"/>
    <x v="14"/>
    <x v="0"/>
    <x v="0"/>
    <n v="1"/>
    <x v="11"/>
    <n v="0.28789999999999999"/>
    <n v="0.39"/>
    <n v="0.28360000000000002"/>
    <x v="7"/>
    <x v="50"/>
    <x v="130"/>
    <x v="0"/>
    <x v="0"/>
    <x v="0"/>
    <x v="0"/>
    <x v="0"/>
  </r>
  <r>
    <n v="340"/>
    <d v="2011-01-15T00:00:00"/>
    <x v="0"/>
    <n v="0"/>
    <x v="0"/>
    <x v="15"/>
    <x v="0"/>
    <x v="0"/>
    <n v="2"/>
    <x v="3"/>
    <n v="0.31819999999999998"/>
    <n v="0.36"/>
    <n v="0.19400000000000001"/>
    <x v="27"/>
    <x v="123"/>
    <x v="131"/>
    <x v="1"/>
    <x v="0"/>
    <x v="0"/>
    <x v="0"/>
    <x v="1"/>
  </r>
  <r>
    <n v="341"/>
    <d v="2011-01-15T00:00:00"/>
    <x v="0"/>
    <n v="0"/>
    <x v="0"/>
    <x v="16"/>
    <x v="0"/>
    <x v="0"/>
    <n v="2"/>
    <x v="10"/>
    <n v="0.33329999999999999"/>
    <n v="0.34"/>
    <n v="0.19400000000000001"/>
    <x v="28"/>
    <x v="73"/>
    <x v="116"/>
    <x v="1"/>
    <x v="0"/>
    <x v="0"/>
    <x v="0"/>
    <x v="1"/>
  </r>
  <r>
    <n v="342"/>
    <d v="2011-01-15T00:00:00"/>
    <x v="0"/>
    <n v="0"/>
    <x v="0"/>
    <x v="17"/>
    <x v="0"/>
    <x v="0"/>
    <n v="2"/>
    <x v="3"/>
    <n v="0.30299999999999999"/>
    <n v="0.36"/>
    <n v="0.28360000000000002"/>
    <x v="8"/>
    <x v="25"/>
    <x v="56"/>
    <x v="1"/>
    <x v="0"/>
    <x v="0"/>
    <x v="0"/>
    <x v="1"/>
  </r>
  <r>
    <n v="343"/>
    <d v="2011-01-15T00:00:00"/>
    <x v="0"/>
    <n v="0"/>
    <x v="0"/>
    <x v="18"/>
    <x v="0"/>
    <x v="0"/>
    <n v="2"/>
    <x v="11"/>
    <n v="0.28789999999999999"/>
    <n v="0.45"/>
    <n v="0.25369999999999998"/>
    <x v="13"/>
    <x v="94"/>
    <x v="11"/>
    <x v="1"/>
    <x v="0"/>
    <x v="0"/>
    <x v="0"/>
    <x v="1"/>
  </r>
  <r>
    <n v="344"/>
    <d v="2011-01-15T00:00:00"/>
    <x v="0"/>
    <n v="0"/>
    <x v="0"/>
    <x v="19"/>
    <x v="0"/>
    <x v="0"/>
    <n v="2"/>
    <x v="3"/>
    <n v="0.30299999999999999"/>
    <n v="0.39"/>
    <n v="0.25369999999999998"/>
    <x v="24"/>
    <x v="91"/>
    <x v="30"/>
    <x v="1"/>
    <x v="0"/>
    <x v="0"/>
    <x v="0"/>
    <x v="1"/>
  </r>
  <r>
    <n v="345"/>
    <d v="2011-01-15T00:00:00"/>
    <x v="0"/>
    <n v="0"/>
    <x v="0"/>
    <x v="20"/>
    <x v="0"/>
    <x v="0"/>
    <n v="2"/>
    <x v="3"/>
    <n v="0.30299999999999999"/>
    <n v="0.39"/>
    <n v="0.25369999999999998"/>
    <x v="15"/>
    <x v="96"/>
    <x v="102"/>
    <x v="1"/>
    <x v="0"/>
    <x v="0"/>
    <x v="0"/>
    <x v="1"/>
  </r>
  <r>
    <n v="346"/>
    <d v="2011-01-15T00:00:00"/>
    <x v="0"/>
    <n v="0"/>
    <x v="0"/>
    <x v="21"/>
    <x v="0"/>
    <x v="0"/>
    <n v="2"/>
    <x v="3"/>
    <n v="0.30299999999999999"/>
    <n v="0.39"/>
    <n v="0.22389999999999999"/>
    <x v="15"/>
    <x v="82"/>
    <x v="52"/>
    <x v="1"/>
    <x v="0"/>
    <x v="0"/>
    <x v="0"/>
    <x v="1"/>
  </r>
  <r>
    <n v="347"/>
    <d v="2011-01-15T00:00:00"/>
    <x v="0"/>
    <n v="0"/>
    <x v="0"/>
    <x v="22"/>
    <x v="0"/>
    <x v="0"/>
    <n v="2"/>
    <x v="11"/>
    <n v="0.31819999999999998"/>
    <n v="0.42"/>
    <n v="0.1045"/>
    <x v="3"/>
    <x v="16"/>
    <x v="132"/>
    <x v="1"/>
    <x v="0"/>
    <x v="0"/>
    <x v="0"/>
    <x v="1"/>
  </r>
  <r>
    <n v="348"/>
    <d v="2011-01-15T00:00:00"/>
    <x v="0"/>
    <n v="0"/>
    <x v="0"/>
    <x v="23"/>
    <x v="0"/>
    <x v="0"/>
    <n v="1"/>
    <x v="11"/>
    <n v="0.28789999999999999"/>
    <n v="0.45"/>
    <n v="0.28360000000000002"/>
    <x v="2"/>
    <x v="87"/>
    <x v="40"/>
    <x v="0"/>
    <x v="0"/>
    <x v="0"/>
    <x v="0"/>
    <x v="0"/>
  </r>
  <r>
    <n v="349"/>
    <d v="2011-01-16T00:00:00"/>
    <x v="0"/>
    <n v="0"/>
    <x v="0"/>
    <x v="0"/>
    <x v="0"/>
    <x v="1"/>
    <n v="1"/>
    <x v="12"/>
    <n v="0.30299999999999999"/>
    <n v="0.56000000000000005"/>
    <n v="0"/>
    <x v="15"/>
    <x v="39"/>
    <x v="21"/>
    <x v="0"/>
    <x v="0"/>
    <x v="1"/>
    <x v="0"/>
    <x v="0"/>
  </r>
  <r>
    <n v="350"/>
    <d v="2011-01-16T00:00:00"/>
    <x v="0"/>
    <n v="0"/>
    <x v="0"/>
    <x v="1"/>
    <x v="0"/>
    <x v="1"/>
    <n v="1"/>
    <x v="12"/>
    <n v="0.2727"/>
    <n v="0.56000000000000005"/>
    <n v="0.1343"/>
    <x v="17"/>
    <x v="23"/>
    <x v="84"/>
    <x v="0"/>
    <x v="0"/>
    <x v="1"/>
    <x v="0"/>
    <x v="0"/>
  </r>
  <r>
    <n v="351"/>
    <d v="2011-01-16T00:00:00"/>
    <x v="0"/>
    <n v="0"/>
    <x v="0"/>
    <x v="2"/>
    <x v="0"/>
    <x v="1"/>
    <n v="1"/>
    <x v="12"/>
    <n v="0.28789999999999999"/>
    <n v="0.56000000000000005"/>
    <n v="8.9599999999999999E-2"/>
    <x v="0"/>
    <x v="0"/>
    <x v="0"/>
    <x v="0"/>
    <x v="0"/>
    <x v="1"/>
    <x v="0"/>
    <x v="0"/>
  </r>
  <r>
    <n v="352"/>
    <d v="2011-01-16T00:00:00"/>
    <x v="0"/>
    <n v="0"/>
    <x v="0"/>
    <x v="3"/>
    <x v="0"/>
    <x v="1"/>
    <n v="1"/>
    <x v="1"/>
    <n v="0.2727"/>
    <n v="0.69"/>
    <n v="0"/>
    <x v="14"/>
    <x v="8"/>
    <x v="93"/>
    <x v="0"/>
    <x v="0"/>
    <x v="1"/>
    <x v="0"/>
    <x v="0"/>
  </r>
  <r>
    <n v="353"/>
    <d v="2011-01-16T00:00:00"/>
    <x v="0"/>
    <n v="0"/>
    <x v="0"/>
    <x v="4"/>
    <x v="0"/>
    <x v="1"/>
    <n v="1"/>
    <x v="12"/>
    <n v="0.2576"/>
    <n v="0.56000000000000005"/>
    <n v="0.16420000000000001"/>
    <x v="3"/>
    <x v="4"/>
    <x v="4"/>
    <x v="0"/>
    <x v="0"/>
    <x v="1"/>
    <x v="0"/>
    <x v="0"/>
  </r>
  <r>
    <n v="354"/>
    <d v="2011-01-16T00:00:00"/>
    <x v="0"/>
    <n v="0"/>
    <x v="0"/>
    <x v="5"/>
    <x v="0"/>
    <x v="1"/>
    <n v="2"/>
    <x v="12"/>
    <n v="0.2576"/>
    <n v="0.56000000000000005"/>
    <n v="0.16420000000000001"/>
    <x v="5"/>
    <x v="4"/>
    <x v="5"/>
    <x v="1"/>
    <x v="0"/>
    <x v="1"/>
    <x v="0"/>
    <x v="1"/>
  </r>
  <r>
    <n v="355"/>
    <d v="2011-01-16T00:00:00"/>
    <x v="0"/>
    <n v="0"/>
    <x v="0"/>
    <x v="6"/>
    <x v="0"/>
    <x v="1"/>
    <n v="2"/>
    <x v="12"/>
    <n v="0.2576"/>
    <n v="0.56000000000000005"/>
    <n v="0.16420000000000001"/>
    <x v="3"/>
    <x v="4"/>
    <x v="4"/>
    <x v="1"/>
    <x v="0"/>
    <x v="1"/>
    <x v="0"/>
    <x v="1"/>
  </r>
  <r>
    <n v="356"/>
    <d v="2011-01-16T00:00:00"/>
    <x v="0"/>
    <n v="0"/>
    <x v="0"/>
    <x v="7"/>
    <x v="0"/>
    <x v="1"/>
    <n v="2"/>
    <x v="0"/>
    <n v="0.21210000000000001"/>
    <n v="0.56000000000000005"/>
    <n v="0.29849999999999999"/>
    <x v="3"/>
    <x v="35"/>
    <x v="6"/>
    <x v="1"/>
    <x v="0"/>
    <x v="1"/>
    <x v="0"/>
    <x v="1"/>
  </r>
  <r>
    <n v="357"/>
    <d v="2011-01-16T00:00:00"/>
    <x v="0"/>
    <n v="0"/>
    <x v="0"/>
    <x v="8"/>
    <x v="0"/>
    <x v="1"/>
    <n v="1"/>
    <x v="1"/>
    <n v="0.21210000000000001"/>
    <n v="0.55000000000000004"/>
    <n v="0.28360000000000002"/>
    <x v="3"/>
    <x v="72"/>
    <x v="109"/>
    <x v="0"/>
    <x v="0"/>
    <x v="1"/>
    <x v="0"/>
    <x v="0"/>
  </r>
  <r>
    <n v="358"/>
    <d v="2011-01-16T00:00:00"/>
    <x v="0"/>
    <n v="0"/>
    <x v="0"/>
    <x v="9"/>
    <x v="0"/>
    <x v="1"/>
    <n v="1"/>
    <x v="1"/>
    <n v="0.21210000000000001"/>
    <n v="0.51"/>
    <n v="0.25369999999999998"/>
    <x v="0"/>
    <x v="31"/>
    <x v="2"/>
    <x v="0"/>
    <x v="0"/>
    <x v="1"/>
    <x v="0"/>
    <x v="0"/>
  </r>
  <r>
    <n v="359"/>
    <d v="2011-01-16T00:00:00"/>
    <x v="0"/>
    <n v="0"/>
    <x v="0"/>
    <x v="10"/>
    <x v="0"/>
    <x v="1"/>
    <n v="1"/>
    <x v="1"/>
    <n v="0.21210000000000001"/>
    <n v="0.51"/>
    <n v="0.28360000000000002"/>
    <x v="1"/>
    <x v="13"/>
    <x v="67"/>
    <x v="0"/>
    <x v="0"/>
    <x v="1"/>
    <x v="0"/>
    <x v="0"/>
  </r>
  <r>
    <n v="360"/>
    <d v="2011-01-16T00:00:00"/>
    <x v="0"/>
    <n v="0"/>
    <x v="0"/>
    <x v="11"/>
    <x v="0"/>
    <x v="1"/>
    <n v="1"/>
    <x v="0"/>
    <n v="0.2273"/>
    <n v="0.44"/>
    <n v="0.25369999999999998"/>
    <x v="29"/>
    <x v="14"/>
    <x v="15"/>
    <x v="0"/>
    <x v="0"/>
    <x v="1"/>
    <x v="0"/>
    <x v="0"/>
  </r>
  <r>
    <n v="361"/>
    <d v="2011-01-16T00:00:00"/>
    <x v="0"/>
    <n v="0"/>
    <x v="0"/>
    <x v="12"/>
    <x v="0"/>
    <x v="1"/>
    <n v="1"/>
    <x v="0"/>
    <n v="0.21210000000000001"/>
    <n v="0.41"/>
    <n v="0.28360000000000002"/>
    <x v="8"/>
    <x v="102"/>
    <x v="133"/>
    <x v="0"/>
    <x v="0"/>
    <x v="1"/>
    <x v="0"/>
    <x v="0"/>
  </r>
  <r>
    <n v="362"/>
    <d v="2011-01-16T00:00:00"/>
    <x v="0"/>
    <n v="0"/>
    <x v="0"/>
    <x v="13"/>
    <x v="0"/>
    <x v="1"/>
    <n v="1"/>
    <x v="12"/>
    <n v="0.2273"/>
    <n v="0.35"/>
    <n v="0.29849999999999999"/>
    <x v="29"/>
    <x v="73"/>
    <x v="130"/>
    <x v="0"/>
    <x v="0"/>
    <x v="1"/>
    <x v="0"/>
    <x v="0"/>
  </r>
  <r>
    <n v="363"/>
    <d v="2011-01-16T00:00:00"/>
    <x v="0"/>
    <n v="0"/>
    <x v="0"/>
    <x v="14"/>
    <x v="0"/>
    <x v="1"/>
    <n v="1"/>
    <x v="17"/>
    <n v="0.2727"/>
    <n v="0.36"/>
    <n v="0.25369999999999998"/>
    <x v="30"/>
    <x v="94"/>
    <x v="134"/>
    <x v="0"/>
    <x v="0"/>
    <x v="1"/>
    <x v="0"/>
    <x v="0"/>
  </r>
  <r>
    <n v="364"/>
    <d v="2011-01-16T00:00:00"/>
    <x v="0"/>
    <n v="0"/>
    <x v="0"/>
    <x v="15"/>
    <x v="0"/>
    <x v="1"/>
    <n v="1"/>
    <x v="12"/>
    <n v="0.2424"/>
    <n v="0.38"/>
    <n v="0.25369999999999998"/>
    <x v="10"/>
    <x v="78"/>
    <x v="135"/>
    <x v="0"/>
    <x v="0"/>
    <x v="1"/>
    <x v="0"/>
    <x v="0"/>
  </r>
  <r>
    <n v="365"/>
    <d v="2011-01-16T00:00:00"/>
    <x v="0"/>
    <n v="0"/>
    <x v="0"/>
    <x v="16"/>
    <x v="0"/>
    <x v="1"/>
    <n v="1"/>
    <x v="0"/>
    <n v="0.2273"/>
    <n v="0.38"/>
    <n v="0.22389999999999999"/>
    <x v="30"/>
    <x v="99"/>
    <x v="111"/>
    <x v="0"/>
    <x v="0"/>
    <x v="1"/>
    <x v="0"/>
    <x v="0"/>
  </r>
  <r>
    <n v="366"/>
    <d v="2011-01-16T00:00:00"/>
    <x v="0"/>
    <n v="0"/>
    <x v="0"/>
    <x v="17"/>
    <x v="0"/>
    <x v="1"/>
    <n v="1"/>
    <x v="1"/>
    <n v="0.21210000000000001"/>
    <n v="0.37"/>
    <n v="0.25369999999999998"/>
    <x v="29"/>
    <x v="70"/>
    <x v="136"/>
    <x v="0"/>
    <x v="0"/>
    <x v="1"/>
    <x v="0"/>
    <x v="0"/>
  </r>
  <r>
    <n v="367"/>
    <d v="2011-01-16T00:00:00"/>
    <x v="0"/>
    <n v="0"/>
    <x v="0"/>
    <x v="18"/>
    <x v="0"/>
    <x v="1"/>
    <n v="1"/>
    <x v="2"/>
    <n v="0.21210000000000001"/>
    <n v="0.4"/>
    <n v="0.16420000000000001"/>
    <x v="16"/>
    <x v="90"/>
    <x v="16"/>
    <x v="0"/>
    <x v="0"/>
    <x v="1"/>
    <x v="0"/>
    <x v="0"/>
  </r>
  <r>
    <n v="368"/>
    <d v="2011-01-16T00:00:00"/>
    <x v="0"/>
    <n v="0"/>
    <x v="0"/>
    <x v="19"/>
    <x v="0"/>
    <x v="1"/>
    <n v="1"/>
    <x v="15"/>
    <n v="0.19700000000000001"/>
    <n v="0.47"/>
    <n v="0.1343"/>
    <x v="24"/>
    <x v="12"/>
    <x v="42"/>
    <x v="0"/>
    <x v="0"/>
    <x v="1"/>
    <x v="0"/>
    <x v="0"/>
  </r>
  <r>
    <n v="369"/>
    <d v="2011-01-16T00:00:00"/>
    <x v="0"/>
    <n v="0"/>
    <x v="0"/>
    <x v="20"/>
    <x v="0"/>
    <x v="1"/>
    <n v="1"/>
    <x v="15"/>
    <n v="0.19700000000000001"/>
    <n v="0.47"/>
    <n v="0.16420000000000001"/>
    <x v="18"/>
    <x v="54"/>
    <x v="52"/>
    <x v="0"/>
    <x v="0"/>
    <x v="1"/>
    <x v="0"/>
    <x v="0"/>
  </r>
  <r>
    <n v="370"/>
    <d v="2011-01-16T00:00:00"/>
    <x v="0"/>
    <n v="0"/>
    <x v="0"/>
    <x v="21"/>
    <x v="0"/>
    <x v="1"/>
    <n v="1"/>
    <x v="15"/>
    <n v="0.19700000000000001"/>
    <n v="0.51"/>
    <n v="0.16420000000000001"/>
    <x v="15"/>
    <x v="97"/>
    <x v="20"/>
    <x v="0"/>
    <x v="0"/>
    <x v="1"/>
    <x v="0"/>
    <x v="0"/>
  </r>
  <r>
    <n v="371"/>
    <d v="2011-01-16T00:00:00"/>
    <x v="0"/>
    <n v="0"/>
    <x v="0"/>
    <x v="22"/>
    <x v="0"/>
    <x v="1"/>
    <n v="2"/>
    <x v="2"/>
    <n v="0.21210000000000001"/>
    <n v="0.49"/>
    <n v="0.1343"/>
    <x v="4"/>
    <x v="23"/>
    <x v="137"/>
    <x v="1"/>
    <x v="0"/>
    <x v="1"/>
    <x v="0"/>
    <x v="1"/>
  </r>
  <r>
    <n v="372"/>
    <d v="2011-01-16T00:00:00"/>
    <x v="0"/>
    <n v="0"/>
    <x v="0"/>
    <x v="23"/>
    <x v="0"/>
    <x v="1"/>
    <n v="2"/>
    <x v="2"/>
    <n v="0.2273"/>
    <n v="0.4"/>
    <n v="0.1045"/>
    <x v="3"/>
    <x v="72"/>
    <x v="109"/>
    <x v="1"/>
    <x v="0"/>
    <x v="1"/>
    <x v="0"/>
    <x v="1"/>
  </r>
  <r>
    <n v="373"/>
    <d v="2011-01-17T00:00:00"/>
    <x v="0"/>
    <n v="0"/>
    <x v="0"/>
    <x v="0"/>
    <x v="1"/>
    <x v="2"/>
    <n v="2"/>
    <x v="2"/>
    <n v="0.19700000000000001"/>
    <n v="0.47"/>
    <n v="0.22389999999999999"/>
    <x v="5"/>
    <x v="20"/>
    <x v="22"/>
    <x v="1"/>
    <x v="0"/>
    <x v="2"/>
    <x v="0"/>
    <x v="1"/>
  </r>
  <r>
    <n v="374"/>
    <d v="2011-01-17T00:00:00"/>
    <x v="0"/>
    <n v="0"/>
    <x v="0"/>
    <x v="1"/>
    <x v="1"/>
    <x v="2"/>
    <n v="2"/>
    <x v="2"/>
    <n v="0.19700000000000001"/>
    <n v="0.44"/>
    <n v="0.19400000000000001"/>
    <x v="5"/>
    <x v="89"/>
    <x v="0"/>
    <x v="1"/>
    <x v="0"/>
    <x v="2"/>
    <x v="0"/>
    <x v="1"/>
  </r>
  <r>
    <n v="375"/>
    <d v="2011-01-17T00:00:00"/>
    <x v="0"/>
    <n v="0"/>
    <x v="0"/>
    <x v="2"/>
    <x v="1"/>
    <x v="2"/>
    <n v="2"/>
    <x v="15"/>
    <n v="0.16669999999999999"/>
    <n v="0.43"/>
    <n v="0.25369999999999998"/>
    <x v="3"/>
    <x v="21"/>
    <x v="7"/>
    <x v="1"/>
    <x v="0"/>
    <x v="2"/>
    <x v="0"/>
    <x v="1"/>
  </r>
  <r>
    <n v="376"/>
    <d v="2011-01-17T00:00:00"/>
    <x v="0"/>
    <n v="0"/>
    <x v="0"/>
    <x v="3"/>
    <x v="1"/>
    <x v="2"/>
    <n v="2"/>
    <x v="15"/>
    <n v="0.18179999999999999"/>
    <n v="0.43"/>
    <n v="0.19400000000000001"/>
    <x v="3"/>
    <x v="6"/>
    <x v="5"/>
    <x v="1"/>
    <x v="0"/>
    <x v="2"/>
    <x v="0"/>
    <x v="1"/>
  </r>
  <r>
    <n v="377"/>
    <d v="2011-01-17T00:00:00"/>
    <x v="0"/>
    <n v="0"/>
    <x v="0"/>
    <x v="4"/>
    <x v="1"/>
    <x v="2"/>
    <n v="2"/>
    <x v="15"/>
    <n v="0.19700000000000001"/>
    <n v="0.43"/>
    <n v="0.1343"/>
    <x v="5"/>
    <x v="6"/>
    <x v="6"/>
    <x v="1"/>
    <x v="0"/>
    <x v="2"/>
    <x v="0"/>
    <x v="1"/>
  </r>
  <r>
    <n v="378"/>
    <d v="2011-01-17T00:00:00"/>
    <x v="0"/>
    <n v="0"/>
    <x v="0"/>
    <x v="5"/>
    <x v="1"/>
    <x v="2"/>
    <n v="2"/>
    <x v="15"/>
    <n v="0.19700000000000001"/>
    <n v="0.43"/>
    <n v="0.16420000000000001"/>
    <x v="3"/>
    <x v="4"/>
    <x v="4"/>
    <x v="1"/>
    <x v="0"/>
    <x v="2"/>
    <x v="0"/>
    <x v="1"/>
  </r>
  <r>
    <n v="379"/>
    <d v="2011-01-17T00:00:00"/>
    <x v="0"/>
    <n v="0"/>
    <x v="0"/>
    <x v="6"/>
    <x v="1"/>
    <x v="2"/>
    <n v="2"/>
    <x v="15"/>
    <n v="0.18179999999999999"/>
    <n v="0.43"/>
    <n v="0.19400000000000001"/>
    <x v="3"/>
    <x v="34"/>
    <x v="36"/>
    <x v="1"/>
    <x v="0"/>
    <x v="2"/>
    <x v="0"/>
    <x v="1"/>
  </r>
  <r>
    <n v="380"/>
    <d v="2011-01-17T00:00:00"/>
    <x v="0"/>
    <n v="0"/>
    <x v="0"/>
    <x v="7"/>
    <x v="1"/>
    <x v="2"/>
    <n v="2"/>
    <x v="13"/>
    <n v="0.18179999999999999"/>
    <n v="0.5"/>
    <n v="0.1343"/>
    <x v="17"/>
    <x v="33"/>
    <x v="3"/>
    <x v="1"/>
    <x v="0"/>
    <x v="2"/>
    <x v="0"/>
    <x v="1"/>
  </r>
  <r>
    <n v="381"/>
    <d v="2011-01-17T00:00:00"/>
    <x v="0"/>
    <n v="0"/>
    <x v="0"/>
    <x v="8"/>
    <x v="1"/>
    <x v="2"/>
    <n v="2"/>
    <x v="13"/>
    <n v="0.1515"/>
    <n v="0.47"/>
    <n v="0.22389999999999999"/>
    <x v="0"/>
    <x v="10"/>
    <x v="63"/>
    <x v="1"/>
    <x v="0"/>
    <x v="2"/>
    <x v="0"/>
    <x v="1"/>
  </r>
  <r>
    <n v="382"/>
    <d v="2011-01-17T00:00:00"/>
    <x v="0"/>
    <n v="0"/>
    <x v="0"/>
    <x v="9"/>
    <x v="1"/>
    <x v="2"/>
    <n v="2"/>
    <x v="13"/>
    <n v="0.1515"/>
    <n v="0.47"/>
    <n v="0.22389999999999999"/>
    <x v="1"/>
    <x v="87"/>
    <x v="105"/>
    <x v="1"/>
    <x v="0"/>
    <x v="2"/>
    <x v="0"/>
    <x v="1"/>
  </r>
  <r>
    <n v="383"/>
    <d v="2011-01-17T00:00:00"/>
    <x v="0"/>
    <n v="0"/>
    <x v="0"/>
    <x v="10"/>
    <x v="1"/>
    <x v="2"/>
    <n v="2"/>
    <x v="13"/>
    <n v="0.1515"/>
    <n v="0.5"/>
    <n v="0.25369999999999998"/>
    <x v="18"/>
    <x v="54"/>
    <x v="52"/>
    <x v="1"/>
    <x v="0"/>
    <x v="2"/>
    <x v="0"/>
    <x v="1"/>
  </r>
  <r>
    <n v="384"/>
    <d v="2011-01-17T00:00:00"/>
    <x v="0"/>
    <n v="0"/>
    <x v="0"/>
    <x v="11"/>
    <x v="1"/>
    <x v="2"/>
    <n v="2"/>
    <x v="13"/>
    <n v="0.1515"/>
    <n v="0.55000000000000004"/>
    <n v="0.19400000000000001"/>
    <x v="14"/>
    <x v="11"/>
    <x v="37"/>
    <x v="1"/>
    <x v="0"/>
    <x v="2"/>
    <x v="0"/>
    <x v="1"/>
  </r>
  <r>
    <n v="385"/>
    <d v="2011-01-17T00:00:00"/>
    <x v="0"/>
    <n v="0"/>
    <x v="0"/>
    <x v="12"/>
    <x v="1"/>
    <x v="2"/>
    <n v="2"/>
    <x v="15"/>
    <n v="0.19700000000000001"/>
    <n v="0.47"/>
    <n v="0.1343"/>
    <x v="22"/>
    <x v="14"/>
    <x v="138"/>
    <x v="1"/>
    <x v="0"/>
    <x v="2"/>
    <x v="0"/>
    <x v="1"/>
  </r>
  <r>
    <n v="386"/>
    <d v="2011-01-17T00:00:00"/>
    <x v="0"/>
    <n v="0"/>
    <x v="0"/>
    <x v="13"/>
    <x v="1"/>
    <x v="2"/>
    <n v="2"/>
    <x v="15"/>
    <n v="0.19700000000000001"/>
    <n v="0.47"/>
    <n v="0.1343"/>
    <x v="23"/>
    <x v="122"/>
    <x v="15"/>
    <x v="1"/>
    <x v="0"/>
    <x v="2"/>
    <x v="0"/>
    <x v="1"/>
  </r>
  <r>
    <n v="387"/>
    <d v="2011-01-17T00:00:00"/>
    <x v="0"/>
    <n v="0"/>
    <x v="0"/>
    <x v="14"/>
    <x v="1"/>
    <x v="2"/>
    <n v="2"/>
    <x v="15"/>
    <n v="0.21210000000000001"/>
    <n v="0.43"/>
    <n v="0.1045"/>
    <x v="6"/>
    <x v="64"/>
    <x v="80"/>
    <x v="1"/>
    <x v="0"/>
    <x v="2"/>
    <x v="0"/>
    <x v="1"/>
  </r>
  <r>
    <n v="388"/>
    <d v="2011-01-17T00:00:00"/>
    <x v="0"/>
    <n v="0"/>
    <x v="0"/>
    <x v="15"/>
    <x v="1"/>
    <x v="2"/>
    <n v="2"/>
    <x v="2"/>
    <n v="0.21210000000000001"/>
    <n v="0.47"/>
    <n v="0.16420000000000001"/>
    <x v="27"/>
    <x v="109"/>
    <x v="15"/>
    <x v="1"/>
    <x v="0"/>
    <x v="2"/>
    <x v="0"/>
    <x v="1"/>
  </r>
  <r>
    <n v="389"/>
    <d v="2011-01-17T00:00:00"/>
    <x v="0"/>
    <n v="0"/>
    <x v="0"/>
    <x v="16"/>
    <x v="1"/>
    <x v="2"/>
    <n v="2"/>
    <x v="2"/>
    <n v="0.21210000000000001"/>
    <n v="0.47"/>
    <n v="0.16420000000000001"/>
    <x v="15"/>
    <x v="83"/>
    <x v="100"/>
    <x v="1"/>
    <x v="0"/>
    <x v="2"/>
    <x v="0"/>
    <x v="1"/>
  </r>
  <r>
    <n v="390"/>
    <d v="2011-01-17T00:00:00"/>
    <x v="0"/>
    <n v="0"/>
    <x v="0"/>
    <x v="17"/>
    <x v="1"/>
    <x v="2"/>
    <n v="1"/>
    <x v="2"/>
    <n v="0.19700000000000001"/>
    <n v="0.51"/>
    <n v="0.19400000000000001"/>
    <x v="17"/>
    <x v="28"/>
    <x v="68"/>
    <x v="0"/>
    <x v="0"/>
    <x v="2"/>
    <x v="0"/>
    <x v="0"/>
  </r>
  <r>
    <n v="391"/>
    <d v="2011-01-17T00:00:00"/>
    <x v="0"/>
    <n v="0"/>
    <x v="0"/>
    <x v="18"/>
    <x v="1"/>
    <x v="2"/>
    <n v="2"/>
    <x v="15"/>
    <n v="0.16669999999999999"/>
    <n v="0.55000000000000004"/>
    <n v="0.25369999999999998"/>
    <x v="18"/>
    <x v="66"/>
    <x v="101"/>
    <x v="1"/>
    <x v="0"/>
    <x v="2"/>
    <x v="0"/>
    <x v="1"/>
  </r>
  <r>
    <n v="392"/>
    <d v="2011-01-17T00:00:00"/>
    <x v="0"/>
    <n v="0"/>
    <x v="0"/>
    <x v="19"/>
    <x v="1"/>
    <x v="2"/>
    <n v="3"/>
    <x v="15"/>
    <n v="0.18179999999999999"/>
    <n v="0.59"/>
    <n v="0.19400000000000001"/>
    <x v="4"/>
    <x v="29"/>
    <x v="122"/>
    <x v="2"/>
    <x v="0"/>
    <x v="2"/>
    <x v="0"/>
    <x v="2"/>
  </r>
  <r>
    <n v="393"/>
    <d v="2011-01-17T00:00:00"/>
    <x v="0"/>
    <n v="0"/>
    <x v="0"/>
    <x v="20"/>
    <x v="1"/>
    <x v="2"/>
    <n v="3"/>
    <x v="13"/>
    <n v="0.1515"/>
    <n v="0.8"/>
    <n v="0.19400000000000001"/>
    <x v="17"/>
    <x v="31"/>
    <x v="63"/>
    <x v="2"/>
    <x v="0"/>
    <x v="2"/>
    <x v="0"/>
    <x v="2"/>
  </r>
  <r>
    <n v="394"/>
    <d v="2011-01-17T00:00:00"/>
    <x v="0"/>
    <n v="0"/>
    <x v="0"/>
    <x v="21"/>
    <x v="1"/>
    <x v="2"/>
    <n v="3"/>
    <x v="13"/>
    <n v="0.1515"/>
    <n v="0.8"/>
    <n v="0.19400000000000001"/>
    <x v="0"/>
    <x v="9"/>
    <x v="110"/>
    <x v="2"/>
    <x v="0"/>
    <x v="2"/>
    <x v="0"/>
    <x v="2"/>
  </r>
  <r>
    <n v="395"/>
    <d v="2011-01-17T00:00:00"/>
    <x v="0"/>
    <n v="0"/>
    <x v="0"/>
    <x v="22"/>
    <x v="1"/>
    <x v="2"/>
    <n v="3"/>
    <x v="14"/>
    <n v="0.1212"/>
    <n v="0.93"/>
    <n v="0.25369999999999998"/>
    <x v="3"/>
    <x v="0"/>
    <x v="3"/>
    <x v="2"/>
    <x v="0"/>
    <x v="2"/>
    <x v="0"/>
    <x v="2"/>
  </r>
  <r>
    <n v="396"/>
    <d v="2011-01-17T00:00:00"/>
    <x v="0"/>
    <n v="0"/>
    <x v="0"/>
    <x v="23"/>
    <x v="1"/>
    <x v="2"/>
    <n v="3"/>
    <x v="13"/>
    <n v="0.13639999999999999"/>
    <n v="0.86"/>
    <n v="0.28360000000000002"/>
    <x v="5"/>
    <x v="35"/>
    <x v="48"/>
    <x v="2"/>
    <x v="0"/>
    <x v="2"/>
    <x v="0"/>
    <x v="2"/>
  </r>
  <r>
    <n v="397"/>
    <d v="2011-01-18T00:00:00"/>
    <x v="0"/>
    <n v="0"/>
    <x v="0"/>
    <x v="12"/>
    <x v="0"/>
    <x v="3"/>
    <n v="2"/>
    <x v="2"/>
    <n v="0.18179999999999999"/>
    <n v="0.86"/>
    <n v="0.32840000000000003"/>
    <x v="3"/>
    <x v="35"/>
    <x v="6"/>
    <x v="1"/>
    <x v="0"/>
    <x v="3"/>
    <x v="0"/>
    <x v="1"/>
  </r>
  <r>
    <n v="398"/>
    <d v="2011-01-18T00:00:00"/>
    <x v="0"/>
    <n v="0"/>
    <x v="0"/>
    <x v="13"/>
    <x v="0"/>
    <x v="3"/>
    <n v="2"/>
    <x v="2"/>
    <n v="0.19700000000000001"/>
    <n v="0.86"/>
    <n v="0.22389999999999999"/>
    <x v="3"/>
    <x v="97"/>
    <x v="34"/>
    <x v="1"/>
    <x v="0"/>
    <x v="3"/>
    <x v="0"/>
    <x v="1"/>
  </r>
  <r>
    <n v="399"/>
    <d v="2011-01-18T00:00:00"/>
    <x v="0"/>
    <n v="0"/>
    <x v="0"/>
    <x v="14"/>
    <x v="0"/>
    <x v="3"/>
    <n v="2"/>
    <x v="1"/>
    <n v="0.2273"/>
    <n v="0.8"/>
    <n v="0.16420000000000001"/>
    <x v="4"/>
    <x v="16"/>
    <x v="20"/>
    <x v="1"/>
    <x v="0"/>
    <x v="3"/>
    <x v="0"/>
    <x v="1"/>
  </r>
  <r>
    <n v="400"/>
    <d v="2011-01-18T00:00:00"/>
    <x v="0"/>
    <n v="0"/>
    <x v="0"/>
    <x v="15"/>
    <x v="0"/>
    <x v="3"/>
    <n v="2"/>
    <x v="1"/>
    <n v="0.2273"/>
    <n v="0.87"/>
    <n v="0.16420000000000001"/>
    <x v="0"/>
    <x v="1"/>
    <x v="17"/>
    <x v="1"/>
    <x v="0"/>
    <x v="3"/>
    <x v="0"/>
    <x v="1"/>
  </r>
  <r>
    <n v="401"/>
    <d v="2011-01-18T00:00:00"/>
    <x v="0"/>
    <n v="0"/>
    <x v="0"/>
    <x v="16"/>
    <x v="0"/>
    <x v="3"/>
    <n v="2"/>
    <x v="1"/>
    <n v="0.2273"/>
    <n v="0.87"/>
    <n v="0.19400000000000001"/>
    <x v="3"/>
    <x v="124"/>
    <x v="42"/>
    <x v="1"/>
    <x v="0"/>
    <x v="3"/>
    <x v="0"/>
    <x v="1"/>
  </r>
  <r>
    <n v="402"/>
    <d v="2011-01-18T00:00:00"/>
    <x v="0"/>
    <n v="0"/>
    <x v="0"/>
    <x v="17"/>
    <x v="0"/>
    <x v="3"/>
    <n v="2"/>
    <x v="1"/>
    <n v="0.2273"/>
    <n v="0.82"/>
    <n v="0.19400000000000001"/>
    <x v="5"/>
    <x v="125"/>
    <x v="139"/>
    <x v="1"/>
    <x v="0"/>
    <x v="3"/>
    <x v="0"/>
    <x v="1"/>
  </r>
  <r>
    <n v="403"/>
    <d v="2011-01-18T00:00:00"/>
    <x v="0"/>
    <n v="0"/>
    <x v="0"/>
    <x v="18"/>
    <x v="0"/>
    <x v="3"/>
    <n v="2"/>
    <x v="1"/>
    <n v="0.2273"/>
    <n v="0.8"/>
    <n v="0.16420000000000001"/>
    <x v="5"/>
    <x v="126"/>
    <x v="140"/>
    <x v="1"/>
    <x v="0"/>
    <x v="3"/>
    <x v="0"/>
    <x v="1"/>
  </r>
  <r>
    <n v="404"/>
    <d v="2011-01-18T00:00:00"/>
    <x v="0"/>
    <n v="0"/>
    <x v="0"/>
    <x v="19"/>
    <x v="0"/>
    <x v="3"/>
    <n v="2"/>
    <x v="1"/>
    <n v="0.2273"/>
    <n v="0.8"/>
    <n v="0.1343"/>
    <x v="5"/>
    <x v="52"/>
    <x v="111"/>
    <x v="1"/>
    <x v="0"/>
    <x v="3"/>
    <x v="0"/>
    <x v="1"/>
  </r>
  <r>
    <n v="405"/>
    <d v="2011-01-18T00:00:00"/>
    <x v="0"/>
    <n v="0"/>
    <x v="0"/>
    <x v="20"/>
    <x v="0"/>
    <x v="3"/>
    <n v="2"/>
    <x v="1"/>
    <n v="0.2727"/>
    <n v="0.87"/>
    <n v="0"/>
    <x v="3"/>
    <x v="93"/>
    <x v="56"/>
    <x v="1"/>
    <x v="0"/>
    <x v="3"/>
    <x v="0"/>
    <x v="1"/>
  </r>
  <r>
    <n v="406"/>
    <d v="2011-01-18T00:00:00"/>
    <x v="0"/>
    <n v="0"/>
    <x v="0"/>
    <x v="21"/>
    <x v="0"/>
    <x v="3"/>
    <n v="2"/>
    <x v="1"/>
    <n v="0.2424"/>
    <n v="0.93"/>
    <n v="0.1045"/>
    <x v="3"/>
    <x v="40"/>
    <x v="102"/>
    <x v="1"/>
    <x v="0"/>
    <x v="3"/>
    <x v="0"/>
    <x v="1"/>
  </r>
  <r>
    <n v="407"/>
    <d v="2011-01-18T00:00:00"/>
    <x v="0"/>
    <n v="0"/>
    <x v="0"/>
    <x v="22"/>
    <x v="0"/>
    <x v="3"/>
    <n v="2"/>
    <x v="1"/>
    <n v="0.2576"/>
    <n v="0.93"/>
    <n v="8.9599999999999999E-2"/>
    <x v="3"/>
    <x v="39"/>
    <x v="63"/>
    <x v="1"/>
    <x v="0"/>
    <x v="3"/>
    <x v="0"/>
    <x v="1"/>
  </r>
  <r>
    <n v="408"/>
    <d v="2011-01-18T00:00:00"/>
    <x v="0"/>
    <n v="0"/>
    <x v="0"/>
    <x v="23"/>
    <x v="0"/>
    <x v="3"/>
    <n v="2"/>
    <x v="1"/>
    <n v="0.2727"/>
    <n v="0.93"/>
    <n v="0"/>
    <x v="5"/>
    <x v="23"/>
    <x v="25"/>
    <x v="1"/>
    <x v="0"/>
    <x v="3"/>
    <x v="0"/>
    <x v="1"/>
  </r>
  <r>
    <n v="409"/>
    <d v="2011-01-19T00:00:00"/>
    <x v="0"/>
    <n v="0"/>
    <x v="0"/>
    <x v="0"/>
    <x v="0"/>
    <x v="4"/>
    <n v="2"/>
    <x v="1"/>
    <n v="0.2727"/>
    <n v="0.93"/>
    <n v="0"/>
    <x v="3"/>
    <x v="35"/>
    <x v="6"/>
    <x v="1"/>
    <x v="0"/>
    <x v="4"/>
    <x v="0"/>
    <x v="1"/>
  </r>
  <r>
    <n v="410"/>
    <d v="2011-01-19T00:00:00"/>
    <x v="0"/>
    <n v="0"/>
    <x v="0"/>
    <x v="1"/>
    <x v="0"/>
    <x v="4"/>
    <n v="3"/>
    <x v="1"/>
    <n v="0.2273"/>
    <n v="0.93"/>
    <n v="0.1343"/>
    <x v="5"/>
    <x v="8"/>
    <x v="85"/>
    <x v="2"/>
    <x v="0"/>
    <x v="4"/>
    <x v="0"/>
    <x v="2"/>
  </r>
  <r>
    <n v="411"/>
    <d v="2011-01-19T00:00:00"/>
    <x v="0"/>
    <n v="0"/>
    <x v="0"/>
    <x v="2"/>
    <x v="0"/>
    <x v="4"/>
    <n v="3"/>
    <x v="1"/>
    <n v="0.2273"/>
    <n v="0.93"/>
    <n v="0.1343"/>
    <x v="3"/>
    <x v="35"/>
    <x v="6"/>
    <x v="2"/>
    <x v="0"/>
    <x v="4"/>
    <x v="0"/>
    <x v="2"/>
  </r>
  <r>
    <n v="412"/>
    <d v="2011-01-19T00:00:00"/>
    <x v="0"/>
    <n v="0"/>
    <x v="0"/>
    <x v="4"/>
    <x v="0"/>
    <x v="4"/>
    <n v="3"/>
    <x v="1"/>
    <n v="0.2273"/>
    <n v="0.93"/>
    <n v="0.1343"/>
    <x v="5"/>
    <x v="4"/>
    <x v="5"/>
    <x v="2"/>
    <x v="0"/>
    <x v="4"/>
    <x v="0"/>
    <x v="2"/>
  </r>
  <r>
    <n v="413"/>
    <d v="2011-01-19T00:00:00"/>
    <x v="0"/>
    <n v="0"/>
    <x v="0"/>
    <x v="5"/>
    <x v="0"/>
    <x v="4"/>
    <n v="2"/>
    <x v="1"/>
    <n v="0.2576"/>
    <n v="0.93"/>
    <n v="8.9599999999999999E-2"/>
    <x v="3"/>
    <x v="7"/>
    <x v="85"/>
    <x v="1"/>
    <x v="0"/>
    <x v="4"/>
    <x v="0"/>
    <x v="1"/>
  </r>
  <r>
    <n v="414"/>
    <d v="2011-01-19T00:00:00"/>
    <x v="0"/>
    <n v="0"/>
    <x v="0"/>
    <x v="6"/>
    <x v="0"/>
    <x v="4"/>
    <n v="2"/>
    <x v="1"/>
    <n v="0.2576"/>
    <n v="0.93"/>
    <n v="8.9599999999999999E-2"/>
    <x v="3"/>
    <x v="1"/>
    <x v="2"/>
    <x v="1"/>
    <x v="0"/>
    <x v="4"/>
    <x v="0"/>
    <x v="1"/>
  </r>
  <r>
    <n v="415"/>
    <d v="2011-01-19T00:00:00"/>
    <x v="0"/>
    <n v="0"/>
    <x v="0"/>
    <x v="7"/>
    <x v="0"/>
    <x v="4"/>
    <n v="2"/>
    <x v="0"/>
    <n v="0.2576"/>
    <n v="0.92"/>
    <n v="0.1045"/>
    <x v="5"/>
    <x v="121"/>
    <x v="127"/>
    <x v="1"/>
    <x v="0"/>
    <x v="4"/>
    <x v="0"/>
    <x v="1"/>
  </r>
  <r>
    <n v="416"/>
    <d v="2011-01-19T00:00:00"/>
    <x v="0"/>
    <n v="0"/>
    <x v="0"/>
    <x v="8"/>
    <x v="0"/>
    <x v="4"/>
    <n v="2"/>
    <x v="0"/>
    <n v="0.2576"/>
    <n v="0.93"/>
    <n v="0.1045"/>
    <x v="5"/>
    <x v="127"/>
    <x v="141"/>
    <x v="1"/>
    <x v="0"/>
    <x v="4"/>
    <x v="0"/>
    <x v="1"/>
  </r>
  <r>
    <n v="417"/>
    <d v="2011-01-19T00:00:00"/>
    <x v="0"/>
    <n v="0"/>
    <x v="0"/>
    <x v="9"/>
    <x v="0"/>
    <x v="4"/>
    <n v="2"/>
    <x v="0"/>
    <n v="0.2576"/>
    <n v="0.93"/>
    <n v="0.1045"/>
    <x v="4"/>
    <x v="128"/>
    <x v="142"/>
    <x v="1"/>
    <x v="0"/>
    <x v="4"/>
    <x v="0"/>
    <x v="1"/>
  </r>
  <r>
    <n v="418"/>
    <d v="2011-01-19T00:00:00"/>
    <x v="0"/>
    <n v="0"/>
    <x v="0"/>
    <x v="10"/>
    <x v="0"/>
    <x v="4"/>
    <n v="2"/>
    <x v="12"/>
    <n v="0.2727"/>
    <n v="0.93"/>
    <n v="0.1343"/>
    <x v="5"/>
    <x v="24"/>
    <x v="105"/>
    <x v="1"/>
    <x v="0"/>
    <x v="4"/>
    <x v="0"/>
    <x v="1"/>
  </r>
  <r>
    <n v="419"/>
    <d v="2011-01-19T00:00:00"/>
    <x v="0"/>
    <n v="0"/>
    <x v="0"/>
    <x v="11"/>
    <x v="0"/>
    <x v="4"/>
    <n v="2"/>
    <x v="17"/>
    <n v="0.30299999999999999"/>
    <n v="0.87"/>
    <n v="8.9599999999999999E-2"/>
    <x v="2"/>
    <x v="12"/>
    <x v="46"/>
    <x v="1"/>
    <x v="0"/>
    <x v="4"/>
    <x v="0"/>
    <x v="1"/>
  </r>
  <r>
    <n v="420"/>
    <d v="2011-01-19T00:00:00"/>
    <x v="0"/>
    <n v="0"/>
    <x v="0"/>
    <x v="12"/>
    <x v="0"/>
    <x v="4"/>
    <n v="2"/>
    <x v="11"/>
    <n v="0.31819999999999998"/>
    <n v="0.81"/>
    <n v="8.9599999999999999E-2"/>
    <x v="2"/>
    <x v="65"/>
    <x v="27"/>
    <x v="1"/>
    <x v="0"/>
    <x v="4"/>
    <x v="0"/>
    <x v="1"/>
  </r>
  <r>
    <n v="421"/>
    <d v="2011-01-19T00:00:00"/>
    <x v="0"/>
    <n v="0"/>
    <x v="0"/>
    <x v="13"/>
    <x v="0"/>
    <x v="4"/>
    <n v="1"/>
    <x v="9"/>
    <n v="0.40910000000000002"/>
    <n v="0.62"/>
    <n v="0.28360000000000002"/>
    <x v="16"/>
    <x v="28"/>
    <x v="53"/>
    <x v="0"/>
    <x v="0"/>
    <x v="4"/>
    <x v="0"/>
    <x v="0"/>
  </r>
  <r>
    <n v="422"/>
    <d v="2011-01-19T00:00:00"/>
    <x v="0"/>
    <n v="0"/>
    <x v="0"/>
    <x v="14"/>
    <x v="0"/>
    <x v="4"/>
    <n v="1"/>
    <x v="9"/>
    <n v="0.40910000000000002"/>
    <n v="0.57999999999999996"/>
    <n v="0.25369999999999998"/>
    <x v="18"/>
    <x v="56"/>
    <x v="28"/>
    <x v="0"/>
    <x v="0"/>
    <x v="4"/>
    <x v="0"/>
    <x v="0"/>
  </r>
  <r>
    <n v="423"/>
    <d v="2011-01-19T00:00:00"/>
    <x v="0"/>
    <n v="0"/>
    <x v="0"/>
    <x v="15"/>
    <x v="0"/>
    <x v="4"/>
    <n v="1"/>
    <x v="9"/>
    <n v="0.40910000000000002"/>
    <n v="0.54"/>
    <n v="0.28360000000000002"/>
    <x v="17"/>
    <x v="78"/>
    <x v="100"/>
    <x v="0"/>
    <x v="0"/>
    <x v="4"/>
    <x v="0"/>
    <x v="0"/>
  </r>
  <r>
    <n v="424"/>
    <d v="2011-01-19T00:00:00"/>
    <x v="0"/>
    <n v="0"/>
    <x v="0"/>
    <x v="16"/>
    <x v="0"/>
    <x v="4"/>
    <n v="1"/>
    <x v="4"/>
    <n v="0.39389999999999997"/>
    <n v="0.57999999999999996"/>
    <n v="0.3881"/>
    <x v="22"/>
    <x v="111"/>
    <x v="133"/>
    <x v="0"/>
    <x v="0"/>
    <x v="4"/>
    <x v="0"/>
    <x v="0"/>
  </r>
  <r>
    <n v="425"/>
    <d v="2011-01-19T00:00:00"/>
    <x v="0"/>
    <n v="0"/>
    <x v="0"/>
    <x v="17"/>
    <x v="0"/>
    <x v="4"/>
    <n v="1"/>
    <x v="5"/>
    <n v="0.33329999999999999"/>
    <n v="0.56999999999999995"/>
    <n v="0.32840000000000003"/>
    <x v="18"/>
    <x v="84"/>
    <x v="141"/>
    <x v="0"/>
    <x v="0"/>
    <x v="4"/>
    <x v="0"/>
    <x v="0"/>
  </r>
  <r>
    <n v="426"/>
    <d v="2011-01-19T00:00:00"/>
    <x v="0"/>
    <n v="0"/>
    <x v="0"/>
    <x v="18"/>
    <x v="0"/>
    <x v="4"/>
    <n v="1"/>
    <x v="10"/>
    <n v="0.31819999999999998"/>
    <n v="0.61"/>
    <n v="0.28360000000000002"/>
    <x v="2"/>
    <x v="117"/>
    <x v="143"/>
    <x v="0"/>
    <x v="0"/>
    <x v="4"/>
    <x v="0"/>
    <x v="0"/>
  </r>
  <r>
    <n v="427"/>
    <d v="2011-01-19T00:00:00"/>
    <x v="0"/>
    <n v="0"/>
    <x v="0"/>
    <x v="19"/>
    <x v="0"/>
    <x v="4"/>
    <n v="1"/>
    <x v="3"/>
    <n v="0.28789999999999999"/>
    <n v="0.56999999999999995"/>
    <n v="0.41789999999999999"/>
    <x v="17"/>
    <x v="123"/>
    <x v="59"/>
    <x v="0"/>
    <x v="0"/>
    <x v="4"/>
    <x v="0"/>
    <x v="0"/>
  </r>
  <r>
    <n v="428"/>
    <d v="2011-01-19T00:00:00"/>
    <x v="0"/>
    <n v="0"/>
    <x v="0"/>
    <x v="20"/>
    <x v="0"/>
    <x v="4"/>
    <n v="1"/>
    <x v="3"/>
    <n v="0.30299999999999999"/>
    <n v="0.49"/>
    <n v="0.29849999999999999"/>
    <x v="4"/>
    <x v="64"/>
    <x v="31"/>
    <x v="0"/>
    <x v="0"/>
    <x v="4"/>
    <x v="0"/>
    <x v="0"/>
  </r>
  <r>
    <n v="429"/>
    <d v="2011-01-19T00:00:00"/>
    <x v="0"/>
    <n v="0"/>
    <x v="0"/>
    <x v="21"/>
    <x v="0"/>
    <x v="4"/>
    <n v="1"/>
    <x v="3"/>
    <n v="0.28789999999999999"/>
    <n v="0.49"/>
    <n v="0.41789999999999999"/>
    <x v="17"/>
    <x v="11"/>
    <x v="29"/>
    <x v="0"/>
    <x v="0"/>
    <x v="4"/>
    <x v="0"/>
    <x v="0"/>
  </r>
  <r>
    <n v="430"/>
    <d v="2011-01-19T00:00:00"/>
    <x v="0"/>
    <n v="0"/>
    <x v="0"/>
    <x v="22"/>
    <x v="0"/>
    <x v="4"/>
    <n v="1"/>
    <x v="11"/>
    <n v="0.30299999999999999"/>
    <n v="0.52"/>
    <n v="0.16420000000000001"/>
    <x v="15"/>
    <x v="42"/>
    <x v="29"/>
    <x v="0"/>
    <x v="0"/>
    <x v="4"/>
    <x v="0"/>
    <x v="0"/>
  </r>
  <r>
    <n v="431"/>
    <d v="2011-01-19T00:00:00"/>
    <x v="0"/>
    <n v="0"/>
    <x v="0"/>
    <x v="23"/>
    <x v="0"/>
    <x v="4"/>
    <n v="1"/>
    <x v="11"/>
    <n v="0.2727"/>
    <n v="0.52"/>
    <n v="0.4627"/>
    <x v="5"/>
    <x v="2"/>
    <x v="20"/>
    <x v="0"/>
    <x v="0"/>
    <x v="4"/>
    <x v="0"/>
    <x v="0"/>
  </r>
  <r>
    <n v="432"/>
    <d v="2011-01-20T00:00:00"/>
    <x v="0"/>
    <n v="0"/>
    <x v="0"/>
    <x v="0"/>
    <x v="0"/>
    <x v="5"/>
    <n v="1"/>
    <x v="12"/>
    <n v="0.2273"/>
    <n v="0.56000000000000005"/>
    <n v="0.3881"/>
    <x v="2"/>
    <x v="21"/>
    <x v="3"/>
    <x v="0"/>
    <x v="0"/>
    <x v="5"/>
    <x v="0"/>
    <x v="0"/>
  </r>
  <r>
    <n v="433"/>
    <d v="2011-01-20T00:00:00"/>
    <x v="0"/>
    <n v="0"/>
    <x v="0"/>
    <x v="1"/>
    <x v="0"/>
    <x v="5"/>
    <n v="1"/>
    <x v="12"/>
    <n v="0.2727"/>
    <n v="0.56000000000000005"/>
    <n v="0"/>
    <x v="4"/>
    <x v="35"/>
    <x v="36"/>
    <x v="0"/>
    <x v="0"/>
    <x v="5"/>
    <x v="0"/>
    <x v="0"/>
  </r>
  <r>
    <n v="434"/>
    <d v="2011-01-20T00:00:00"/>
    <x v="0"/>
    <n v="0"/>
    <x v="0"/>
    <x v="2"/>
    <x v="0"/>
    <x v="5"/>
    <n v="1"/>
    <x v="12"/>
    <n v="0.2727"/>
    <n v="0.56000000000000005"/>
    <n v="0"/>
    <x v="3"/>
    <x v="6"/>
    <x v="5"/>
    <x v="0"/>
    <x v="0"/>
    <x v="5"/>
    <x v="0"/>
    <x v="0"/>
  </r>
  <r>
    <n v="435"/>
    <d v="2011-01-20T00:00:00"/>
    <x v="0"/>
    <n v="0"/>
    <x v="0"/>
    <x v="3"/>
    <x v="0"/>
    <x v="5"/>
    <n v="1"/>
    <x v="12"/>
    <n v="0.2576"/>
    <n v="0.56000000000000005"/>
    <n v="0.16420000000000001"/>
    <x v="3"/>
    <x v="4"/>
    <x v="4"/>
    <x v="0"/>
    <x v="0"/>
    <x v="5"/>
    <x v="0"/>
    <x v="0"/>
  </r>
  <r>
    <n v="436"/>
    <d v="2011-01-20T00:00:00"/>
    <x v="0"/>
    <n v="0"/>
    <x v="0"/>
    <x v="4"/>
    <x v="0"/>
    <x v="5"/>
    <n v="1"/>
    <x v="12"/>
    <n v="0.2576"/>
    <n v="0.56000000000000005"/>
    <n v="0.16420000000000001"/>
    <x v="3"/>
    <x v="4"/>
    <x v="4"/>
    <x v="0"/>
    <x v="0"/>
    <x v="5"/>
    <x v="0"/>
    <x v="0"/>
  </r>
  <r>
    <n v="437"/>
    <d v="2011-01-20T00:00:00"/>
    <x v="0"/>
    <n v="0"/>
    <x v="0"/>
    <x v="5"/>
    <x v="0"/>
    <x v="5"/>
    <n v="1"/>
    <x v="0"/>
    <n v="0.2273"/>
    <n v="0.6"/>
    <n v="0.22389999999999999"/>
    <x v="3"/>
    <x v="8"/>
    <x v="24"/>
    <x v="0"/>
    <x v="0"/>
    <x v="5"/>
    <x v="0"/>
    <x v="0"/>
  </r>
  <r>
    <n v="438"/>
    <d v="2011-01-20T00:00:00"/>
    <x v="0"/>
    <n v="0"/>
    <x v="0"/>
    <x v="6"/>
    <x v="0"/>
    <x v="5"/>
    <n v="1"/>
    <x v="1"/>
    <n v="0.21210000000000001"/>
    <n v="0.6"/>
    <n v="0.22389999999999999"/>
    <x v="3"/>
    <x v="96"/>
    <x v="17"/>
    <x v="0"/>
    <x v="0"/>
    <x v="5"/>
    <x v="0"/>
    <x v="0"/>
  </r>
  <r>
    <n v="439"/>
    <d v="2011-01-20T00:00:00"/>
    <x v="0"/>
    <n v="0"/>
    <x v="0"/>
    <x v="7"/>
    <x v="0"/>
    <x v="5"/>
    <n v="1"/>
    <x v="1"/>
    <n v="0.21210000000000001"/>
    <n v="0.55000000000000004"/>
    <n v="0.22389999999999999"/>
    <x v="5"/>
    <x v="129"/>
    <x v="129"/>
    <x v="0"/>
    <x v="0"/>
    <x v="5"/>
    <x v="0"/>
    <x v="0"/>
  </r>
  <r>
    <n v="440"/>
    <d v="2011-01-20T00:00:00"/>
    <x v="0"/>
    <n v="0"/>
    <x v="0"/>
    <x v="8"/>
    <x v="0"/>
    <x v="5"/>
    <n v="1"/>
    <x v="1"/>
    <n v="0.21210000000000001"/>
    <n v="0.55000000000000004"/>
    <n v="0.28360000000000002"/>
    <x v="4"/>
    <x v="130"/>
    <x v="144"/>
    <x v="0"/>
    <x v="0"/>
    <x v="5"/>
    <x v="0"/>
    <x v="0"/>
  </r>
  <r>
    <n v="441"/>
    <d v="2011-01-20T00:00:00"/>
    <x v="0"/>
    <n v="0"/>
    <x v="0"/>
    <x v="9"/>
    <x v="0"/>
    <x v="5"/>
    <n v="2"/>
    <x v="0"/>
    <n v="0.2273"/>
    <n v="0.52"/>
    <n v="0.22389999999999999"/>
    <x v="0"/>
    <x v="131"/>
    <x v="145"/>
    <x v="1"/>
    <x v="0"/>
    <x v="5"/>
    <x v="0"/>
    <x v="1"/>
  </r>
  <r>
    <n v="442"/>
    <d v="2011-01-20T00:00:00"/>
    <x v="0"/>
    <n v="0"/>
    <x v="0"/>
    <x v="10"/>
    <x v="0"/>
    <x v="5"/>
    <n v="1"/>
    <x v="12"/>
    <n v="0.2273"/>
    <n v="0.48"/>
    <n v="0.29849999999999999"/>
    <x v="5"/>
    <x v="90"/>
    <x v="52"/>
    <x v="0"/>
    <x v="0"/>
    <x v="5"/>
    <x v="0"/>
    <x v="0"/>
  </r>
  <r>
    <n v="443"/>
    <d v="2011-01-20T00:00:00"/>
    <x v="0"/>
    <n v="0"/>
    <x v="0"/>
    <x v="11"/>
    <x v="0"/>
    <x v="5"/>
    <n v="2"/>
    <x v="17"/>
    <n v="0.2727"/>
    <n v="0.45"/>
    <n v="0.16420000000000001"/>
    <x v="2"/>
    <x v="36"/>
    <x v="118"/>
    <x v="1"/>
    <x v="0"/>
    <x v="5"/>
    <x v="0"/>
    <x v="1"/>
  </r>
  <r>
    <n v="444"/>
    <d v="2011-01-20T00:00:00"/>
    <x v="0"/>
    <n v="0"/>
    <x v="0"/>
    <x v="12"/>
    <x v="0"/>
    <x v="5"/>
    <n v="2"/>
    <x v="11"/>
    <n v="0.33329999999999999"/>
    <n v="0.42"/>
    <n v="0"/>
    <x v="18"/>
    <x v="99"/>
    <x v="11"/>
    <x v="1"/>
    <x v="0"/>
    <x v="5"/>
    <x v="0"/>
    <x v="1"/>
  </r>
  <r>
    <n v="445"/>
    <d v="2011-01-20T00:00:00"/>
    <x v="0"/>
    <n v="0"/>
    <x v="0"/>
    <x v="13"/>
    <x v="0"/>
    <x v="5"/>
    <n v="2"/>
    <x v="17"/>
    <n v="0.28789999999999999"/>
    <n v="0.45"/>
    <n v="0.1045"/>
    <x v="6"/>
    <x v="132"/>
    <x v="95"/>
    <x v="1"/>
    <x v="0"/>
    <x v="5"/>
    <x v="0"/>
    <x v="1"/>
  </r>
  <r>
    <n v="446"/>
    <d v="2011-01-20T00:00:00"/>
    <x v="0"/>
    <n v="0"/>
    <x v="0"/>
    <x v="14"/>
    <x v="0"/>
    <x v="5"/>
    <n v="2"/>
    <x v="11"/>
    <n v="0.30299999999999999"/>
    <n v="0.45"/>
    <n v="0.1343"/>
    <x v="15"/>
    <x v="102"/>
    <x v="117"/>
    <x v="1"/>
    <x v="0"/>
    <x v="5"/>
    <x v="0"/>
    <x v="1"/>
  </r>
  <r>
    <n v="447"/>
    <d v="2011-01-20T00:00:00"/>
    <x v="0"/>
    <n v="0"/>
    <x v="0"/>
    <x v="15"/>
    <x v="0"/>
    <x v="5"/>
    <n v="2"/>
    <x v="3"/>
    <n v="0.31819999999999998"/>
    <n v="0.45"/>
    <n v="0.19400000000000001"/>
    <x v="1"/>
    <x v="133"/>
    <x v="27"/>
    <x v="1"/>
    <x v="0"/>
    <x v="5"/>
    <x v="0"/>
    <x v="1"/>
  </r>
  <r>
    <n v="448"/>
    <d v="2011-01-20T00:00:00"/>
    <x v="0"/>
    <n v="0"/>
    <x v="0"/>
    <x v="16"/>
    <x v="0"/>
    <x v="5"/>
    <n v="2"/>
    <x v="11"/>
    <n v="0.30299999999999999"/>
    <n v="0.49"/>
    <n v="0.1343"/>
    <x v="1"/>
    <x v="93"/>
    <x v="134"/>
    <x v="1"/>
    <x v="0"/>
    <x v="5"/>
    <x v="0"/>
    <x v="1"/>
  </r>
  <r>
    <n v="449"/>
    <d v="2011-01-20T00:00:00"/>
    <x v="0"/>
    <n v="0"/>
    <x v="0"/>
    <x v="17"/>
    <x v="0"/>
    <x v="5"/>
    <n v="2"/>
    <x v="11"/>
    <n v="0.31819999999999998"/>
    <n v="0.49"/>
    <n v="0.1045"/>
    <x v="1"/>
    <x v="134"/>
    <x v="146"/>
    <x v="1"/>
    <x v="0"/>
    <x v="5"/>
    <x v="0"/>
    <x v="1"/>
  </r>
  <r>
    <n v="450"/>
    <d v="2011-01-20T00:00:00"/>
    <x v="0"/>
    <n v="0"/>
    <x v="0"/>
    <x v="18"/>
    <x v="0"/>
    <x v="5"/>
    <n v="2"/>
    <x v="12"/>
    <n v="0.2576"/>
    <n v="0.56000000000000005"/>
    <n v="0.19400000000000001"/>
    <x v="5"/>
    <x v="103"/>
    <x v="147"/>
    <x v="1"/>
    <x v="0"/>
    <x v="5"/>
    <x v="0"/>
    <x v="1"/>
  </r>
  <r>
    <n v="451"/>
    <d v="2011-01-20T00:00:00"/>
    <x v="0"/>
    <n v="0"/>
    <x v="0"/>
    <x v="19"/>
    <x v="0"/>
    <x v="5"/>
    <n v="1"/>
    <x v="12"/>
    <n v="0.2273"/>
    <n v="0.56000000000000005"/>
    <n v="0.32840000000000003"/>
    <x v="15"/>
    <x v="44"/>
    <x v="148"/>
    <x v="0"/>
    <x v="0"/>
    <x v="5"/>
    <x v="0"/>
    <x v="0"/>
  </r>
  <r>
    <n v="452"/>
    <d v="2011-01-20T00:00:00"/>
    <x v="0"/>
    <n v="0"/>
    <x v="0"/>
    <x v="20"/>
    <x v="0"/>
    <x v="5"/>
    <n v="2"/>
    <x v="12"/>
    <n v="0.2424"/>
    <n v="0.6"/>
    <n v="0.28360000000000002"/>
    <x v="4"/>
    <x v="125"/>
    <x v="149"/>
    <x v="1"/>
    <x v="0"/>
    <x v="5"/>
    <x v="0"/>
    <x v="1"/>
  </r>
  <r>
    <n v="453"/>
    <d v="2011-01-20T00:00:00"/>
    <x v="0"/>
    <n v="0"/>
    <x v="0"/>
    <x v="21"/>
    <x v="0"/>
    <x v="5"/>
    <n v="2"/>
    <x v="0"/>
    <n v="0.2273"/>
    <n v="0.6"/>
    <n v="0.25369999999999998"/>
    <x v="0"/>
    <x v="25"/>
    <x v="52"/>
    <x v="1"/>
    <x v="0"/>
    <x v="5"/>
    <x v="0"/>
    <x v="1"/>
  </r>
  <r>
    <n v="454"/>
    <d v="2011-01-20T00:00:00"/>
    <x v="0"/>
    <n v="0"/>
    <x v="0"/>
    <x v="22"/>
    <x v="0"/>
    <x v="5"/>
    <n v="2"/>
    <x v="0"/>
    <n v="0.21210000000000001"/>
    <n v="0.65"/>
    <n v="0.28360000000000002"/>
    <x v="3"/>
    <x v="90"/>
    <x v="10"/>
    <x v="1"/>
    <x v="0"/>
    <x v="5"/>
    <x v="0"/>
    <x v="1"/>
  </r>
  <r>
    <n v="455"/>
    <d v="2011-01-20T00:00:00"/>
    <x v="0"/>
    <n v="0"/>
    <x v="0"/>
    <x v="23"/>
    <x v="0"/>
    <x v="5"/>
    <n v="2"/>
    <x v="0"/>
    <n v="0.21210000000000001"/>
    <n v="0.65"/>
    <n v="0.32840000000000003"/>
    <x v="0"/>
    <x v="95"/>
    <x v="35"/>
    <x v="1"/>
    <x v="0"/>
    <x v="5"/>
    <x v="0"/>
    <x v="1"/>
  </r>
  <r>
    <n v="456"/>
    <d v="2011-01-21T00:00:00"/>
    <x v="0"/>
    <n v="0"/>
    <x v="0"/>
    <x v="0"/>
    <x v="0"/>
    <x v="6"/>
    <n v="2"/>
    <x v="0"/>
    <n v="0.2273"/>
    <n v="0.7"/>
    <n v="0.25369999999999998"/>
    <x v="5"/>
    <x v="32"/>
    <x v="137"/>
    <x v="1"/>
    <x v="0"/>
    <x v="6"/>
    <x v="0"/>
    <x v="1"/>
  </r>
  <r>
    <n v="457"/>
    <d v="2011-01-21T00:00:00"/>
    <x v="0"/>
    <n v="0"/>
    <x v="0"/>
    <x v="1"/>
    <x v="0"/>
    <x v="6"/>
    <n v="2"/>
    <x v="0"/>
    <n v="0.2273"/>
    <n v="0.7"/>
    <n v="0.25369999999999998"/>
    <x v="3"/>
    <x v="8"/>
    <x v="24"/>
    <x v="1"/>
    <x v="0"/>
    <x v="6"/>
    <x v="0"/>
    <x v="1"/>
  </r>
  <r>
    <n v="458"/>
    <d v="2011-01-21T00:00:00"/>
    <x v="0"/>
    <n v="0"/>
    <x v="0"/>
    <x v="2"/>
    <x v="0"/>
    <x v="6"/>
    <n v="3"/>
    <x v="0"/>
    <n v="0.2424"/>
    <n v="0.75"/>
    <n v="0.16420000000000001"/>
    <x v="3"/>
    <x v="6"/>
    <x v="5"/>
    <x v="2"/>
    <x v="0"/>
    <x v="6"/>
    <x v="0"/>
    <x v="2"/>
  </r>
  <r>
    <n v="459"/>
    <d v="2011-01-21T00:00:00"/>
    <x v="0"/>
    <n v="0"/>
    <x v="0"/>
    <x v="3"/>
    <x v="0"/>
    <x v="6"/>
    <n v="3"/>
    <x v="1"/>
    <n v="0.21210000000000001"/>
    <n v="0.8"/>
    <n v="0.29849999999999999"/>
    <x v="3"/>
    <x v="4"/>
    <x v="4"/>
    <x v="2"/>
    <x v="0"/>
    <x v="6"/>
    <x v="0"/>
    <x v="2"/>
  </r>
  <r>
    <n v="460"/>
    <d v="2011-01-21T00:00:00"/>
    <x v="0"/>
    <n v="0"/>
    <x v="0"/>
    <x v="4"/>
    <x v="0"/>
    <x v="6"/>
    <n v="2"/>
    <x v="1"/>
    <n v="0.2576"/>
    <n v="0.87"/>
    <n v="8.9599999999999999E-2"/>
    <x v="3"/>
    <x v="4"/>
    <x v="4"/>
    <x v="1"/>
    <x v="0"/>
    <x v="6"/>
    <x v="0"/>
    <x v="1"/>
  </r>
  <r>
    <n v="461"/>
    <d v="2011-01-21T00:00:00"/>
    <x v="0"/>
    <n v="0"/>
    <x v="0"/>
    <x v="5"/>
    <x v="0"/>
    <x v="6"/>
    <n v="1"/>
    <x v="0"/>
    <n v="0.19700000000000001"/>
    <n v="0.6"/>
    <n v="0.41789999999999999"/>
    <x v="5"/>
    <x v="22"/>
    <x v="36"/>
    <x v="0"/>
    <x v="0"/>
    <x v="6"/>
    <x v="0"/>
    <x v="0"/>
  </r>
  <r>
    <n v="462"/>
    <d v="2011-01-21T00:00:00"/>
    <x v="0"/>
    <n v="0"/>
    <x v="0"/>
    <x v="6"/>
    <x v="0"/>
    <x v="6"/>
    <n v="1"/>
    <x v="1"/>
    <n v="0.21210000000000001"/>
    <n v="0.55000000000000004"/>
    <n v="0.25369999999999998"/>
    <x v="3"/>
    <x v="2"/>
    <x v="110"/>
    <x v="0"/>
    <x v="0"/>
    <x v="6"/>
    <x v="0"/>
    <x v="0"/>
  </r>
  <r>
    <n v="463"/>
    <d v="2011-01-21T00:00:00"/>
    <x v="0"/>
    <n v="0"/>
    <x v="0"/>
    <x v="7"/>
    <x v="0"/>
    <x v="6"/>
    <n v="1"/>
    <x v="2"/>
    <n v="0.18179999999999999"/>
    <n v="0.51"/>
    <n v="0.28360000000000002"/>
    <x v="4"/>
    <x v="43"/>
    <x v="118"/>
    <x v="0"/>
    <x v="0"/>
    <x v="6"/>
    <x v="0"/>
    <x v="0"/>
  </r>
  <r>
    <n v="464"/>
    <d v="2011-01-21T00:00:00"/>
    <x v="0"/>
    <n v="0"/>
    <x v="0"/>
    <x v="8"/>
    <x v="0"/>
    <x v="6"/>
    <n v="1"/>
    <x v="2"/>
    <n v="0.18179999999999999"/>
    <n v="0.47"/>
    <n v="0.32840000000000003"/>
    <x v="18"/>
    <x v="135"/>
    <x v="112"/>
    <x v="0"/>
    <x v="0"/>
    <x v="6"/>
    <x v="0"/>
    <x v="0"/>
  </r>
  <r>
    <n v="465"/>
    <d v="2011-01-21T00:00:00"/>
    <x v="0"/>
    <n v="0"/>
    <x v="0"/>
    <x v="9"/>
    <x v="0"/>
    <x v="6"/>
    <n v="1"/>
    <x v="2"/>
    <n v="0.18179999999999999"/>
    <n v="0.51"/>
    <n v="0.35820000000000002"/>
    <x v="18"/>
    <x v="136"/>
    <x v="150"/>
    <x v="0"/>
    <x v="0"/>
    <x v="6"/>
    <x v="0"/>
    <x v="0"/>
  </r>
  <r>
    <n v="466"/>
    <d v="2011-01-21T00:00:00"/>
    <x v="0"/>
    <n v="0"/>
    <x v="0"/>
    <x v="10"/>
    <x v="0"/>
    <x v="6"/>
    <n v="1"/>
    <x v="2"/>
    <n v="0.16669999999999999"/>
    <n v="0.47"/>
    <n v="0.4627"/>
    <x v="15"/>
    <x v="77"/>
    <x v="55"/>
    <x v="0"/>
    <x v="0"/>
    <x v="6"/>
    <x v="0"/>
    <x v="0"/>
  </r>
  <r>
    <n v="467"/>
    <d v="2011-01-21T00:00:00"/>
    <x v="0"/>
    <n v="0"/>
    <x v="0"/>
    <x v="11"/>
    <x v="0"/>
    <x v="6"/>
    <n v="1"/>
    <x v="1"/>
    <n v="0.18179999999999999"/>
    <n v="0.41"/>
    <n v="0.4627"/>
    <x v="15"/>
    <x v="42"/>
    <x v="29"/>
    <x v="0"/>
    <x v="0"/>
    <x v="6"/>
    <x v="0"/>
    <x v="0"/>
  </r>
  <r>
    <n v="468"/>
    <d v="2011-01-21T00:00:00"/>
    <x v="0"/>
    <n v="0"/>
    <x v="0"/>
    <x v="12"/>
    <x v="0"/>
    <x v="6"/>
    <n v="1"/>
    <x v="1"/>
    <n v="0.18179999999999999"/>
    <n v="0.27"/>
    <n v="0.58209999999999995"/>
    <x v="16"/>
    <x v="28"/>
    <x v="53"/>
    <x v="0"/>
    <x v="0"/>
    <x v="6"/>
    <x v="0"/>
    <x v="0"/>
  </r>
  <r>
    <n v="469"/>
    <d v="2011-01-21T00:00:00"/>
    <x v="0"/>
    <n v="0"/>
    <x v="0"/>
    <x v="13"/>
    <x v="0"/>
    <x v="6"/>
    <n v="1"/>
    <x v="2"/>
    <n v="0.1515"/>
    <n v="0.21"/>
    <n v="0.58209999999999995"/>
    <x v="1"/>
    <x v="65"/>
    <x v="88"/>
    <x v="0"/>
    <x v="0"/>
    <x v="6"/>
    <x v="0"/>
    <x v="0"/>
  </r>
  <r>
    <n v="470"/>
    <d v="2011-01-21T00:00:00"/>
    <x v="0"/>
    <n v="0"/>
    <x v="0"/>
    <x v="14"/>
    <x v="0"/>
    <x v="6"/>
    <n v="1"/>
    <x v="2"/>
    <n v="0.1515"/>
    <n v="0.25"/>
    <n v="0.52239999999999998"/>
    <x v="15"/>
    <x v="90"/>
    <x v="69"/>
    <x v="0"/>
    <x v="0"/>
    <x v="6"/>
    <x v="0"/>
    <x v="0"/>
  </r>
  <r>
    <n v="471"/>
    <d v="2011-01-21T00:00:00"/>
    <x v="0"/>
    <n v="0"/>
    <x v="0"/>
    <x v="15"/>
    <x v="0"/>
    <x v="6"/>
    <n v="1"/>
    <x v="13"/>
    <n v="0.1212"/>
    <n v="0.26"/>
    <n v="0.44779999999999998"/>
    <x v="17"/>
    <x v="124"/>
    <x v="32"/>
    <x v="0"/>
    <x v="0"/>
    <x v="6"/>
    <x v="0"/>
    <x v="0"/>
  </r>
  <r>
    <n v="472"/>
    <d v="2011-01-21T00:00:00"/>
    <x v="0"/>
    <n v="0"/>
    <x v="0"/>
    <x v="16"/>
    <x v="0"/>
    <x v="6"/>
    <n v="1"/>
    <x v="13"/>
    <n v="0.13639999999999999"/>
    <n v="0.26"/>
    <n v="0.35820000000000002"/>
    <x v="3"/>
    <x v="106"/>
    <x v="54"/>
    <x v="0"/>
    <x v="0"/>
    <x v="6"/>
    <x v="0"/>
    <x v="0"/>
  </r>
  <r>
    <n v="473"/>
    <d v="2011-01-21T00:00:00"/>
    <x v="0"/>
    <n v="0"/>
    <x v="0"/>
    <x v="17"/>
    <x v="0"/>
    <x v="6"/>
    <n v="1"/>
    <x v="14"/>
    <n v="0.1212"/>
    <n v="0.28000000000000003"/>
    <n v="0.35820000000000002"/>
    <x v="22"/>
    <x v="137"/>
    <x v="143"/>
    <x v="0"/>
    <x v="0"/>
    <x v="6"/>
    <x v="0"/>
    <x v="0"/>
  </r>
  <r>
    <n v="474"/>
    <d v="2011-01-21T00:00:00"/>
    <x v="0"/>
    <n v="0"/>
    <x v="0"/>
    <x v="18"/>
    <x v="0"/>
    <x v="6"/>
    <n v="1"/>
    <x v="16"/>
    <n v="0.1212"/>
    <n v="0.3"/>
    <n v="0.25369999999999998"/>
    <x v="5"/>
    <x v="138"/>
    <x v="151"/>
    <x v="0"/>
    <x v="0"/>
    <x v="6"/>
    <x v="0"/>
    <x v="0"/>
  </r>
  <r>
    <n v="475"/>
    <d v="2011-01-21T00:00:00"/>
    <x v="0"/>
    <n v="0"/>
    <x v="0"/>
    <x v="19"/>
    <x v="0"/>
    <x v="6"/>
    <n v="1"/>
    <x v="16"/>
    <n v="0.1061"/>
    <n v="0.3"/>
    <n v="0.32840000000000003"/>
    <x v="0"/>
    <x v="139"/>
    <x v="152"/>
    <x v="0"/>
    <x v="0"/>
    <x v="6"/>
    <x v="0"/>
    <x v="0"/>
  </r>
  <r>
    <n v="476"/>
    <d v="2011-01-21T00:00:00"/>
    <x v="0"/>
    <n v="0"/>
    <x v="0"/>
    <x v="20"/>
    <x v="0"/>
    <x v="6"/>
    <n v="1"/>
    <x v="18"/>
    <n v="7.5800000000000006E-2"/>
    <n v="0.33"/>
    <n v="0.41789999999999999"/>
    <x v="5"/>
    <x v="15"/>
    <x v="26"/>
    <x v="0"/>
    <x v="0"/>
    <x v="6"/>
    <x v="0"/>
    <x v="0"/>
  </r>
  <r>
    <n v="477"/>
    <d v="2011-01-21T00:00:00"/>
    <x v="0"/>
    <n v="0"/>
    <x v="0"/>
    <x v="21"/>
    <x v="0"/>
    <x v="6"/>
    <n v="1"/>
    <x v="19"/>
    <n v="7.5800000000000006E-2"/>
    <n v="0.38"/>
    <n v="0.28360000000000002"/>
    <x v="3"/>
    <x v="40"/>
    <x v="102"/>
    <x v="0"/>
    <x v="0"/>
    <x v="6"/>
    <x v="0"/>
    <x v="0"/>
  </r>
  <r>
    <n v="478"/>
    <d v="2011-01-21T00:00:00"/>
    <x v="0"/>
    <n v="0"/>
    <x v="0"/>
    <x v="22"/>
    <x v="0"/>
    <x v="6"/>
    <n v="1"/>
    <x v="20"/>
    <n v="3.0300000000000001E-2"/>
    <n v="0.41"/>
    <n v="0.3881"/>
    <x v="5"/>
    <x v="39"/>
    <x v="19"/>
    <x v="0"/>
    <x v="0"/>
    <x v="6"/>
    <x v="0"/>
    <x v="0"/>
  </r>
  <r>
    <n v="479"/>
    <d v="2011-01-21T00:00:00"/>
    <x v="0"/>
    <n v="0"/>
    <x v="0"/>
    <x v="23"/>
    <x v="0"/>
    <x v="6"/>
    <n v="1"/>
    <x v="20"/>
    <n v="4.5499999999999999E-2"/>
    <n v="0.38"/>
    <n v="0.32840000000000003"/>
    <x v="3"/>
    <x v="2"/>
    <x v="110"/>
    <x v="0"/>
    <x v="0"/>
    <x v="6"/>
    <x v="0"/>
    <x v="0"/>
  </r>
  <r>
    <n v="480"/>
    <d v="2011-01-22T00:00:00"/>
    <x v="0"/>
    <n v="0"/>
    <x v="0"/>
    <x v="0"/>
    <x v="0"/>
    <x v="0"/>
    <n v="1"/>
    <x v="21"/>
    <n v="3.0300000000000001E-2"/>
    <n v="0.45"/>
    <n v="0.25369999999999998"/>
    <x v="3"/>
    <x v="0"/>
    <x v="3"/>
    <x v="0"/>
    <x v="0"/>
    <x v="0"/>
    <x v="0"/>
    <x v="0"/>
  </r>
  <r>
    <n v="481"/>
    <d v="2011-01-22T00:00:00"/>
    <x v="0"/>
    <n v="0"/>
    <x v="0"/>
    <x v="1"/>
    <x v="0"/>
    <x v="0"/>
    <n v="2"/>
    <x v="21"/>
    <n v="0"/>
    <n v="0.41"/>
    <n v="0.3881"/>
    <x v="0"/>
    <x v="33"/>
    <x v="47"/>
    <x v="1"/>
    <x v="0"/>
    <x v="0"/>
    <x v="0"/>
    <x v="1"/>
  </r>
  <r>
    <n v="482"/>
    <d v="2011-01-22T00:00:00"/>
    <x v="0"/>
    <n v="0"/>
    <x v="0"/>
    <x v="2"/>
    <x v="0"/>
    <x v="0"/>
    <n v="2"/>
    <x v="21"/>
    <n v="3.0300000000000001E-2"/>
    <n v="0.41"/>
    <n v="0.25369999999999998"/>
    <x v="3"/>
    <x v="48"/>
    <x v="62"/>
    <x v="1"/>
    <x v="0"/>
    <x v="0"/>
    <x v="0"/>
    <x v="1"/>
  </r>
  <r>
    <n v="483"/>
    <d v="2011-01-22T00:00:00"/>
    <x v="0"/>
    <n v="0"/>
    <x v="0"/>
    <x v="3"/>
    <x v="0"/>
    <x v="0"/>
    <n v="2"/>
    <x v="21"/>
    <n v="3.0300000000000001E-2"/>
    <n v="0.41"/>
    <n v="0.28360000000000002"/>
    <x v="5"/>
    <x v="8"/>
    <x v="85"/>
    <x v="1"/>
    <x v="0"/>
    <x v="0"/>
    <x v="0"/>
    <x v="1"/>
  </r>
  <r>
    <n v="484"/>
    <d v="2011-01-22T00:00:00"/>
    <x v="0"/>
    <n v="0"/>
    <x v="0"/>
    <x v="4"/>
    <x v="0"/>
    <x v="0"/>
    <n v="2"/>
    <x v="22"/>
    <n v="1.52E-2"/>
    <n v="0.48"/>
    <n v="0.29849999999999999"/>
    <x v="3"/>
    <x v="35"/>
    <x v="6"/>
    <x v="1"/>
    <x v="0"/>
    <x v="0"/>
    <x v="0"/>
    <x v="1"/>
  </r>
  <r>
    <n v="485"/>
    <d v="2011-01-22T00:00:00"/>
    <x v="0"/>
    <n v="0"/>
    <x v="0"/>
    <x v="6"/>
    <x v="0"/>
    <x v="0"/>
    <n v="2"/>
    <x v="22"/>
    <n v="3.0300000000000001E-2"/>
    <n v="0.44"/>
    <n v="0.22389999999999999"/>
    <x v="3"/>
    <x v="6"/>
    <x v="5"/>
    <x v="1"/>
    <x v="0"/>
    <x v="0"/>
    <x v="0"/>
    <x v="1"/>
  </r>
  <r>
    <n v="486"/>
    <d v="2011-01-22T00:00:00"/>
    <x v="0"/>
    <n v="0"/>
    <x v="0"/>
    <x v="7"/>
    <x v="0"/>
    <x v="0"/>
    <n v="1"/>
    <x v="22"/>
    <n v="1.52E-2"/>
    <n v="0.44"/>
    <n v="0.28360000000000002"/>
    <x v="3"/>
    <x v="21"/>
    <x v="7"/>
    <x v="0"/>
    <x v="0"/>
    <x v="0"/>
    <x v="0"/>
    <x v="0"/>
  </r>
  <r>
    <n v="487"/>
    <d v="2011-01-22T00:00:00"/>
    <x v="0"/>
    <n v="0"/>
    <x v="0"/>
    <x v="8"/>
    <x v="0"/>
    <x v="0"/>
    <n v="1"/>
    <x v="22"/>
    <n v="0"/>
    <n v="0.44"/>
    <n v="0.32840000000000003"/>
    <x v="5"/>
    <x v="16"/>
    <x v="110"/>
    <x v="0"/>
    <x v="0"/>
    <x v="0"/>
    <x v="0"/>
    <x v="0"/>
  </r>
  <r>
    <n v="488"/>
    <d v="2011-01-22T00:00:00"/>
    <x v="0"/>
    <n v="0"/>
    <x v="0"/>
    <x v="9"/>
    <x v="0"/>
    <x v="0"/>
    <n v="1"/>
    <x v="21"/>
    <n v="3.0300000000000001E-2"/>
    <n v="0.41"/>
    <n v="0.25369999999999998"/>
    <x v="0"/>
    <x v="53"/>
    <x v="1"/>
    <x v="0"/>
    <x v="0"/>
    <x v="0"/>
    <x v="0"/>
    <x v="0"/>
  </r>
  <r>
    <n v="489"/>
    <d v="2011-01-22T00:00:00"/>
    <x v="0"/>
    <n v="0"/>
    <x v="0"/>
    <x v="10"/>
    <x v="0"/>
    <x v="0"/>
    <n v="2"/>
    <x v="21"/>
    <n v="6.0600000000000001E-2"/>
    <n v="0.41"/>
    <n v="0.16420000000000001"/>
    <x v="0"/>
    <x v="54"/>
    <x v="26"/>
    <x v="1"/>
    <x v="0"/>
    <x v="0"/>
    <x v="0"/>
    <x v="1"/>
  </r>
  <r>
    <n v="490"/>
    <d v="2011-01-22T00:00:00"/>
    <x v="0"/>
    <n v="0"/>
    <x v="0"/>
    <x v="11"/>
    <x v="0"/>
    <x v="0"/>
    <n v="2"/>
    <x v="20"/>
    <n v="7.5800000000000006E-2"/>
    <n v="0.38"/>
    <n v="0.1343"/>
    <x v="17"/>
    <x v="79"/>
    <x v="55"/>
    <x v="1"/>
    <x v="0"/>
    <x v="0"/>
    <x v="0"/>
    <x v="1"/>
  </r>
  <r>
    <n v="491"/>
    <d v="2011-01-22T00:00:00"/>
    <x v="0"/>
    <n v="0"/>
    <x v="0"/>
    <x v="12"/>
    <x v="0"/>
    <x v="0"/>
    <n v="2"/>
    <x v="20"/>
    <n v="0.1061"/>
    <n v="0.38"/>
    <n v="0.1045"/>
    <x v="22"/>
    <x v="91"/>
    <x v="27"/>
    <x v="1"/>
    <x v="0"/>
    <x v="0"/>
    <x v="0"/>
    <x v="1"/>
  </r>
  <r>
    <n v="492"/>
    <d v="2011-01-22T00:00:00"/>
    <x v="0"/>
    <n v="0"/>
    <x v="0"/>
    <x v="13"/>
    <x v="0"/>
    <x v="0"/>
    <n v="1"/>
    <x v="19"/>
    <n v="0.16669999999999999"/>
    <n v="0.35"/>
    <n v="0"/>
    <x v="6"/>
    <x v="109"/>
    <x v="11"/>
    <x v="0"/>
    <x v="0"/>
    <x v="0"/>
    <x v="0"/>
    <x v="0"/>
  </r>
  <r>
    <n v="493"/>
    <d v="2011-01-22T00:00:00"/>
    <x v="0"/>
    <n v="0"/>
    <x v="0"/>
    <x v="14"/>
    <x v="0"/>
    <x v="0"/>
    <n v="1"/>
    <x v="18"/>
    <n v="0.13639999999999999"/>
    <n v="0.33"/>
    <n v="0.1045"/>
    <x v="16"/>
    <x v="27"/>
    <x v="28"/>
    <x v="0"/>
    <x v="0"/>
    <x v="0"/>
    <x v="0"/>
    <x v="0"/>
  </r>
  <r>
    <n v="494"/>
    <d v="2011-01-22T00:00:00"/>
    <x v="0"/>
    <n v="0"/>
    <x v="0"/>
    <x v="15"/>
    <x v="0"/>
    <x v="0"/>
    <n v="1"/>
    <x v="16"/>
    <n v="0.1515"/>
    <n v="0.28000000000000003"/>
    <n v="0"/>
    <x v="22"/>
    <x v="139"/>
    <x v="153"/>
    <x v="0"/>
    <x v="0"/>
    <x v="0"/>
    <x v="0"/>
    <x v="0"/>
  </r>
  <r>
    <n v="495"/>
    <d v="2011-01-22T00:00:00"/>
    <x v="0"/>
    <n v="0"/>
    <x v="0"/>
    <x v="16"/>
    <x v="0"/>
    <x v="0"/>
    <n v="1"/>
    <x v="16"/>
    <n v="0.13639999999999999"/>
    <n v="0.28000000000000003"/>
    <n v="0.19400000000000001"/>
    <x v="16"/>
    <x v="109"/>
    <x v="56"/>
    <x v="0"/>
    <x v="0"/>
    <x v="0"/>
    <x v="0"/>
    <x v="0"/>
  </r>
  <r>
    <n v="496"/>
    <d v="2011-01-22T00:00:00"/>
    <x v="0"/>
    <n v="0"/>
    <x v="0"/>
    <x v="17"/>
    <x v="0"/>
    <x v="0"/>
    <n v="1"/>
    <x v="16"/>
    <n v="0.19700000000000001"/>
    <n v="0.28000000000000003"/>
    <n v="0"/>
    <x v="1"/>
    <x v="79"/>
    <x v="16"/>
    <x v="0"/>
    <x v="0"/>
    <x v="0"/>
    <x v="0"/>
    <x v="0"/>
  </r>
  <r>
    <n v="497"/>
    <d v="2011-01-22T00:00:00"/>
    <x v="0"/>
    <n v="0"/>
    <x v="0"/>
    <x v="18"/>
    <x v="0"/>
    <x v="0"/>
    <n v="1"/>
    <x v="19"/>
    <n v="9.0899999999999995E-2"/>
    <n v="0.35"/>
    <n v="0.19400000000000001"/>
    <x v="3"/>
    <x v="25"/>
    <x v="60"/>
    <x v="0"/>
    <x v="0"/>
    <x v="0"/>
    <x v="0"/>
    <x v="0"/>
  </r>
  <r>
    <n v="498"/>
    <d v="2011-01-22T00:00:00"/>
    <x v="0"/>
    <n v="0"/>
    <x v="0"/>
    <x v="19"/>
    <x v="0"/>
    <x v="0"/>
    <n v="1"/>
    <x v="19"/>
    <n v="0.1061"/>
    <n v="0.35"/>
    <n v="0.1343"/>
    <x v="15"/>
    <x v="42"/>
    <x v="29"/>
    <x v="0"/>
    <x v="0"/>
    <x v="0"/>
    <x v="0"/>
    <x v="0"/>
  </r>
  <r>
    <n v="499"/>
    <d v="2011-01-22T00:00:00"/>
    <x v="0"/>
    <n v="0"/>
    <x v="0"/>
    <x v="20"/>
    <x v="0"/>
    <x v="0"/>
    <n v="1"/>
    <x v="20"/>
    <n v="7.5800000000000006E-2"/>
    <n v="0.45"/>
    <n v="0.16420000000000001"/>
    <x v="5"/>
    <x v="100"/>
    <x v="79"/>
    <x v="0"/>
    <x v="0"/>
    <x v="0"/>
    <x v="0"/>
    <x v="0"/>
  </r>
  <r>
    <n v="500"/>
    <d v="2011-01-22T00:00:00"/>
    <x v="0"/>
    <n v="0"/>
    <x v="0"/>
    <x v="21"/>
    <x v="0"/>
    <x v="0"/>
    <n v="1"/>
    <x v="20"/>
    <n v="0.1061"/>
    <n v="0.41"/>
    <n v="8.9599999999999999E-2"/>
    <x v="3"/>
    <x v="87"/>
    <x v="21"/>
    <x v="0"/>
    <x v="0"/>
    <x v="0"/>
    <x v="0"/>
    <x v="0"/>
  </r>
  <r>
    <n v="501"/>
    <d v="2011-01-22T00:00:00"/>
    <x v="0"/>
    <n v="0"/>
    <x v="0"/>
    <x v="22"/>
    <x v="0"/>
    <x v="0"/>
    <n v="1"/>
    <x v="20"/>
    <n v="0.1515"/>
    <n v="0.49"/>
    <n v="0"/>
    <x v="18"/>
    <x v="140"/>
    <x v="33"/>
    <x v="0"/>
    <x v="0"/>
    <x v="0"/>
    <x v="0"/>
    <x v="0"/>
  </r>
  <r>
    <n v="502"/>
    <d v="2011-01-22T00:00:00"/>
    <x v="0"/>
    <n v="0"/>
    <x v="0"/>
    <x v="23"/>
    <x v="0"/>
    <x v="0"/>
    <n v="1"/>
    <x v="21"/>
    <n v="7.5800000000000006E-2"/>
    <n v="0.56999999999999995"/>
    <n v="0.1045"/>
    <x v="4"/>
    <x v="17"/>
    <x v="63"/>
    <x v="0"/>
    <x v="0"/>
    <x v="0"/>
    <x v="0"/>
    <x v="0"/>
  </r>
  <r>
    <n v="503"/>
    <d v="2011-01-23T00:00:00"/>
    <x v="0"/>
    <n v="0"/>
    <x v="0"/>
    <x v="0"/>
    <x v="0"/>
    <x v="1"/>
    <n v="1"/>
    <x v="21"/>
    <n v="7.5800000000000006E-2"/>
    <n v="0.56999999999999995"/>
    <n v="0.1045"/>
    <x v="4"/>
    <x v="32"/>
    <x v="34"/>
    <x v="0"/>
    <x v="0"/>
    <x v="1"/>
    <x v="0"/>
    <x v="0"/>
  </r>
  <r>
    <n v="504"/>
    <d v="2011-01-23T00:00:00"/>
    <x v="0"/>
    <n v="0"/>
    <x v="0"/>
    <x v="1"/>
    <x v="0"/>
    <x v="1"/>
    <n v="1"/>
    <x v="21"/>
    <n v="7.5800000000000006E-2"/>
    <n v="0.56999999999999995"/>
    <n v="0.1045"/>
    <x v="5"/>
    <x v="98"/>
    <x v="3"/>
    <x v="0"/>
    <x v="0"/>
    <x v="1"/>
    <x v="0"/>
    <x v="0"/>
  </r>
  <r>
    <n v="505"/>
    <d v="2011-01-23T00:00:00"/>
    <x v="0"/>
    <n v="0"/>
    <x v="0"/>
    <x v="2"/>
    <x v="0"/>
    <x v="1"/>
    <n v="1"/>
    <x v="22"/>
    <n v="6.0600000000000001E-2"/>
    <n v="0.62"/>
    <n v="0.1343"/>
    <x v="0"/>
    <x v="89"/>
    <x v="109"/>
    <x v="0"/>
    <x v="0"/>
    <x v="1"/>
    <x v="0"/>
    <x v="0"/>
  </r>
  <r>
    <n v="506"/>
    <d v="2011-01-23T00:00:00"/>
    <x v="0"/>
    <n v="0"/>
    <x v="0"/>
    <x v="3"/>
    <x v="0"/>
    <x v="1"/>
    <n v="1"/>
    <x v="22"/>
    <n v="6.0600000000000001E-2"/>
    <n v="0.62"/>
    <n v="0.1343"/>
    <x v="5"/>
    <x v="22"/>
    <x v="36"/>
    <x v="0"/>
    <x v="0"/>
    <x v="1"/>
    <x v="0"/>
    <x v="0"/>
  </r>
  <r>
    <n v="507"/>
    <d v="2011-01-23T00:00:00"/>
    <x v="0"/>
    <n v="0"/>
    <x v="0"/>
    <x v="5"/>
    <x v="0"/>
    <x v="1"/>
    <n v="2"/>
    <x v="21"/>
    <n v="7.5800000000000006E-2"/>
    <n v="0.56999999999999995"/>
    <n v="0.1045"/>
    <x v="3"/>
    <x v="35"/>
    <x v="6"/>
    <x v="1"/>
    <x v="0"/>
    <x v="1"/>
    <x v="0"/>
    <x v="1"/>
  </r>
  <r>
    <n v="508"/>
    <d v="2011-01-23T00:00:00"/>
    <x v="0"/>
    <n v="0"/>
    <x v="0"/>
    <x v="6"/>
    <x v="0"/>
    <x v="1"/>
    <n v="2"/>
    <x v="21"/>
    <n v="7.5800000000000006E-2"/>
    <n v="0.56999999999999995"/>
    <n v="0.1045"/>
    <x v="3"/>
    <x v="4"/>
    <x v="4"/>
    <x v="1"/>
    <x v="0"/>
    <x v="1"/>
    <x v="0"/>
    <x v="1"/>
  </r>
  <r>
    <n v="509"/>
    <d v="2011-01-23T00:00:00"/>
    <x v="0"/>
    <n v="0"/>
    <x v="0"/>
    <x v="7"/>
    <x v="0"/>
    <x v="1"/>
    <n v="1"/>
    <x v="19"/>
    <n v="0.1061"/>
    <n v="0.57999999999999996"/>
    <n v="0.16420000000000001"/>
    <x v="5"/>
    <x v="4"/>
    <x v="5"/>
    <x v="0"/>
    <x v="0"/>
    <x v="1"/>
    <x v="0"/>
    <x v="0"/>
  </r>
  <r>
    <n v="510"/>
    <d v="2011-01-23T00:00:00"/>
    <x v="0"/>
    <n v="0"/>
    <x v="0"/>
    <x v="8"/>
    <x v="0"/>
    <x v="1"/>
    <n v="1"/>
    <x v="20"/>
    <n v="7.5800000000000006E-2"/>
    <n v="0.62"/>
    <n v="0.16420000000000001"/>
    <x v="4"/>
    <x v="19"/>
    <x v="75"/>
    <x v="0"/>
    <x v="0"/>
    <x v="1"/>
    <x v="0"/>
    <x v="0"/>
  </r>
  <r>
    <n v="511"/>
    <d v="2011-01-23T00:00:00"/>
    <x v="0"/>
    <n v="0"/>
    <x v="0"/>
    <x v="9"/>
    <x v="0"/>
    <x v="1"/>
    <n v="1"/>
    <x v="18"/>
    <n v="7.5800000000000006E-2"/>
    <n v="0.54"/>
    <n v="0.35820000000000002"/>
    <x v="0"/>
    <x v="18"/>
    <x v="20"/>
    <x v="0"/>
    <x v="0"/>
    <x v="1"/>
    <x v="0"/>
    <x v="0"/>
  </r>
  <r>
    <n v="512"/>
    <d v="2011-01-23T00:00:00"/>
    <x v="0"/>
    <n v="0"/>
    <x v="0"/>
    <x v="10"/>
    <x v="0"/>
    <x v="1"/>
    <n v="1"/>
    <x v="14"/>
    <n v="0.1061"/>
    <n v="0.46"/>
    <n v="0.3881"/>
    <x v="18"/>
    <x v="82"/>
    <x v="154"/>
    <x v="0"/>
    <x v="0"/>
    <x v="1"/>
    <x v="0"/>
    <x v="0"/>
  </r>
  <r>
    <n v="513"/>
    <d v="2011-01-23T00:00:00"/>
    <x v="0"/>
    <n v="0"/>
    <x v="0"/>
    <x v="11"/>
    <x v="0"/>
    <x v="1"/>
    <n v="1"/>
    <x v="14"/>
    <n v="0.13639999999999999"/>
    <n v="0.43"/>
    <n v="0.22389999999999999"/>
    <x v="30"/>
    <x v="99"/>
    <x v="111"/>
    <x v="0"/>
    <x v="0"/>
    <x v="1"/>
    <x v="0"/>
    <x v="0"/>
  </r>
  <r>
    <n v="514"/>
    <d v="2011-01-23T00:00:00"/>
    <x v="0"/>
    <n v="0"/>
    <x v="0"/>
    <x v="12"/>
    <x v="0"/>
    <x v="1"/>
    <n v="1"/>
    <x v="13"/>
    <n v="0.1212"/>
    <n v="0.37"/>
    <n v="0.4627"/>
    <x v="31"/>
    <x v="50"/>
    <x v="155"/>
    <x v="0"/>
    <x v="0"/>
    <x v="1"/>
    <x v="0"/>
    <x v="0"/>
  </r>
  <r>
    <n v="515"/>
    <d v="2011-01-23T00:00:00"/>
    <x v="0"/>
    <n v="0"/>
    <x v="0"/>
    <x v="13"/>
    <x v="0"/>
    <x v="1"/>
    <n v="1"/>
    <x v="14"/>
    <n v="0.1061"/>
    <n v="0.33"/>
    <n v="0.3881"/>
    <x v="6"/>
    <x v="102"/>
    <x v="90"/>
    <x v="0"/>
    <x v="0"/>
    <x v="1"/>
    <x v="0"/>
    <x v="0"/>
  </r>
  <r>
    <n v="516"/>
    <d v="2011-01-23T00:00:00"/>
    <x v="0"/>
    <n v="0"/>
    <x v="0"/>
    <x v="14"/>
    <x v="0"/>
    <x v="1"/>
    <n v="1"/>
    <x v="13"/>
    <n v="0.13639999999999999"/>
    <n v="0.28000000000000003"/>
    <n v="0.35820000000000002"/>
    <x v="26"/>
    <x v="139"/>
    <x v="14"/>
    <x v="0"/>
    <x v="0"/>
    <x v="1"/>
    <x v="0"/>
    <x v="0"/>
  </r>
  <r>
    <n v="517"/>
    <d v="2011-01-23T00:00:00"/>
    <x v="0"/>
    <n v="0"/>
    <x v="0"/>
    <x v="15"/>
    <x v="0"/>
    <x v="1"/>
    <n v="1"/>
    <x v="13"/>
    <n v="0.13639999999999999"/>
    <n v="0.28000000000000003"/>
    <n v="0.35820000000000002"/>
    <x v="23"/>
    <x v="27"/>
    <x v="43"/>
    <x v="0"/>
    <x v="0"/>
    <x v="1"/>
    <x v="0"/>
    <x v="0"/>
  </r>
  <r>
    <n v="518"/>
    <d v="2011-01-23T00:00:00"/>
    <x v="0"/>
    <n v="0"/>
    <x v="0"/>
    <x v="16"/>
    <x v="0"/>
    <x v="1"/>
    <n v="1"/>
    <x v="13"/>
    <n v="0.13639999999999999"/>
    <n v="0.26"/>
    <n v="0.32840000000000003"/>
    <x v="14"/>
    <x v="90"/>
    <x v="32"/>
    <x v="0"/>
    <x v="0"/>
    <x v="1"/>
    <x v="0"/>
    <x v="0"/>
  </r>
  <r>
    <n v="519"/>
    <d v="2011-01-23T00:00:00"/>
    <x v="0"/>
    <n v="0"/>
    <x v="0"/>
    <x v="17"/>
    <x v="0"/>
    <x v="1"/>
    <n v="1"/>
    <x v="14"/>
    <n v="0.1061"/>
    <n v="0.26"/>
    <n v="0.3881"/>
    <x v="2"/>
    <x v="54"/>
    <x v="97"/>
    <x v="0"/>
    <x v="0"/>
    <x v="1"/>
    <x v="0"/>
    <x v="0"/>
  </r>
  <r>
    <n v="520"/>
    <d v="2011-01-23T00:00:00"/>
    <x v="0"/>
    <n v="0"/>
    <x v="0"/>
    <x v="18"/>
    <x v="0"/>
    <x v="1"/>
    <n v="1"/>
    <x v="16"/>
    <n v="0.1212"/>
    <n v="0.3"/>
    <n v="0.25369999999999998"/>
    <x v="2"/>
    <x v="100"/>
    <x v="99"/>
    <x v="0"/>
    <x v="0"/>
    <x v="1"/>
    <x v="0"/>
    <x v="0"/>
  </r>
  <r>
    <n v="521"/>
    <d v="2011-01-23T00:00:00"/>
    <x v="0"/>
    <n v="0"/>
    <x v="0"/>
    <x v="19"/>
    <x v="0"/>
    <x v="1"/>
    <n v="1"/>
    <x v="16"/>
    <n v="0.1212"/>
    <n v="0.3"/>
    <n v="0.28360000000000002"/>
    <x v="2"/>
    <x v="108"/>
    <x v="89"/>
    <x v="0"/>
    <x v="0"/>
    <x v="1"/>
    <x v="0"/>
    <x v="0"/>
  </r>
  <r>
    <n v="522"/>
    <d v="2011-01-23T00:00:00"/>
    <x v="0"/>
    <n v="0"/>
    <x v="0"/>
    <x v="20"/>
    <x v="0"/>
    <x v="1"/>
    <n v="1"/>
    <x v="18"/>
    <n v="0.1061"/>
    <n v="0.36"/>
    <n v="0.25369999999999998"/>
    <x v="17"/>
    <x v="17"/>
    <x v="17"/>
    <x v="0"/>
    <x v="0"/>
    <x v="1"/>
    <x v="0"/>
    <x v="0"/>
  </r>
  <r>
    <n v="523"/>
    <d v="2011-01-23T00:00:00"/>
    <x v="0"/>
    <n v="0"/>
    <x v="0"/>
    <x v="21"/>
    <x v="0"/>
    <x v="1"/>
    <n v="1"/>
    <x v="18"/>
    <n v="0.1061"/>
    <n v="0.36"/>
    <n v="0.19400000000000001"/>
    <x v="2"/>
    <x v="32"/>
    <x v="94"/>
    <x v="0"/>
    <x v="0"/>
    <x v="1"/>
    <x v="0"/>
    <x v="0"/>
  </r>
  <r>
    <n v="524"/>
    <d v="2011-01-23T00:00:00"/>
    <x v="0"/>
    <n v="0"/>
    <x v="0"/>
    <x v="22"/>
    <x v="0"/>
    <x v="1"/>
    <n v="1"/>
    <x v="19"/>
    <n v="9.0899999999999995E-2"/>
    <n v="0.38"/>
    <n v="0.19400000000000001"/>
    <x v="2"/>
    <x v="140"/>
    <x v="20"/>
    <x v="0"/>
    <x v="0"/>
    <x v="1"/>
    <x v="0"/>
    <x v="0"/>
  </r>
  <r>
    <n v="525"/>
    <d v="2011-01-23T00:00:00"/>
    <x v="0"/>
    <n v="0"/>
    <x v="0"/>
    <x v="23"/>
    <x v="0"/>
    <x v="1"/>
    <n v="1"/>
    <x v="20"/>
    <n v="6.0600000000000001E-2"/>
    <n v="0.41"/>
    <n v="0.22389999999999999"/>
    <x v="17"/>
    <x v="19"/>
    <x v="137"/>
    <x v="0"/>
    <x v="0"/>
    <x v="1"/>
    <x v="0"/>
    <x v="0"/>
  </r>
  <r>
    <n v="526"/>
    <d v="2011-01-24T00:00:00"/>
    <x v="0"/>
    <n v="0"/>
    <x v="0"/>
    <x v="0"/>
    <x v="0"/>
    <x v="2"/>
    <n v="1"/>
    <x v="20"/>
    <n v="6.0600000000000001E-2"/>
    <n v="0.41"/>
    <n v="0.19400000000000001"/>
    <x v="3"/>
    <x v="7"/>
    <x v="85"/>
    <x v="0"/>
    <x v="0"/>
    <x v="2"/>
    <x v="0"/>
    <x v="0"/>
  </r>
  <r>
    <n v="527"/>
    <d v="2011-01-24T00:00:00"/>
    <x v="0"/>
    <n v="0"/>
    <x v="0"/>
    <x v="1"/>
    <x v="0"/>
    <x v="2"/>
    <n v="1"/>
    <x v="21"/>
    <n v="4.5499999999999999E-2"/>
    <n v="0.45"/>
    <n v="0.19400000000000001"/>
    <x v="3"/>
    <x v="4"/>
    <x v="4"/>
    <x v="0"/>
    <x v="0"/>
    <x v="2"/>
    <x v="0"/>
    <x v="0"/>
  </r>
  <r>
    <n v="528"/>
    <d v="2011-01-24T00:00:00"/>
    <x v="0"/>
    <n v="0"/>
    <x v="0"/>
    <x v="3"/>
    <x v="0"/>
    <x v="2"/>
    <n v="1"/>
    <x v="21"/>
    <n v="3.0300000000000001E-2"/>
    <n v="0.45"/>
    <n v="0.25369999999999998"/>
    <x v="3"/>
    <x v="4"/>
    <x v="4"/>
    <x v="0"/>
    <x v="0"/>
    <x v="2"/>
    <x v="0"/>
    <x v="0"/>
  </r>
  <r>
    <n v="529"/>
    <d v="2011-01-24T00:00:00"/>
    <x v="0"/>
    <n v="0"/>
    <x v="0"/>
    <x v="4"/>
    <x v="0"/>
    <x v="2"/>
    <n v="1"/>
    <x v="22"/>
    <n v="6.0600000000000001E-2"/>
    <n v="0.48"/>
    <n v="0.1343"/>
    <x v="3"/>
    <x v="4"/>
    <x v="4"/>
    <x v="0"/>
    <x v="0"/>
    <x v="2"/>
    <x v="0"/>
    <x v="0"/>
  </r>
  <r>
    <n v="530"/>
    <d v="2011-01-24T00:00:00"/>
    <x v="0"/>
    <n v="0"/>
    <x v="0"/>
    <x v="5"/>
    <x v="0"/>
    <x v="2"/>
    <n v="1"/>
    <x v="22"/>
    <n v="6.0600000000000001E-2"/>
    <n v="0.48"/>
    <n v="0.1343"/>
    <x v="3"/>
    <x v="34"/>
    <x v="36"/>
    <x v="0"/>
    <x v="0"/>
    <x v="2"/>
    <x v="0"/>
    <x v="0"/>
  </r>
  <r>
    <n v="531"/>
    <d v="2011-01-24T00:00:00"/>
    <x v="0"/>
    <n v="0"/>
    <x v="0"/>
    <x v="6"/>
    <x v="0"/>
    <x v="2"/>
    <n v="1"/>
    <x v="22"/>
    <n v="7.5800000000000006E-2"/>
    <n v="0.48"/>
    <n v="8.9599999999999999E-2"/>
    <x v="3"/>
    <x v="89"/>
    <x v="93"/>
    <x v="0"/>
    <x v="0"/>
    <x v="2"/>
    <x v="0"/>
    <x v="0"/>
  </r>
  <r>
    <n v="532"/>
    <d v="2011-01-24T00:00:00"/>
    <x v="0"/>
    <n v="0"/>
    <x v="0"/>
    <x v="7"/>
    <x v="0"/>
    <x v="2"/>
    <n v="1"/>
    <x v="22"/>
    <n v="0.1212"/>
    <n v="0.48"/>
    <n v="0"/>
    <x v="2"/>
    <x v="55"/>
    <x v="11"/>
    <x v="0"/>
    <x v="0"/>
    <x v="2"/>
    <x v="0"/>
    <x v="0"/>
  </r>
  <r>
    <n v="533"/>
    <d v="2011-01-24T00:00:00"/>
    <x v="0"/>
    <n v="0"/>
    <x v="0"/>
    <x v="8"/>
    <x v="0"/>
    <x v="2"/>
    <n v="1"/>
    <x v="21"/>
    <n v="0.13639999999999999"/>
    <n v="0.49"/>
    <n v="0"/>
    <x v="15"/>
    <x v="141"/>
    <x v="156"/>
    <x v="0"/>
    <x v="0"/>
    <x v="2"/>
    <x v="0"/>
    <x v="0"/>
  </r>
  <r>
    <n v="534"/>
    <d v="2011-01-24T00:00:00"/>
    <x v="0"/>
    <n v="0"/>
    <x v="0"/>
    <x v="9"/>
    <x v="0"/>
    <x v="2"/>
    <n v="1"/>
    <x v="20"/>
    <n v="0.1515"/>
    <n v="0.41"/>
    <n v="0"/>
    <x v="17"/>
    <x v="52"/>
    <x v="96"/>
    <x v="0"/>
    <x v="0"/>
    <x v="2"/>
    <x v="0"/>
    <x v="0"/>
  </r>
  <r>
    <n v="535"/>
    <d v="2011-01-24T00:00:00"/>
    <x v="0"/>
    <n v="0"/>
    <x v="0"/>
    <x v="10"/>
    <x v="0"/>
    <x v="2"/>
    <n v="1"/>
    <x v="18"/>
    <n v="0.13639999999999999"/>
    <n v="0.42"/>
    <n v="0"/>
    <x v="15"/>
    <x v="60"/>
    <x v="1"/>
    <x v="0"/>
    <x v="0"/>
    <x v="2"/>
    <x v="0"/>
    <x v="0"/>
  </r>
  <r>
    <n v="536"/>
    <d v="2011-01-24T00:00:00"/>
    <x v="0"/>
    <n v="0"/>
    <x v="0"/>
    <x v="11"/>
    <x v="0"/>
    <x v="2"/>
    <n v="1"/>
    <x v="18"/>
    <n v="0.1212"/>
    <n v="0.46"/>
    <n v="0.1343"/>
    <x v="0"/>
    <x v="30"/>
    <x v="66"/>
    <x v="0"/>
    <x v="0"/>
    <x v="2"/>
    <x v="0"/>
    <x v="0"/>
  </r>
  <r>
    <n v="537"/>
    <d v="2011-01-24T00:00:00"/>
    <x v="0"/>
    <n v="0"/>
    <x v="0"/>
    <x v="12"/>
    <x v="0"/>
    <x v="2"/>
    <n v="2"/>
    <x v="16"/>
    <n v="0.13639999999999999"/>
    <n v="0.42"/>
    <n v="0.19400000000000001"/>
    <x v="16"/>
    <x v="15"/>
    <x v="55"/>
    <x v="1"/>
    <x v="0"/>
    <x v="2"/>
    <x v="0"/>
    <x v="1"/>
  </r>
  <r>
    <n v="538"/>
    <d v="2011-01-24T00:00:00"/>
    <x v="0"/>
    <n v="0"/>
    <x v="0"/>
    <x v="13"/>
    <x v="0"/>
    <x v="2"/>
    <n v="2"/>
    <x v="14"/>
    <n v="0.13639999999999999"/>
    <n v="0.43"/>
    <n v="0.22389999999999999"/>
    <x v="15"/>
    <x v="25"/>
    <x v="122"/>
    <x v="1"/>
    <x v="0"/>
    <x v="2"/>
    <x v="0"/>
    <x v="1"/>
  </r>
  <r>
    <n v="539"/>
    <d v="2011-01-24T00:00:00"/>
    <x v="0"/>
    <n v="0"/>
    <x v="0"/>
    <x v="14"/>
    <x v="0"/>
    <x v="2"/>
    <n v="2"/>
    <x v="14"/>
    <n v="0.13639999999999999"/>
    <n v="0.46"/>
    <n v="0.22389999999999999"/>
    <x v="4"/>
    <x v="30"/>
    <x v="79"/>
    <x v="1"/>
    <x v="0"/>
    <x v="2"/>
    <x v="0"/>
    <x v="1"/>
  </r>
  <r>
    <n v="540"/>
    <d v="2011-01-24T00:00:00"/>
    <x v="0"/>
    <n v="0"/>
    <x v="0"/>
    <x v="15"/>
    <x v="0"/>
    <x v="2"/>
    <n v="1"/>
    <x v="13"/>
    <n v="0.16669999999999999"/>
    <n v="0.4"/>
    <n v="0.16420000000000001"/>
    <x v="18"/>
    <x v="54"/>
    <x v="52"/>
    <x v="0"/>
    <x v="0"/>
    <x v="2"/>
    <x v="0"/>
    <x v="0"/>
  </r>
  <r>
    <n v="541"/>
    <d v="2011-01-24T00:00:00"/>
    <x v="0"/>
    <n v="0"/>
    <x v="0"/>
    <x v="16"/>
    <x v="0"/>
    <x v="2"/>
    <n v="1"/>
    <x v="13"/>
    <n v="0.1515"/>
    <n v="0.47"/>
    <n v="0.25369999999999998"/>
    <x v="17"/>
    <x v="43"/>
    <x v="27"/>
    <x v="0"/>
    <x v="0"/>
    <x v="2"/>
    <x v="0"/>
    <x v="0"/>
  </r>
  <r>
    <n v="542"/>
    <d v="2011-01-24T00:00:00"/>
    <x v="0"/>
    <n v="0"/>
    <x v="0"/>
    <x v="17"/>
    <x v="0"/>
    <x v="2"/>
    <n v="1"/>
    <x v="14"/>
    <n v="0.1212"/>
    <n v="0.5"/>
    <n v="0.25369999999999998"/>
    <x v="15"/>
    <x v="86"/>
    <x v="157"/>
    <x v="0"/>
    <x v="0"/>
    <x v="2"/>
    <x v="0"/>
    <x v="0"/>
  </r>
  <r>
    <n v="543"/>
    <d v="2011-01-24T00:00:00"/>
    <x v="0"/>
    <n v="0"/>
    <x v="0"/>
    <x v="18"/>
    <x v="0"/>
    <x v="2"/>
    <n v="1"/>
    <x v="14"/>
    <n v="0.13639999999999999"/>
    <n v="0.59"/>
    <n v="0.19400000000000001"/>
    <x v="1"/>
    <x v="142"/>
    <x v="158"/>
    <x v="0"/>
    <x v="0"/>
    <x v="2"/>
    <x v="0"/>
    <x v="0"/>
  </r>
  <r>
    <n v="544"/>
    <d v="2011-01-24T00:00:00"/>
    <x v="0"/>
    <n v="0"/>
    <x v="0"/>
    <x v="19"/>
    <x v="0"/>
    <x v="2"/>
    <n v="1"/>
    <x v="14"/>
    <n v="0.1515"/>
    <n v="0.54"/>
    <n v="0.16420000000000001"/>
    <x v="2"/>
    <x v="143"/>
    <x v="13"/>
    <x v="0"/>
    <x v="0"/>
    <x v="2"/>
    <x v="0"/>
    <x v="0"/>
  </r>
  <r>
    <n v="545"/>
    <d v="2011-01-24T00:00:00"/>
    <x v="0"/>
    <n v="0"/>
    <x v="0"/>
    <x v="20"/>
    <x v="0"/>
    <x v="2"/>
    <n v="1"/>
    <x v="14"/>
    <n v="0.13639999999999999"/>
    <n v="0.59"/>
    <n v="0.19400000000000001"/>
    <x v="5"/>
    <x v="122"/>
    <x v="117"/>
    <x v="0"/>
    <x v="0"/>
    <x v="2"/>
    <x v="0"/>
    <x v="0"/>
  </r>
  <r>
    <n v="546"/>
    <d v="2011-01-24T00:00:00"/>
    <x v="0"/>
    <n v="0"/>
    <x v="0"/>
    <x v="21"/>
    <x v="0"/>
    <x v="2"/>
    <n v="1"/>
    <x v="14"/>
    <n v="0.1515"/>
    <n v="0.63"/>
    <n v="0.16420000000000001"/>
    <x v="15"/>
    <x v="42"/>
    <x v="29"/>
    <x v="0"/>
    <x v="0"/>
    <x v="2"/>
    <x v="0"/>
    <x v="0"/>
  </r>
  <r>
    <n v="547"/>
    <d v="2011-01-24T00:00:00"/>
    <x v="0"/>
    <n v="0"/>
    <x v="0"/>
    <x v="22"/>
    <x v="0"/>
    <x v="2"/>
    <n v="2"/>
    <x v="14"/>
    <n v="0.13639999999999999"/>
    <n v="0.63"/>
    <n v="0.22389999999999999"/>
    <x v="0"/>
    <x v="1"/>
    <x v="17"/>
    <x v="1"/>
    <x v="0"/>
    <x v="2"/>
    <x v="0"/>
    <x v="1"/>
  </r>
  <r>
    <n v="548"/>
    <d v="2011-01-24T00:00:00"/>
    <x v="0"/>
    <n v="0"/>
    <x v="0"/>
    <x v="23"/>
    <x v="0"/>
    <x v="2"/>
    <n v="2"/>
    <x v="13"/>
    <n v="0.1515"/>
    <n v="0.64"/>
    <n v="0.25369999999999998"/>
    <x v="0"/>
    <x v="144"/>
    <x v="108"/>
    <x v="1"/>
    <x v="0"/>
    <x v="2"/>
    <x v="0"/>
    <x v="1"/>
  </r>
  <r>
    <n v="549"/>
    <d v="2011-01-25T00:00:00"/>
    <x v="0"/>
    <n v="0"/>
    <x v="0"/>
    <x v="0"/>
    <x v="0"/>
    <x v="3"/>
    <n v="2"/>
    <x v="13"/>
    <n v="0.13639999999999999"/>
    <n v="0.69"/>
    <n v="0.28360000000000002"/>
    <x v="0"/>
    <x v="8"/>
    <x v="23"/>
    <x v="1"/>
    <x v="0"/>
    <x v="3"/>
    <x v="0"/>
    <x v="1"/>
  </r>
  <r>
    <n v="550"/>
    <d v="2011-01-25T00:00:00"/>
    <x v="0"/>
    <n v="0"/>
    <x v="0"/>
    <x v="1"/>
    <x v="0"/>
    <x v="3"/>
    <n v="2"/>
    <x v="13"/>
    <n v="0.16669999999999999"/>
    <n v="0.69"/>
    <n v="0.16420000000000001"/>
    <x v="3"/>
    <x v="34"/>
    <x v="36"/>
    <x v="1"/>
    <x v="0"/>
    <x v="3"/>
    <x v="0"/>
    <x v="1"/>
  </r>
  <r>
    <n v="551"/>
    <d v="2011-01-25T00:00:00"/>
    <x v="0"/>
    <n v="0"/>
    <x v="0"/>
    <x v="2"/>
    <x v="0"/>
    <x v="3"/>
    <n v="1"/>
    <x v="13"/>
    <n v="0.1515"/>
    <n v="0.69"/>
    <n v="0.22389999999999999"/>
    <x v="3"/>
    <x v="6"/>
    <x v="5"/>
    <x v="0"/>
    <x v="0"/>
    <x v="3"/>
    <x v="0"/>
    <x v="0"/>
  </r>
  <r>
    <n v="552"/>
    <d v="2011-01-25T00:00:00"/>
    <x v="0"/>
    <n v="0"/>
    <x v="0"/>
    <x v="4"/>
    <x v="0"/>
    <x v="3"/>
    <n v="1"/>
    <x v="14"/>
    <n v="0.16669999999999999"/>
    <n v="0.74"/>
    <n v="0.1045"/>
    <x v="3"/>
    <x v="4"/>
    <x v="4"/>
    <x v="0"/>
    <x v="0"/>
    <x v="3"/>
    <x v="0"/>
    <x v="0"/>
  </r>
  <r>
    <n v="553"/>
    <d v="2011-01-25T00:00:00"/>
    <x v="0"/>
    <n v="0"/>
    <x v="0"/>
    <x v="5"/>
    <x v="0"/>
    <x v="3"/>
    <n v="1"/>
    <x v="14"/>
    <n v="0.13639999999999999"/>
    <n v="0.74"/>
    <n v="0.22389999999999999"/>
    <x v="3"/>
    <x v="33"/>
    <x v="23"/>
    <x v="0"/>
    <x v="0"/>
    <x v="3"/>
    <x v="0"/>
    <x v="0"/>
  </r>
  <r>
    <n v="554"/>
    <d v="2011-01-25T00:00:00"/>
    <x v="0"/>
    <n v="0"/>
    <x v="0"/>
    <x v="6"/>
    <x v="0"/>
    <x v="3"/>
    <n v="1"/>
    <x v="13"/>
    <n v="0.18179999999999999"/>
    <n v="0.74"/>
    <n v="0.1045"/>
    <x v="5"/>
    <x v="96"/>
    <x v="9"/>
    <x v="0"/>
    <x v="0"/>
    <x v="3"/>
    <x v="0"/>
    <x v="0"/>
  </r>
  <r>
    <n v="555"/>
    <d v="2011-01-25T00:00:00"/>
    <x v="0"/>
    <n v="0"/>
    <x v="0"/>
    <x v="7"/>
    <x v="0"/>
    <x v="3"/>
    <n v="1"/>
    <x v="13"/>
    <n v="0.1515"/>
    <n v="0.74"/>
    <n v="0.22389999999999999"/>
    <x v="2"/>
    <x v="145"/>
    <x v="159"/>
    <x v="0"/>
    <x v="0"/>
    <x v="3"/>
    <x v="0"/>
    <x v="0"/>
  </r>
  <r>
    <n v="556"/>
    <d v="2011-01-25T00:00:00"/>
    <x v="0"/>
    <n v="0"/>
    <x v="0"/>
    <x v="8"/>
    <x v="0"/>
    <x v="3"/>
    <n v="2"/>
    <x v="13"/>
    <n v="0.18179999999999999"/>
    <n v="0.74"/>
    <n v="0.1343"/>
    <x v="2"/>
    <x v="146"/>
    <x v="160"/>
    <x v="1"/>
    <x v="0"/>
    <x v="3"/>
    <x v="0"/>
    <x v="1"/>
  </r>
  <r>
    <n v="557"/>
    <d v="2011-01-25T00:00:00"/>
    <x v="0"/>
    <n v="0"/>
    <x v="0"/>
    <x v="9"/>
    <x v="0"/>
    <x v="3"/>
    <n v="2"/>
    <x v="2"/>
    <n v="0.2273"/>
    <n v="0.64"/>
    <n v="8.9599999999999999E-2"/>
    <x v="22"/>
    <x v="120"/>
    <x v="124"/>
    <x v="1"/>
    <x v="0"/>
    <x v="3"/>
    <x v="0"/>
    <x v="1"/>
  </r>
  <r>
    <n v="558"/>
    <d v="2011-01-25T00:00:00"/>
    <x v="0"/>
    <n v="0"/>
    <x v="0"/>
    <x v="10"/>
    <x v="0"/>
    <x v="3"/>
    <n v="2"/>
    <x v="1"/>
    <n v="0.2424"/>
    <n v="0.6"/>
    <n v="0.1045"/>
    <x v="15"/>
    <x v="47"/>
    <x v="97"/>
    <x v="1"/>
    <x v="0"/>
    <x v="3"/>
    <x v="0"/>
    <x v="1"/>
  </r>
  <r>
    <n v="559"/>
    <d v="2011-01-25T00:00:00"/>
    <x v="0"/>
    <n v="0"/>
    <x v="0"/>
    <x v="11"/>
    <x v="0"/>
    <x v="3"/>
    <n v="2"/>
    <x v="0"/>
    <n v="0.2424"/>
    <n v="0.6"/>
    <n v="0.1343"/>
    <x v="15"/>
    <x v="11"/>
    <x v="42"/>
    <x v="1"/>
    <x v="0"/>
    <x v="3"/>
    <x v="0"/>
    <x v="1"/>
  </r>
  <r>
    <n v="560"/>
    <d v="2011-01-25T00:00:00"/>
    <x v="0"/>
    <n v="0"/>
    <x v="0"/>
    <x v="12"/>
    <x v="0"/>
    <x v="3"/>
    <n v="2"/>
    <x v="12"/>
    <n v="0.28789999999999999"/>
    <n v="0.56000000000000005"/>
    <n v="8.9599999999999999E-2"/>
    <x v="27"/>
    <x v="66"/>
    <x v="13"/>
    <x v="1"/>
    <x v="0"/>
    <x v="3"/>
    <x v="0"/>
    <x v="1"/>
  </r>
  <r>
    <n v="561"/>
    <d v="2011-01-25T00:00:00"/>
    <x v="0"/>
    <n v="0"/>
    <x v="0"/>
    <x v="13"/>
    <x v="0"/>
    <x v="3"/>
    <n v="2"/>
    <x v="12"/>
    <n v="0.2727"/>
    <n v="0.56000000000000005"/>
    <n v="0.1343"/>
    <x v="27"/>
    <x v="109"/>
    <x v="15"/>
    <x v="1"/>
    <x v="0"/>
    <x v="3"/>
    <x v="0"/>
    <x v="1"/>
  </r>
  <r>
    <n v="562"/>
    <d v="2011-01-25T00:00:00"/>
    <x v="0"/>
    <n v="0"/>
    <x v="0"/>
    <x v="14"/>
    <x v="0"/>
    <x v="3"/>
    <n v="2"/>
    <x v="11"/>
    <n v="0.33329999999999999"/>
    <n v="0.45"/>
    <n v="0"/>
    <x v="16"/>
    <x v="77"/>
    <x v="118"/>
    <x v="1"/>
    <x v="0"/>
    <x v="3"/>
    <x v="0"/>
    <x v="1"/>
  </r>
  <r>
    <n v="563"/>
    <d v="2011-01-25T00:00:00"/>
    <x v="0"/>
    <n v="0"/>
    <x v="0"/>
    <x v="15"/>
    <x v="0"/>
    <x v="3"/>
    <n v="2"/>
    <x v="3"/>
    <n v="0.34849999999999998"/>
    <n v="0.42"/>
    <n v="0"/>
    <x v="27"/>
    <x v="36"/>
    <x v="11"/>
    <x v="1"/>
    <x v="0"/>
    <x v="3"/>
    <x v="0"/>
    <x v="1"/>
  </r>
  <r>
    <n v="564"/>
    <d v="2011-01-25T00:00:00"/>
    <x v="0"/>
    <n v="0"/>
    <x v="0"/>
    <x v="16"/>
    <x v="0"/>
    <x v="3"/>
    <n v="2"/>
    <x v="3"/>
    <n v="0.34849999999999998"/>
    <n v="0.42"/>
    <n v="0"/>
    <x v="24"/>
    <x v="46"/>
    <x v="155"/>
    <x v="1"/>
    <x v="0"/>
    <x v="3"/>
    <x v="0"/>
    <x v="1"/>
  </r>
  <r>
    <n v="565"/>
    <d v="2011-01-25T00:00:00"/>
    <x v="0"/>
    <n v="0"/>
    <x v="0"/>
    <x v="17"/>
    <x v="0"/>
    <x v="3"/>
    <n v="1"/>
    <x v="11"/>
    <n v="0.33329999999999999"/>
    <n v="0.45"/>
    <n v="0"/>
    <x v="24"/>
    <x v="147"/>
    <x v="161"/>
    <x v="0"/>
    <x v="0"/>
    <x v="3"/>
    <x v="0"/>
    <x v="0"/>
  </r>
  <r>
    <n v="566"/>
    <d v="2011-01-25T00:00:00"/>
    <x v="0"/>
    <n v="0"/>
    <x v="0"/>
    <x v="18"/>
    <x v="0"/>
    <x v="3"/>
    <n v="2"/>
    <x v="11"/>
    <n v="0.31819999999999998"/>
    <n v="0.49"/>
    <n v="8.9599999999999999E-2"/>
    <x v="18"/>
    <x v="148"/>
    <x v="162"/>
    <x v="1"/>
    <x v="0"/>
    <x v="3"/>
    <x v="0"/>
    <x v="1"/>
  </r>
  <r>
    <n v="567"/>
    <d v="2011-01-25T00:00:00"/>
    <x v="0"/>
    <n v="0"/>
    <x v="0"/>
    <x v="19"/>
    <x v="0"/>
    <x v="3"/>
    <n v="2"/>
    <x v="12"/>
    <n v="0.2576"/>
    <n v="0.65"/>
    <n v="0.16420000000000001"/>
    <x v="23"/>
    <x v="149"/>
    <x v="163"/>
    <x v="1"/>
    <x v="0"/>
    <x v="3"/>
    <x v="0"/>
    <x v="1"/>
  </r>
  <r>
    <n v="568"/>
    <d v="2011-01-25T00:00:00"/>
    <x v="0"/>
    <n v="0"/>
    <x v="0"/>
    <x v="20"/>
    <x v="0"/>
    <x v="3"/>
    <n v="1"/>
    <x v="0"/>
    <n v="0.2273"/>
    <n v="0.65"/>
    <n v="0.19400000000000001"/>
    <x v="19"/>
    <x v="145"/>
    <x v="164"/>
    <x v="0"/>
    <x v="0"/>
    <x v="3"/>
    <x v="0"/>
    <x v="0"/>
  </r>
  <r>
    <n v="569"/>
    <d v="2011-01-25T00:00:00"/>
    <x v="0"/>
    <n v="0"/>
    <x v="0"/>
    <x v="21"/>
    <x v="0"/>
    <x v="3"/>
    <n v="1"/>
    <x v="0"/>
    <n v="0.2273"/>
    <n v="0.65"/>
    <n v="0.19400000000000001"/>
    <x v="2"/>
    <x v="71"/>
    <x v="79"/>
    <x v="0"/>
    <x v="0"/>
    <x v="3"/>
    <x v="0"/>
    <x v="0"/>
  </r>
  <r>
    <n v="570"/>
    <d v="2011-01-25T00:00:00"/>
    <x v="0"/>
    <n v="0"/>
    <x v="0"/>
    <x v="22"/>
    <x v="0"/>
    <x v="3"/>
    <n v="1"/>
    <x v="1"/>
    <n v="0.2273"/>
    <n v="0.64"/>
    <n v="0.16420000000000001"/>
    <x v="17"/>
    <x v="47"/>
    <x v="26"/>
    <x v="0"/>
    <x v="0"/>
    <x v="3"/>
    <x v="0"/>
    <x v="0"/>
  </r>
  <r>
    <n v="571"/>
    <d v="2011-01-25T00:00:00"/>
    <x v="0"/>
    <n v="0"/>
    <x v="0"/>
    <x v="23"/>
    <x v="0"/>
    <x v="3"/>
    <n v="2"/>
    <x v="1"/>
    <n v="0.2273"/>
    <n v="0.64"/>
    <n v="0.16420000000000001"/>
    <x v="0"/>
    <x v="53"/>
    <x v="1"/>
    <x v="1"/>
    <x v="0"/>
    <x v="3"/>
    <x v="0"/>
    <x v="1"/>
  </r>
  <r>
    <n v="572"/>
    <d v="2011-01-26T00:00:00"/>
    <x v="0"/>
    <n v="0"/>
    <x v="0"/>
    <x v="0"/>
    <x v="0"/>
    <x v="4"/>
    <n v="2"/>
    <x v="1"/>
    <n v="0.2273"/>
    <n v="0.69"/>
    <n v="0.1343"/>
    <x v="0"/>
    <x v="88"/>
    <x v="22"/>
    <x v="1"/>
    <x v="0"/>
    <x v="4"/>
    <x v="0"/>
    <x v="1"/>
  </r>
  <r>
    <n v="573"/>
    <d v="2011-01-26T00:00:00"/>
    <x v="0"/>
    <n v="0"/>
    <x v="0"/>
    <x v="1"/>
    <x v="0"/>
    <x v="4"/>
    <n v="2"/>
    <x v="0"/>
    <n v="0.2424"/>
    <n v="0.65"/>
    <n v="0.1343"/>
    <x v="3"/>
    <x v="34"/>
    <x v="36"/>
    <x v="1"/>
    <x v="0"/>
    <x v="4"/>
    <x v="0"/>
    <x v="1"/>
  </r>
  <r>
    <n v="574"/>
    <d v="2011-01-26T00:00:00"/>
    <x v="0"/>
    <n v="0"/>
    <x v="0"/>
    <x v="2"/>
    <x v="0"/>
    <x v="4"/>
    <n v="3"/>
    <x v="1"/>
    <n v="0.2273"/>
    <n v="0.69"/>
    <n v="0.19400000000000001"/>
    <x v="0"/>
    <x v="7"/>
    <x v="98"/>
    <x v="2"/>
    <x v="0"/>
    <x v="4"/>
    <x v="0"/>
    <x v="2"/>
  </r>
  <r>
    <n v="575"/>
    <d v="2011-01-26T00:00:00"/>
    <x v="0"/>
    <n v="0"/>
    <x v="0"/>
    <x v="5"/>
    <x v="0"/>
    <x v="4"/>
    <n v="3"/>
    <x v="2"/>
    <n v="0.18179999999999999"/>
    <n v="0.86"/>
    <n v="0.28360000000000002"/>
    <x v="3"/>
    <x v="4"/>
    <x v="4"/>
    <x v="2"/>
    <x v="0"/>
    <x v="4"/>
    <x v="0"/>
    <x v="2"/>
  </r>
  <r>
    <n v="576"/>
    <d v="2011-01-26T00:00:00"/>
    <x v="0"/>
    <n v="0"/>
    <x v="0"/>
    <x v="6"/>
    <x v="0"/>
    <x v="4"/>
    <n v="3"/>
    <x v="2"/>
    <n v="0.18179999999999999"/>
    <n v="0.86"/>
    <n v="0.28360000000000002"/>
    <x v="3"/>
    <x v="21"/>
    <x v="7"/>
    <x v="2"/>
    <x v="0"/>
    <x v="4"/>
    <x v="0"/>
    <x v="2"/>
  </r>
  <r>
    <n v="577"/>
    <d v="2011-01-26T00:00:00"/>
    <x v="0"/>
    <n v="0"/>
    <x v="0"/>
    <x v="7"/>
    <x v="0"/>
    <x v="4"/>
    <n v="3"/>
    <x v="1"/>
    <n v="0.21210000000000001"/>
    <n v="0.87"/>
    <n v="0.29849999999999999"/>
    <x v="5"/>
    <x v="31"/>
    <x v="33"/>
    <x v="2"/>
    <x v="0"/>
    <x v="4"/>
    <x v="0"/>
    <x v="2"/>
  </r>
  <r>
    <n v="578"/>
    <d v="2011-01-26T00:00:00"/>
    <x v="0"/>
    <n v="0"/>
    <x v="0"/>
    <x v="8"/>
    <x v="0"/>
    <x v="4"/>
    <n v="3"/>
    <x v="1"/>
    <n v="0.21210000000000001"/>
    <n v="0.87"/>
    <n v="0.29849999999999999"/>
    <x v="0"/>
    <x v="94"/>
    <x v="44"/>
    <x v="2"/>
    <x v="0"/>
    <x v="4"/>
    <x v="0"/>
    <x v="2"/>
  </r>
  <r>
    <n v="579"/>
    <d v="2011-01-26T00:00:00"/>
    <x v="0"/>
    <n v="0"/>
    <x v="0"/>
    <x v="9"/>
    <x v="0"/>
    <x v="4"/>
    <n v="3"/>
    <x v="1"/>
    <n v="0.21210000000000001"/>
    <n v="0.87"/>
    <n v="0.29849999999999999"/>
    <x v="0"/>
    <x v="11"/>
    <x v="154"/>
    <x v="2"/>
    <x v="0"/>
    <x v="4"/>
    <x v="0"/>
    <x v="2"/>
  </r>
  <r>
    <n v="580"/>
    <d v="2011-01-26T00:00:00"/>
    <x v="0"/>
    <n v="0"/>
    <x v="0"/>
    <x v="10"/>
    <x v="0"/>
    <x v="4"/>
    <n v="3"/>
    <x v="1"/>
    <n v="0.21210000000000001"/>
    <n v="0.93"/>
    <n v="0.28360000000000002"/>
    <x v="4"/>
    <x v="16"/>
    <x v="20"/>
    <x v="2"/>
    <x v="0"/>
    <x v="4"/>
    <x v="0"/>
    <x v="2"/>
  </r>
  <r>
    <n v="581"/>
    <d v="2011-01-26T00:00:00"/>
    <x v="0"/>
    <n v="0"/>
    <x v="0"/>
    <x v="11"/>
    <x v="0"/>
    <x v="4"/>
    <n v="3"/>
    <x v="1"/>
    <n v="0.19700000000000001"/>
    <n v="0.93"/>
    <n v="0.32840000000000003"/>
    <x v="15"/>
    <x v="96"/>
    <x v="102"/>
    <x v="2"/>
    <x v="0"/>
    <x v="4"/>
    <x v="0"/>
    <x v="2"/>
  </r>
  <r>
    <n v="582"/>
    <d v="2011-01-26T00:00:00"/>
    <x v="0"/>
    <n v="0"/>
    <x v="0"/>
    <x v="12"/>
    <x v="0"/>
    <x v="4"/>
    <n v="3"/>
    <x v="1"/>
    <n v="0.19700000000000001"/>
    <n v="0.93"/>
    <n v="0.32840000000000003"/>
    <x v="18"/>
    <x v="40"/>
    <x v="61"/>
    <x v="2"/>
    <x v="0"/>
    <x v="4"/>
    <x v="0"/>
    <x v="2"/>
  </r>
  <r>
    <n v="583"/>
    <d v="2011-01-26T00:00:00"/>
    <x v="0"/>
    <n v="0"/>
    <x v="0"/>
    <x v="13"/>
    <x v="0"/>
    <x v="4"/>
    <n v="3"/>
    <x v="1"/>
    <n v="0.19700000000000001"/>
    <n v="0.93"/>
    <n v="0.32840000000000003"/>
    <x v="17"/>
    <x v="30"/>
    <x v="105"/>
    <x v="2"/>
    <x v="0"/>
    <x v="4"/>
    <x v="0"/>
    <x v="2"/>
  </r>
  <r>
    <n v="584"/>
    <d v="2011-01-26T00:00:00"/>
    <x v="0"/>
    <n v="0"/>
    <x v="0"/>
    <x v="14"/>
    <x v="0"/>
    <x v="4"/>
    <n v="3"/>
    <x v="1"/>
    <n v="0.19700000000000001"/>
    <n v="0.93"/>
    <n v="0.35820000000000002"/>
    <x v="3"/>
    <x v="49"/>
    <x v="9"/>
    <x v="2"/>
    <x v="0"/>
    <x v="4"/>
    <x v="0"/>
    <x v="2"/>
  </r>
  <r>
    <n v="585"/>
    <d v="2011-01-26T00:00:00"/>
    <x v="0"/>
    <n v="0"/>
    <x v="0"/>
    <x v="15"/>
    <x v="0"/>
    <x v="4"/>
    <n v="3"/>
    <x v="1"/>
    <n v="0.18179999999999999"/>
    <n v="0.93"/>
    <n v="0.4627"/>
    <x v="5"/>
    <x v="76"/>
    <x v="74"/>
    <x v="2"/>
    <x v="0"/>
    <x v="4"/>
    <x v="0"/>
    <x v="2"/>
  </r>
  <r>
    <n v="586"/>
    <d v="2011-01-26T00:00:00"/>
    <x v="0"/>
    <n v="0"/>
    <x v="0"/>
    <x v="16"/>
    <x v="0"/>
    <x v="4"/>
    <n v="4"/>
    <x v="1"/>
    <n v="0.19700000000000001"/>
    <n v="0.93"/>
    <n v="0.32840000000000003"/>
    <x v="5"/>
    <x v="96"/>
    <x v="9"/>
    <x v="3"/>
    <x v="0"/>
    <x v="4"/>
    <x v="0"/>
    <x v="3"/>
  </r>
  <r>
    <n v="587"/>
    <d v="2011-01-26T00:00:00"/>
    <x v="0"/>
    <n v="0"/>
    <x v="0"/>
    <x v="17"/>
    <x v="0"/>
    <x v="4"/>
    <n v="3"/>
    <x v="2"/>
    <n v="0.18179999999999999"/>
    <n v="0.93"/>
    <n v="0.35820000000000002"/>
    <x v="3"/>
    <x v="16"/>
    <x v="132"/>
    <x v="2"/>
    <x v="0"/>
    <x v="4"/>
    <x v="0"/>
    <x v="2"/>
  </r>
  <r>
    <n v="588"/>
    <d v="2011-01-27T00:00:00"/>
    <x v="0"/>
    <n v="0"/>
    <x v="0"/>
    <x v="16"/>
    <x v="0"/>
    <x v="5"/>
    <n v="1"/>
    <x v="1"/>
    <n v="0.2273"/>
    <n v="0.55000000000000004"/>
    <n v="0.19400000000000001"/>
    <x v="5"/>
    <x v="140"/>
    <x v="108"/>
    <x v="0"/>
    <x v="0"/>
    <x v="5"/>
    <x v="0"/>
    <x v="0"/>
  </r>
  <r>
    <n v="589"/>
    <d v="2011-01-27T00:00:00"/>
    <x v="0"/>
    <n v="0"/>
    <x v="0"/>
    <x v="17"/>
    <x v="0"/>
    <x v="5"/>
    <n v="1"/>
    <x v="1"/>
    <n v="0.2424"/>
    <n v="0.55000000000000004"/>
    <n v="0.1045"/>
    <x v="4"/>
    <x v="70"/>
    <x v="11"/>
    <x v="0"/>
    <x v="0"/>
    <x v="5"/>
    <x v="0"/>
    <x v="0"/>
  </r>
  <r>
    <n v="590"/>
    <d v="2011-01-27T00:00:00"/>
    <x v="0"/>
    <n v="0"/>
    <x v="0"/>
    <x v="18"/>
    <x v="0"/>
    <x v="5"/>
    <n v="1"/>
    <x v="2"/>
    <n v="0.2273"/>
    <n v="0.69"/>
    <n v="8.9599999999999999E-2"/>
    <x v="0"/>
    <x v="143"/>
    <x v="133"/>
    <x v="0"/>
    <x v="0"/>
    <x v="5"/>
    <x v="0"/>
    <x v="0"/>
  </r>
  <r>
    <n v="591"/>
    <d v="2011-01-27T00:00:00"/>
    <x v="0"/>
    <n v="0"/>
    <x v="0"/>
    <x v="19"/>
    <x v="0"/>
    <x v="5"/>
    <n v="1"/>
    <x v="2"/>
    <n v="0.2273"/>
    <n v="0.69"/>
    <n v="8.9599999999999999E-2"/>
    <x v="0"/>
    <x v="83"/>
    <x v="67"/>
    <x v="0"/>
    <x v="0"/>
    <x v="5"/>
    <x v="0"/>
    <x v="0"/>
  </r>
  <r>
    <n v="592"/>
    <d v="2011-01-27T00:00:00"/>
    <x v="0"/>
    <n v="0"/>
    <x v="0"/>
    <x v="20"/>
    <x v="0"/>
    <x v="5"/>
    <n v="1"/>
    <x v="15"/>
    <n v="0.21210000000000001"/>
    <n v="0.74"/>
    <n v="8.9599999999999999E-2"/>
    <x v="17"/>
    <x v="11"/>
    <x v="29"/>
    <x v="0"/>
    <x v="0"/>
    <x v="5"/>
    <x v="0"/>
    <x v="0"/>
  </r>
  <r>
    <n v="593"/>
    <d v="2011-01-27T00:00:00"/>
    <x v="0"/>
    <n v="0"/>
    <x v="0"/>
    <x v="21"/>
    <x v="0"/>
    <x v="5"/>
    <n v="1"/>
    <x v="15"/>
    <n v="0.21210000000000001"/>
    <n v="0.74"/>
    <n v="8.9599999999999999E-2"/>
    <x v="4"/>
    <x v="49"/>
    <x v="103"/>
    <x v="0"/>
    <x v="0"/>
    <x v="5"/>
    <x v="0"/>
    <x v="0"/>
  </r>
  <r>
    <n v="594"/>
    <d v="2011-01-27T00:00:00"/>
    <x v="0"/>
    <n v="0"/>
    <x v="0"/>
    <x v="22"/>
    <x v="0"/>
    <x v="5"/>
    <n v="1"/>
    <x v="15"/>
    <n v="0.21210000000000001"/>
    <n v="0.74"/>
    <n v="8.9599999999999999E-2"/>
    <x v="3"/>
    <x v="2"/>
    <x v="110"/>
    <x v="0"/>
    <x v="0"/>
    <x v="5"/>
    <x v="0"/>
    <x v="0"/>
  </r>
  <r>
    <n v="595"/>
    <d v="2011-01-27T00:00:00"/>
    <x v="0"/>
    <n v="0"/>
    <x v="0"/>
    <x v="23"/>
    <x v="0"/>
    <x v="5"/>
    <n v="1"/>
    <x v="15"/>
    <n v="0.19700000000000001"/>
    <n v="0.8"/>
    <n v="0.16420000000000001"/>
    <x v="3"/>
    <x v="20"/>
    <x v="0"/>
    <x v="0"/>
    <x v="0"/>
    <x v="5"/>
    <x v="0"/>
    <x v="0"/>
  </r>
  <r>
    <n v="596"/>
    <d v="2011-01-28T00:00:00"/>
    <x v="0"/>
    <n v="0"/>
    <x v="0"/>
    <x v="0"/>
    <x v="0"/>
    <x v="6"/>
    <n v="2"/>
    <x v="2"/>
    <n v="0.21210000000000001"/>
    <n v="0.75"/>
    <n v="0.1343"/>
    <x v="3"/>
    <x v="33"/>
    <x v="23"/>
    <x v="1"/>
    <x v="0"/>
    <x v="6"/>
    <x v="0"/>
    <x v="1"/>
  </r>
  <r>
    <n v="597"/>
    <d v="2011-01-28T00:00:00"/>
    <x v="0"/>
    <n v="0"/>
    <x v="0"/>
    <x v="1"/>
    <x v="0"/>
    <x v="6"/>
    <n v="2"/>
    <x v="2"/>
    <n v="0.21210000000000001"/>
    <n v="0.75"/>
    <n v="0.1343"/>
    <x v="5"/>
    <x v="6"/>
    <x v="6"/>
    <x v="1"/>
    <x v="0"/>
    <x v="6"/>
    <x v="0"/>
    <x v="1"/>
  </r>
  <r>
    <n v="598"/>
    <d v="2011-01-28T00:00:00"/>
    <x v="0"/>
    <n v="0"/>
    <x v="0"/>
    <x v="2"/>
    <x v="0"/>
    <x v="6"/>
    <n v="2"/>
    <x v="2"/>
    <n v="0.21210000000000001"/>
    <n v="0.75"/>
    <n v="0.16420000000000001"/>
    <x v="3"/>
    <x v="6"/>
    <x v="5"/>
    <x v="1"/>
    <x v="0"/>
    <x v="6"/>
    <x v="0"/>
    <x v="1"/>
  </r>
  <r>
    <n v="599"/>
    <d v="2011-01-28T00:00:00"/>
    <x v="0"/>
    <n v="0"/>
    <x v="0"/>
    <x v="3"/>
    <x v="0"/>
    <x v="6"/>
    <n v="2"/>
    <x v="2"/>
    <n v="0.2273"/>
    <n v="0.75"/>
    <n v="0.1045"/>
    <x v="5"/>
    <x v="5"/>
    <x v="4"/>
    <x v="1"/>
    <x v="0"/>
    <x v="6"/>
    <x v="0"/>
    <x v="1"/>
  </r>
  <r>
    <n v="600"/>
    <d v="2011-01-28T00:00:00"/>
    <x v="0"/>
    <n v="0"/>
    <x v="0"/>
    <x v="5"/>
    <x v="0"/>
    <x v="6"/>
    <n v="2"/>
    <x v="15"/>
    <n v="0.21210000000000001"/>
    <n v="0.8"/>
    <n v="0.1045"/>
    <x v="3"/>
    <x v="22"/>
    <x v="48"/>
    <x v="1"/>
    <x v="0"/>
    <x v="6"/>
    <x v="0"/>
    <x v="1"/>
  </r>
  <r>
    <n v="601"/>
    <d v="2011-01-28T00:00:00"/>
    <x v="0"/>
    <n v="0"/>
    <x v="0"/>
    <x v="6"/>
    <x v="0"/>
    <x v="6"/>
    <n v="2"/>
    <x v="15"/>
    <n v="0.19700000000000001"/>
    <n v="0.8"/>
    <n v="0.1343"/>
    <x v="3"/>
    <x v="20"/>
    <x v="0"/>
    <x v="1"/>
    <x v="0"/>
    <x v="6"/>
    <x v="0"/>
    <x v="1"/>
  </r>
  <r>
    <n v="602"/>
    <d v="2011-01-28T00:00:00"/>
    <x v="0"/>
    <n v="0"/>
    <x v="0"/>
    <x v="7"/>
    <x v="0"/>
    <x v="6"/>
    <n v="2"/>
    <x v="13"/>
    <n v="0.19700000000000001"/>
    <n v="0.86"/>
    <n v="8.9599999999999999E-2"/>
    <x v="4"/>
    <x v="29"/>
    <x v="122"/>
    <x v="1"/>
    <x v="0"/>
    <x v="6"/>
    <x v="0"/>
    <x v="1"/>
  </r>
  <r>
    <n v="603"/>
    <d v="2011-01-28T00:00:00"/>
    <x v="0"/>
    <n v="0"/>
    <x v="0"/>
    <x v="8"/>
    <x v="0"/>
    <x v="6"/>
    <n v="2"/>
    <x v="13"/>
    <n v="0.19700000000000001"/>
    <n v="0.86"/>
    <n v="8.9599999999999999E-2"/>
    <x v="4"/>
    <x v="119"/>
    <x v="45"/>
    <x v="1"/>
    <x v="0"/>
    <x v="6"/>
    <x v="0"/>
    <x v="1"/>
  </r>
  <r>
    <n v="604"/>
    <d v="2011-01-28T00:00:00"/>
    <x v="0"/>
    <n v="0"/>
    <x v="0"/>
    <x v="9"/>
    <x v="0"/>
    <x v="6"/>
    <n v="3"/>
    <x v="15"/>
    <n v="0.21210000000000001"/>
    <n v="0.86"/>
    <n v="8.9599999999999999E-2"/>
    <x v="15"/>
    <x v="73"/>
    <x v="129"/>
    <x v="2"/>
    <x v="0"/>
    <x v="6"/>
    <x v="0"/>
    <x v="2"/>
  </r>
  <r>
    <n v="605"/>
    <d v="2011-01-28T00:00:00"/>
    <x v="0"/>
    <n v="0"/>
    <x v="0"/>
    <x v="10"/>
    <x v="0"/>
    <x v="6"/>
    <n v="3"/>
    <x v="15"/>
    <n v="0.21210000000000001"/>
    <n v="0.86"/>
    <n v="0.1045"/>
    <x v="3"/>
    <x v="47"/>
    <x v="99"/>
    <x v="2"/>
    <x v="0"/>
    <x v="6"/>
    <x v="0"/>
    <x v="2"/>
  </r>
  <r>
    <n v="606"/>
    <d v="2011-01-28T00:00:00"/>
    <x v="0"/>
    <n v="0"/>
    <x v="0"/>
    <x v="11"/>
    <x v="0"/>
    <x v="6"/>
    <n v="3"/>
    <x v="15"/>
    <n v="0.21210000000000001"/>
    <n v="0.93"/>
    <n v="0.1045"/>
    <x v="3"/>
    <x v="10"/>
    <x v="33"/>
    <x v="2"/>
    <x v="0"/>
    <x v="6"/>
    <x v="0"/>
    <x v="2"/>
  </r>
  <r>
    <n v="607"/>
    <d v="2011-01-28T00:00:00"/>
    <x v="0"/>
    <n v="0"/>
    <x v="0"/>
    <x v="12"/>
    <x v="0"/>
    <x v="6"/>
    <n v="3"/>
    <x v="15"/>
    <n v="0.21210000000000001"/>
    <n v="0.93"/>
    <n v="0.1045"/>
    <x v="5"/>
    <x v="95"/>
    <x v="115"/>
    <x v="2"/>
    <x v="0"/>
    <x v="6"/>
    <x v="0"/>
    <x v="2"/>
  </r>
  <r>
    <n v="608"/>
    <d v="2011-01-28T00:00:00"/>
    <x v="0"/>
    <n v="0"/>
    <x v="0"/>
    <x v="13"/>
    <x v="0"/>
    <x v="6"/>
    <n v="3"/>
    <x v="15"/>
    <n v="0.21210000000000001"/>
    <n v="0.93"/>
    <n v="0.1045"/>
    <x v="3"/>
    <x v="17"/>
    <x v="35"/>
    <x v="2"/>
    <x v="0"/>
    <x v="6"/>
    <x v="0"/>
    <x v="2"/>
  </r>
  <r>
    <n v="609"/>
    <d v="2011-01-28T00:00:00"/>
    <x v="0"/>
    <n v="0"/>
    <x v="0"/>
    <x v="14"/>
    <x v="0"/>
    <x v="6"/>
    <n v="3"/>
    <x v="1"/>
    <n v="0.2727"/>
    <n v="0.8"/>
    <n v="0"/>
    <x v="4"/>
    <x v="49"/>
    <x v="103"/>
    <x v="2"/>
    <x v="0"/>
    <x v="6"/>
    <x v="0"/>
    <x v="2"/>
  </r>
  <r>
    <n v="610"/>
    <d v="2011-01-28T00:00:00"/>
    <x v="0"/>
    <n v="0"/>
    <x v="0"/>
    <x v="15"/>
    <x v="0"/>
    <x v="6"/>
    <n v="2"/>
    <x v="2"/>
    <n v="0.2576"/>
    <n v="0.86"/>
    <n v="0"/>
    <x v="5"/>
    <x v="71"/>
    <x v="102"/>
    <x v="1"/>
    <x v="0"/>
    <x v="6"/>
    <x v="0"/>
    <x v="1"/>
  </r>
  <r>
    <n v="611"/>
    <d v="2011-01-28T00:00:00"/>
    <x v="0"/>
    <n v="0"/>
    <x v="0"/>
    <x v="16"/>
    <x v="0"/>
    <x v="6"/>
    <n v="1"/>
    <x v="1"/>
    <n v="0.2727"/>
    <n v="0.8"/>
    <n v="0"/>
    <x v="22"/>
    <x v="14"/>
    <x v="138"/>
    <x v="0"/>
    <x v="0"/>
    <x v="6"/>
    <x v="0"/>
    <x v="0"/>
  </r>
  <r>
    <n v="612"/>
    <d v="2011-01-28T00:00:00"/>
    <x v="0"/>
    <n v="0"/>
    <x v="0"/>
    <x v="17"/>
    <x v="0"/>
    <x v="6"/>
    <n v="1"/>
    <x v="0"/>
    <n v="0.2424"/>
    <n v="0.75"/>
    <n v="0.1343"/>
    <x v="4"/>
    <x v="150"/>
    <x v="165"/>
    <x v="0"/>
    <x v="0"/>
    <x v="6"/>
    <x v="0"/>
    <x v="0"/>
  </r>
  <r>
    <n v="613"/>
    <d v="2011-01-28T00:00:00"/>
    <x v="0"/>
    <n v="0"/>
    <x v="0"/>
    <x v="18"/>
    <x v="0"/>
    <x v="6"/>
    <n v="1"/>
    <x v="0"/>
    <n v="0.2273"/>
    <n v="0.75"/>
    <n v="0.19400000000000001"/>
    <x v="4"/>
    <x v="128"/>
    <x v="142"/>
    <x v="0"/>
    <x v="0"/>
    <x v="6"/>
    <x v="0"/>
    <x v="0"/>
  </r>
  <r>
    <n v="614"/>
    <d v="2011-01-28T00:00:00"/>
    <x v="0"/>
    <n v="0"/>
    <x v="0"/>
    <x v="19"/>
    <x v="0"/>
    <x v="6"/>
    <n v="2"/>
    <x v="0"/>
    <n v="0.2424"/>
    <n v="0.75"/>
    <n v="0.1343"/>
    <x v="2"/>
    <x v="151"/>
    <x v="70"/>
    <x v="1"/>
    <x v="0"/>
    <x v="6"/>
    <x v="0"/>
    <x v="1"/>
  </r>
  <r>
    <n v="615"/>
    <d v="2011-01-28T00:00:00"/>
    <x v="0"/>
    <n v="0"/>
    <x v="0"/>
    <x v="20"/>
    <x v="0"/>
    <x v="6"/>
    <n v="2"/>
    <x v="0"/>
    <n v="0.2273"/>
    <n v="0.7"/>
    <n v="0.19400000000000001"/>
    <x v="5"/>
    <x v="124"/>
    <x v="69"/>
    <x v="1"/>
    <x v="0"/>
    <x v="6"/>
    <x v="0"/>
    <x v="1"/>
  </r>
  <r>
    <n v="616"/>
    <d v="2011-01-28T00:00:00"/>
    <x v="0"/>
    <n v="0"/>
    <x v="0"/>
    <x v="21"/>
    <x v="0"/>
    <x v="6"/>
    <n v="2"/>
    <x v="1"/>
    <n v="0.2273"/>
    <n v="0.75"/>
    <n v="0.1343"/>
    <x v="5"/>
    <x v="77"/>
    <x v="154"/>
    <x v="1"/>
    <x v="0"/>
    <x v="6"/>
    <x v="0"/>
    <x v="1"/>
  </r>
  <r>
    <n v="617"/>
    <d v="2011-01-28T00:00:00"/>
    <x v="0"/>
    <n v="0"/>
    <x v="0"/>
    <x v="22"/>
    <x v="0"/>
    <x v="6"/>
    <n v="1"/>
    <x v="0"/>
    <n v="0.21210000000000001"/>
    <n v="0.65"/>
    <n v="0.35820000000000002"/>
    <x v="3"/>
    <x v="16"/>
    <x v="132"/>
    <x v="0"/>
    <x v="0"/>
    <x v="6"/>
    <x v="0"/>
    <x v="0"/>
  </r>
  <r>
    <n v="618"/>
    <d v="2011-01-28T00:00:00"/>
    <x v="0"/>
    <n v="0"/>
    <x v="0"/>
    <x v="23"/>
    <x v="0"/>
    <x v="6"/>
    <n v="1"/>
    <x v="0"/>
    <n v="0.2273"/>
    <n v="0.6"/>
    <n v="0.22389999999999999"/>
    <x v="5"/>
    <x v="97"/>
    <x v="84"/>
    <x v="0"/>
    <x v="0"/>
    <x v="6"/>
    <x v="0"/>
    <x v="0"/>
  </r>
  <r>
    <n v="619"/>
    <d v="2011-01-29T00:00:00"/>
    <x v="0"/>
    <n v="0"/>
    <x v="0"/>
    <x v="0"/>
    <x v="0"/>
    <x v="0"/>
    <n v="1"/>
    <x v="1"/>
    <n v="0.19700000000000001"/>
    <n v="0.64"/>
    <n v="0.35820000000000002"/>
    <x v="4"/>
    <x v="16"/>
    <x v="20"/>
    <x v="0"/>
    <x v="0"/>
    <x v="0"/>
    <x v="0"/>
    <x v="0"/>
  </r>
  <r>
    <n v="620"/>
    <d v="2011-01-29T00:00:00"/>
    <x v="0"/>
    <n v="0"/>
    <x v="0"/>
    <x v="1"/>
    <x v="0"/>
    <x v="0"/>
    <n v="1"/>
    <x v="1"/>
    <n v="0.2273"/>
    <n v="0.64"/>
    <n v="0.19400000000000001"/>
    <x v="3"/>
    <x v="32"/>
    <x v="25"/>
    <x v="0"/>
    <x v="0"/>
    <x v="0"/>
    <x v="0"/>
    <x v="0"/>
  </r>
  <r>
    <n v="621"/>
    <d v="2011-01-29T00:00:00"/>
    <x v="0"/>
    <n v="0"/>
    <x v="0"/>
    <x v="2"/>
    <x v="0"/>
    <x v="0"/>
    <n v="1"/>
    <x v="1"/>
    <n v="0.2273"/>
    <n v="0.64"/>
    <n v="0.16420000000000001"/>
    <x v="3"/>
    <x v="89"/>
    <x v="93"/>
    <x v="0"/>
    <x v="0"/>
    <x v="0"/>
    <x v="0"/>
    <x v="0"/>
  </r>
  <r>
    <n v="622"/>
    <d v="2011-01-29T00:00:00"/>
    <x v="0"/>
    <n v="0"/>
    <x v="0"/>
    <x v="3"/>
    <x v="0"/>
    <x v="0"/>
    <n v="1"/>
    <x v="2"/>
    <n v="0.21210000000000001"/>
    <n v="0.64"/>
    <n v="0.1343"/>
    <x v="0"/>
    <x v="34"/>
    <x v="7"/>
    <x v="0"/>
    <x v="0"/>
    <x v="0"/>
    <x v="0"/>
    <x v="0"/>
  </r>
  <r>
    <n v="623"/>
    <d v="2011-01-29T00:00:00"/>
    <x v="0"/>
    <n v="0"/>
    <x v="0"/>
    <x v="4"/>
    <x v="0"/>
    <x v="0"/>
    <n v="1"/>
    <x v="13"/>
    <n v="0.18179999999999999"/>
    <n v="0.69"/>
    <n v="0.1045"/>
    <x v="5"/>
    <x v="6"/>
    <x v="6"/>
    <x v="0"/>
    <x v="0"/>
    <x v="0"/>
    <x v="0"/>
    <x v="0"/>
  </r>
  <r>
    <n v="624"/>
    <d v="2011-01-29T00:00:00"/>
    <x v="0"/>
    <n v="0"/>
    <x v="0"/>
    <x v="6"/>
    <x v="0"/>
    <x v="0"/>
    <n v="1"/>
    <x v="13"/>
    <n v="0.18179999999999999"/>
    <n v="0.64"/>
    <n v="0.1343"/>
    <x v="3"/>
    <x v="6"/>
    <x v="5"/>
    <x v="0"/>
    <x v="0"/>
    <x v="0"/>
    <x v="0"/>
    <x v="0"/>
  </r>
  <r>
    <n v="625"/>
    <d v="2011-01-29T00:00:00"/>
    <x v="0"/>
    <n v="0"/>
    <x v="0"/>
    <x v="7"/>
    <x v="0"/>
    <x v="0"/>
    <n v="1"/>
    <x v="13"/>
    <n v="0.18179999999999999"/>
    <n v="0.59"/>
    <n v="0.1045"/>
    <x v="5"/>
    <x v="22"/>
    <x v="36"/>
    <x v="0"/>
    <x v="0"/>
    <x v="0"/>
    <x v="0"/>
    <x v="0"/>
  </r>
  <r>
    <n v="626"/>
    <d v="2011-01-29T00:00:00"/>
    <x v="0"/>
    <n v="0"/>
    <x v="0"/>
    <x v="8"/>
    <x v="0"/>
    <x v="0"/>
    <n v="1"/>
    <x v="15"/>
    <n v="0.19700000000000001"/>
    <n v="0.55000000000000004"/>
    <n v="0.16420000000000001"/>
    <x v="0"/>
    <x v="17"/>
    <x v="19"/>
    <x v="0"/>
    <x v="0"/>
    <x v="0"/>
    <x v="0"/>
    <x v="0"/>
  </r>
  <r>
    <n v="627"/>
    <d v="2011-01-29T00:00:00"/>
    <x v="0"/>
    <n v="0"/>
    <x v="0"/>
    <x v="9"/>
    <x v="0"/>
    <x v="0"/>
    <n v="1"/>
    <x v="15"/>
    <n v="0.21210000000000001"/>
    <n v="0.59"/>
    <n v="8.9599999999999999E-2"/>
    <x v="3"/>
    <x v="60"/>
    <x v="19"/>
    <x v="0"/>
    <x v="0"/>
    <x v="0"/>
    <x v="0"/>
    <x v="0"/>
  </r>
  <r>
    <n v="628"/>
    <d v="2011-01-29T00:00:00"/>
    <x v="0"/>
    <n v="0"/>
    <x v="0"/>
    <x v="10"/>
    <x v="0"/>
    <x v="0"/>
    <n v="2"/>
    <x v="15"/>
    <n v="0.21210000000000001"/>
    <n v="0.64"/>
    <n v="0.1045"/>
    <x v="17"/>
    <x v="82"/>
    <x v="97"/>
    <x v="1"/>
    <x v="0"/>
    <x v="0"/>
    <x v="0"/>
    <x v="1"/>
  </r>
  <r>
    <n v="629"/>
    <d v="2011-01-29T00:00:00"/>
    <x v="0"/>
    <n v="0"/>
    <x v="0"/>
    <x v="11"/>
    <x v="0"/>
    <x v="0"/>
    <n v="2"/>
    <x v="15"/>
    <n v="0.19700000000000001"/>
    <n v="0.64"/>
    <n v="0.1343"/>
    <x v="17"/>
    <x v="91"/>
    <x v="37"/>
    <x v="1"/>
    <x v="0"/>
    <x v="0"/>
    <x v="0"/>
    <x v="1"/>
  </r>
  <r>
    <n v="630"/>
    <d v="2011-01-29T00:00:00"/>
    <x v="0"/>
    <n v="0"/>
    <x v="0"/>
    <x v="12"/>
    <x v="0"/>
    <x v="0"/>
    <n v="2"/>
    <x v="2"/>
    <n v="0.19700000000000001"/>
    <n v="0.59"/>
    <n v="0.19400000000000001"/>
    <x v="6"/>
    <x v="43"/>
    <x v="53"/>
    <x v="1"/>
    <x v="0"/>
    <x v="0"/>
    <x v="0"/>
    <x v="1"/>
  </r>
  <r>
    <n v="631"/>
    <d v="2011-01-29T00:00:00"/>
    <x v="0"/>
    <n v="0"/>
    <x v="0"/>
    <x v="13"/>
    <x v="0"/>
    <x v="0"/>
    <n v="2"/>
    <x v="1"/>
    <n v="0.2273"/>
    <n v="0.55000000000000004"/>
    <n v="0.16420000000000001"/>
    <x v="14"/>
    <x v="90"/>
    <x v="32"/>
    <x v="1"/>
    <x v="0"/>
    <x v="0"/>
    <x v="0"/>
    <x v="1"/>
  </r>
  <r>
    <n v="632"/>
    <d v="2011-01-29T00:00:00"/>
    <x v="0"/>
    <n v="0"/>
    <x v="0"/>
    <x v="14"/>
    <x v="0"/>
    <x v="0"/>
    <n v="2"/>
    <x v="1"/>
    <n v="0.2273"/>
    <n v="0.6"/>
    <n v="0.1343"/>
    <x v="22"/>
    <x v="121"/>
    <x v="111"/>
    <x v="1"/>
    <x v="0"/>
    <x v="0"/>
    <x v="0"/>
    <x v="1"/>
  </r>
  <r>
    <n v="633"/>
    <d v="2011-01-29T00:00:00"/>
    <x v="0"/>
    <n v="0"/>
    <x v="0"/>
    <x v="15"/>
    <x v="0"/>
    <x v="0"/>
    <n v="1"/>
    <x v="1"/>
    <n v="0.21210000000000001"/>
    <n v="0.69"/>
    <n v="0.25369999999999998"/>
    <x v="30"/>
    <x v="52"/>
    <x v="151"/>
    <x v="0"/>
    <x v="0"/>
    <x v="0"/>
    <x v="0"/>
    <x v="0"/>
  </r>
  <r>
    <n v="634"/>
    <d v="2011-01-29T00:00:00"/>
    <x v="0"/>
    <n v="0"/>
    <x v="0"/>
    <x v="16"/>
    <x v="0"/>
    <x v="0"/>
    <n v="1"/>
    <x v="0"/>
    <n v="0.2424"/>
    <n v="0.6"/>
    <n v="0.16420000000000001"/>
    <x v="21"/>
    <x v="152"/>
    <x v="166"/>
    <x v="0"/>
    <x v="0"/>
    <x v="0"/>
    <x v="0"/>
    <x v="0"/>
  </r>
  <r>
    <n v="635"/>
    <d v="2011-01-29T00:00:00"/>
    <x v="0"/>
    <n v="0"/>
    <x v="0"/>
    <x v="17"/>
    <x v="0"/>
    <x v="0"/>
    <n v="1"/>
    <x v="0"/>
    <n v="0.28789999999999999"/>
    <n v="0.6"/>
    <n v="0"/>
    <x v="14"/>
    <x v="70"/>
    <x v="134"/>
    <x v="0"/>
    <x v="0"/>
    <x v="0"/>
    <x v="0"/>
    <x v="0"/>
  </r>
  <r>
    <n v="636"/>
    <d v="2011-01-29T00:00:00"/>
    <x v="0"/>
    <n v="0"/>
    <x v="0"/>
    <x v="18"/>
    <x v="0"/>
    <x v="0"/>
    <n v="1"/>
    <x v="1"/>
    <n v="0.2273"/>
    <n v="0.69"/>
    <n v="0.1343"/>
    <x v="14"/>
    <x v="79"/>
    <x v="118"/>
    <x v="0"/>
    <x v="0"/>
    <x v="0"/>
    <x v="0"/>
    <x v="0"/>
  </r>
  <r>
    <n v="637"/>
    <d v="2011-01-29T00:00:00"/>
    <x v="0"/>
    <n v="0"/>
    <x v="0"/>
    <x v="19"/>
    <x v="0"/>
    <x v="0"/>
    <n v="2"/>
    <x v="1"/>
    <n v="0.21210000000000001"/>
    <n v="0.69"/>
    <n v="0.25369999999999998"/>
    <x v="15"/>
    <x v="15"/>
    <x v="154"/>
    <x v="1"/>
    <x v="0"/>
    <x v="0"/>
    <x v="0"/>
    <x v="1"/>
  </r>
  <r>
    <n v="638"/>
    <d v="2011-01-29T00:00:00"/>
    <x v="0"/>
    <n v="0"/>
    <x v="0"/>
    <x v="20"/>
    <x v="0"/>
    <x v="0"/>
    <n v="1"/>
    <x v="15"/>
    <n v="0.21210000000000001"/>
    <n v="0.74"/>
    <n v="8.9599999999999999E-2"/>
    <x v="5"/>
    <x v="76"/>
    <x v="74"/>
    <x v="0"/>
    <x v="0"/>
    <x v="0"/>
    <x v="0"/>
    <x v="0"/>
  </r>
  <r>
    <n v="639"/>
    <d v="2011-01-29T00:00:00"/>
    <x v="0"/>
    <n v="0"/>
    <x v="0"/>
    <x v="21"/>
    <x v="0"/>
    <x v="0"/>
    <n v="1"/>
    <x v="15"/>
    <n v="0.21210000000000001"/>
    <n v="0.74"/>
    <n v="8.9599999999999999E-2"/>
    <x v="5"/>
    <x v="96"/>
    <x v="9"/>
    <x v="0"/>
    <x v="0"/>
    <x v="0"/>
    <x v="0"/>
    <x v="0"/>
  </r>
  <r>
    <n v="640"/>
    <d v="2011-01-29T00:00:00"/>
    <x v="0"/>
    <n v="0"/>
    <x v="0"/>
    <x v="22"/>
    <x v="0"/>
    <x v="0"/>
    <n v="1"/>
    <x v="13"/>
    <n v="0.19700000000000001"/>
    <n v="0.8"/>
    <n v="8.9599999999999999E-2"/>
    <x v="17"/>
    <x v="95"/>
    <x v="2"/>
    <x v="0"/>
    <x v="0"/>
    <x v="0"/>
    <x v="0"/>
    <x v="0"/>
  </r>
  <r>
    <n v="641"/>
    <d v="2011-01-29T00:00:00"/>
    <x v="0"/>
    <n v="0"/>
    <x v="0"/>
    <x v="23"/>
    <x v="0"/>
    <x v="0"/>
    <n v="1"/>
    <x v="13"/>
    <n v="0.19700000000000001"/>
    <n v="0.8"/>
    <n v="8.9599999999999999E-2"/>
    <x v="0"/>
    <x v="10"/>
    <x v="63"/>
    <x v="0"/>
    <x v="0"/>
    <x v="0"/>
    <x v="0"/>
    <x v="0"/>
  </r>
  <r>
    <n v="642"/>
    <d v="2011-01-30T00:00:00"/>
    <x v="0"/>
    <n v="0"/>
    <x v="0"/>
    <x v="0"/>
    <x v="0"/>
    <x v="1"/>
    <n v="1"/>
    <x v="13"/>
    <n v="0.18179999999999999"/>
    <n v="0.8"/>
    <n v="0.1045"/>
    <x v="3"/>
    <x v="39"/>
    <x v="63"/>
    <x v="0"/>
    <x v="0"/>
    <x v="1"/>
    <x v="0"/>
    <x v="0"/>
  </r>
  <r>
    <n v="643"/>
    <d v="2011-01-30T00:00:00"/>
    <x v="0"/>
    <n v="0"/>
    <x v="0"/>
    <x v="1"/>
    <x v="0"/>
    <x v="1"/>
    <n v="1"/>
    <x v="14"/>
    <n v="0.21210000000000001"/>
    <n v="0.8"/>
    <n v="0"/>
    <x v="18"/>
    <x v="97"/>
    <x v="115"/>
    <x v="0"/>
    <x v="0"/>
    <x v="1"/>
    <x v="0"/>
    <x v="0"/>
  </r>
  <r>
    <n v="644"/>
    <d v="2011-01-30T00:00:00"/>
    <x v="0"/>
    <n v="0"/>
    <x v="0"/>
    <x v="2"/>
    <x v="0"/>
    <x v="1"/>
    <n v="1"/>
    <x v="13"/>
    <n v="0.2273"/>
    <n v="0.8"/>
    <n v="0"/>
    <x v="5"/>
    <x v="3"/>
    <x v="62"/>
    <x v="0"/>
    <x v="0"/>
    <x v="1"/>
    <x v="0"/>
    <x v="0"/>
  </r>
  <r>
    <n v="645"/>
    <d v="2011-01-30T00:00:00"/>
    <x v="0"/>
    <n v="0"/>
    <x v="0"/>
    <x v="3"/>
    <x v="0"/>
    <x v="1"/>
    <n v="1"/>
    <x v="14"/>
    <n v="0.21210000000000001"/>
    <n v="0.93"/>
    <n v="0"/>
    <x v="5"/>
    <x v="7"/>
    <x v="7"/>
    <x v="0"/>
    <x v="0"/>
    <x v="1"/>
    <x v="0"/>
    <x v="0"/>
  </r>
  <r>
    <n v="646"/>
    <d v="2011-01-30T00:00:00"/>
    <x v="0"/>
    <n v="0"/>
    <x v="0"/>
    <x v="4"/>
    <x v="0"/>
    <x v="1"/>
    <n v="1"/>
    <x v="14"/>
    <n v="0.21210000000000001"/>
    <n v="0.93"/>
    <n v="0"/>
    <x v="3"/>
    <x v="4"/>
    <x v="4"/>
    <x v="0"/>
    <x v="0"/>
    <x v="1"/>
    <x v="0"/>
    <x v="0"/>
  </r>
  <r>
    <n v="647"/>
    <d v="2011-01-30T00:00:00"/>
    <x v="0"/>
    <n v="0"/>
    <x v="0"/>
    <x v="5"/>
    <x v="0"/>
    <x v="1"/>
    <n v="1"/>
    <x v="14"/>
    <n v="0.21210000000000001"/>
    <n v="0.86"/>
    <n v="0"/>
    <x v="3"/>
    <x v="35"/>
    <x v="6"/>
    <x v="0"/>
    <x v="0"/>
    <x v="1"/>
    <x v="0"/>
    <x v="0"/>
  </r>
  <r>
    <n v="648"/>
    <d v="2011-01-30T00:00:00"/>
    <x v="0"/>
    <n v="0"/>
    <x v="0"/>
    <x v="7"/>
    <x v="0"/>
    <x v="1"/>
    <n v="1"/>
    <x v="14"/>
    <n v="0.21210000000000001"/>
    <n v="0.86"/>
    <n v="0"/>
    <x v="3"/>
    <x v="35"/>
    <x v="6"/>
    <x v="0"/>
    <x v="0"/>
    <x v="1"/>
    <x v="0"/>
    <x v="0"/>
  </r>
  <r>
    <n v="649"/>
    <d v="2011-01-30T00:00:00"/>
    <x v="0"/>
    <n v="0"/>
    <x v="0"/>
    <x v="8"/>
    <x v="0"/>
    <x v="1"/>
    <n v="2"/>
    <x v="14"/>
    <n v="0.21210000000000001"/>
    <n v="0.86"/>
    <n v="0"/>
    <x v="5"/>
    <x v="48"/>
    <x v="47"/>
    <x v="1"/>
    <x v="0"/>
    <x v="1"/>
    <x v="0"/>
    <x v="1"/>
  </r>
  <r>
    <n v="650"/>
    <d v="2011-01-30T00:00:00"/>
    <x v="0"/>
    <n v="0"/>
    <x v="0"/>
    <x v="9"/>
    <x v="0"/>
    <x v="1"/>
    <n v="2"/>
    <x v="13"/>
    <n v="0.2273"/>
    <n v="0.8"/>
    <n v="0"/>
    <x v="17"/>
    <x v="60"/>
    <x v="103"/>
    <x v="1"/>
    <x v="0"/>
    <x v="1"/>
    <x v="0"/>
    <x v="1"/>
  </r>
  <r>
    <n v="651"/>
    <d v="2011-01-30T00:00:00"/>
    <x v="0"/>
    <n v="0"/>
    <x v="0"/>
    <x v="10"/>
    <x v="0"/>
    <x v="1"/>
    <n v="2"/>
    <x v="15"/>
    <n v="0.2424"/>
    <n v="0.8"/>
    <n v="0"/>
    <x v="18"/>
    <x v="77"/>
    <x v="37"/>
    <x v="1"/>
    <x v="0"/>
    <x v="1"/>
    <x v="0"/>
    <x v="1"/>
  </r>
  <r>
    <n v="652"/>
    <d v="2011-01-30T00:00:00"/>
    <x v="0"/>
    <n v="0"/>
    <x v="0"/>
    <x v="11"/>
    <x v="0"/>
    <x v="1"/>
    <n v="1"/>
    <x v="1"/>
    <n v="0.2727"/>
    <n v="0.75"/>
    <n v="0"/>
    <x v="14"/>
    <x v="54"/>
    <x v="29"/>
    <x v="0"/>
    <x v="0"/>
    <x v="1"/>
    <x v="0"/>
    <x v="0"/>
  </r>
  <r>
    <n v="653"/>
    <d v="2011-01-30T00:00:00"/>
    <x v="0"/>
    <n v="0"/>
    <x v="0"/>
    <x v="12"/>
    <x v="0"/>
    <x v="1"/>
    <n v="1"/>
    <x v="11"/>
    <n v="0.31819999999999998"/>
    <n v="0.52"/>
    <n v="0.1045"/>
    <x v="22"/>
    <x v="61"/>
    <x v="54"/>
    <x v="0"/>
    <x v="0"/>
    <x v="1"/>
    <x v="0"/>
    <x v="0"/>
  </r>
  <r>
    <n v="654"/>
    <d v="2011-01-30T00:00:00"/>
    <x v="0"/>
    <n v="0"/>
    <x v="0"/>
    <x v="13"/>
    <x v="0"/>
    <x v="1"/>
    <n v="1"/>
    <x v="17"/>
    <n v="0.28789999999999999"/>
    <n v="0.61"/>
    <n v="0.1045"/>
    <x v="23"/>
    <x v="13"/>
    <x v="11"/>
    <x v="0"/>
    <x v="0"/>
    <x v="1"/>
    <x v="0"/>
    <x v="0"/>
  </r>
  <r>
    <n v="655"/>
    <d v="2011-01-30T00:00:00"/>
    <x v="0"/>
    <n v="0"/>
    <x v="0"/>
    <x v="14"/>
    <x v="0"/>
    <x v="1"/>
    <n v="1"/>
    <x v="17"/>
    <n v="0.30299999999999999"/>
    <n v="0.61"/>
    <n v="8.9599999999999999E-2"/>
    <x v="25"/>
    <x v="153"/>
    <x v="78"/>
    <x v="0"/>
    <x v="0"/>
    <x v="1"/>
    <x v="0"/>
    <x v="0"/>
  </r>
  <r>
    <n v="656"/>
    <d v="2011-01-30T00:00:00"/>
    <x v="0"/>
    <n v="0"/>
    <x v="0"/>
    <x v="15"/>
    <x v="0"/>
    <x v="1"/>
    <n v="1"/>
    <x v="11"/>
    <n v="0.33329999999999999"/>
    <n v="0.56000000000000005"/>
    <n v="0"/>
    <x v="24"/>
    <x v="73"/>
    <x v="142"/>
    <x v="0"/>
    <x v="0"/>
    <x v="1"/>
    <x v="0"/>
    <x v="0"/>
  </r>
  <r>
    <n v="657"/>
    <d v="2011-01-30T00:00:00"/>
    <x v="0"/>
    <n v="0"/>
    <x v="0"/>
    <x v="16"/>
    <x v="0"/>
    <x v="1"/>
    <n v="1"/>
    <x v="11"/>
    <n v="0.33329999999999999"/>
    <n v="0.56000000000000005"/>
    <n v="0"/>
    <x v="21"/>
    <x v="153"/>
    <x v="92"/>
    <x v="0"/>
    <x v="0"/>
    <x v="1"/>
    <x v="0"/>
    <x v="0"/>
  </r>
  <r>
    <n v="658"/>
    <d v="2011-01-30T00:00:00"/>
    <x v="0"/>
    <n v="0"/>
    <x v="0"/>
    <x v="17"/>
    <x v="0"/>
    <x v="1"/>
    <n v="1"/>
    <x v="11"/>
    <n v="0.28789999999999999"/>
    <n v="0.56000000000000005"/>
    <n v="0.19400000000000001"/>
    <x v="15"/>
    <x v="13"/>
    <x v="43"/>
    <x v="0"/>
    <x v="0"/>
    <x v="1"/>
    <x v="0"/>
    <x v="0"/>
  </r>
  <r>
    <n v="659"/>
    <d v="2011-01-30T00:00:00"/>
    <x v="0"/>
    <n v="0"/>
    <x v="0"/>
    <x v="18"/>
    <x v="0"/>
    <x v="1"/>
    <n v="1"/>
    <x v="12"/>
    <n v="0.2576"/>
    <n v="0.65"/>
    <n v="0.16420000000000001"/>
    <x v="1"/>
    <x v="77"/>
    <x v="32"/>
    <x v="0"/>
    <x v="0"/>
    <x v="1"/>
    <x v="0"/>
    <x v="0"/>
  </r>
  <r>
    <n v="660"/>
    <d v="2011-01-30T00:00:00"/>
    <x v="0"/>
    <n v="0"/>
    <x v="0"/>
    <x v="19"/>
    <x v="0"/>
    <x v="1"/>
    <n v="1"/>
    <x v="12"/>
    <n v="0.2576"/>
    <n v="0.65"/>
    <n v="0.19400000000000001"/>
    <x v="14"/>
    <x v="24"/>
    <x v="97"/>
    <x v="0"/>
    <x v="0"/>
    <x v="1"/>
    <x v="0"/>
    <x v="0"/>
  </r>
  <r>
    <n v="661"/>
    <d v="2011-01-30T00:00:00"/>
    <x v="0"/>
    <n v="0"/>
    <x v="0"/>
    <x v="20"/>
    <x v="0"/>
    <x v="1"/>
    <n v="2"/>
    <x v="12"/>
    <n v="0.2727"/>
    <n v="0.65"/>
    <n v="0.1045"/>
    <x v="0"/>
    <x v="10"/>
    <x v="63"/>
    <x v="1"/>
    <x v="0"/>
    <x v="1"/>
    <x v="0"/>
    <x v="1"/>
  </r>
  <r>
    <n v="662"/>
    <d v="2011-01-30T00:00:00"/>
    <x v="0"/>
    <n v="0"/>
    <x v="0"/>
    <x v="21"/>
    <x v="0"/>
    <x v="1"/>
    <n v="2"/>
    <x v="0"/>
    <n v="0.2424"/>
    <n v="0.7"/>
    <n v="0.16420000000000001"/>
    <x v="0"/>
    <x v="18"/>
    <x v="20"/>
    <x v="1"/>
    <x v="0"/>
    <x v="1"/>
    <x v="0"/>
    <x v="1"/>
  </r>
  <r>
    <n v="663"/>
    <d v="2011-01-30T00:00:00"/>
    <x v="0"/>
    <n v="0"/>
    <x v="0"/>
    <x v="22"/>
    <x v="0"/>
    <x v="1"/>
    <n v="2"/>
    <x v="0"/>
    <n v="0.2273"/>
    <n v="0.7"/>
    <n v="0.19400000000000001"/>
    <x v="4"/>
    <x v="23"/>
    <x v="137"/>
    <x v="1"/>
    <x v="0"/>
    <x v="1"/>
    <x v="0"/>
    <x v="1"/>
  </r>
  <r>
    <n v="664"/>
    <d v="2011-01-30T00:00:00"/>
    <x v="0"/>
    <n v="0"/>
    <x v="0"/>
    <x v="23"/>
    <x v="0"/>
    <x v="1"/>
    <n v="2"/>
    <x v="0"/>
    <n v="0.21210000000000001"/>
    <n v="0.65"/>
    <n v="0.28360000000000002"/>
    <x v="2"/>
    <x v="20"/>
    <x v="137"/>
    <x v="1"/>
    <x v="0"/>
    <x v="1"/>
    <x v="0"/>
    <x v="1"/>
  </r>
  <r>
    <n v="665"/>
    <d v="2011-01-31T00:00:00"/>
    <x v="0"/>
    <n v="0"/>
    <x v="0"/>
    <x v="0"/>
    <x v="0"/>
    <x v="2"/>
    <n v="2"/>
    <x v="0"/>
    <n v="0.2273"/>
    <n v="0.65"/>
    <n v="0.22389999999999999"/>
    <x v="5"/>
    <x v="8"/>
    <x v="85"/>
    <x v="1"/>
    <x v="0"/>
    <x v="2"/>
    <x v="0"/>
    <x v="1"/>
  </r>
  <r>
    <n v="666"/>
    <d v="2011-01-31T00:00:00"/>
    <x v="0"/>
    <n v="0"/>
    <x v="0"/>
    <x v="1"/>
    <x v="0"/>
    <x v="2"/>
    <n v="1"/>
    <x v="1"/>
    <n v="0.21210000000000001"/>
    <n v="0.64"/>
    <n v="0.25369999999999998"/>
    <x v="4"/>
    <x v="34"/>
    <x v="85"/>
    <x v="0"/>
    <x v="0"/>
    <x v="2"/>
    <x v="0"/>
    <x v="0"/>
  </r>
  <r>
    <n v="667"/>
    <d v="2011-01-31T00:00:00"/>
    <x v="0"/>
    <n v="0"/>
    <x v="0"/>
    <x v="2"/>
    <x v="0"/>
    <x v="2"/>
    <n v="1"/>
    <x v="1"/>
    <n v="0.2273"/>
    <n v="0.64"/>
    <n v="0.19400000000000001"/>
    <x v="3"/>
    <x v="4"/>
    <x v="4"/>
    <x v="0"/>
    <x v="0"/>
    <x v="2"/>
    <x v="0"/>
    <x v="0"/>
  </r>
  <r>
    <n v="668"/>
    <d v="2011-01-31T00:00:00"/>
    <x v="0"/>
    <n v="0"/>
    <x v="0"/>
    <x v="3"/>
    <x v="0"/>
    <x v="2"/>
    <n v="1"/>
    <x v="1"/>
    <n v="0.2273"/>
    <n v="0.64"/>
    <n v="0.19400000000000001"/>
    <x v="3"/>
    <x v="6"/>
    <x v="5"/>
    <x v="0"/>
    <x v="0"/>
    <x v="2"/>
    <x v="0"/>
    <x v="0"/>
  </r>
  <r>
    <n v="669"/>
    <d v="2011-01-31T00:00:00"/>
    <x v="0"/>
    <n v="0"/>
    <x v="0"/>
    <x v="4"/>
    <x v="0"/>
    <x v="2"/>
    <n v="1"/>
    <x v="2"/>
    <n v="0.19700000000000001"/>
    <n v="0.59"/>
    <n v="0.22389999999999999"/>
    <x v="3"/>
    <x v="6"/>
    <x v="5"/>
    <x v="0"/>
    <x v="0"/>
    <x v="2"/>
    <x v="0"/>
    <x v="0"/>
  </r>
  <r>
    <n v="670"/>
    <d v="2011-01-31T00:00:00"/>
    <x v="0"/>
    <n v="0"/>
    <x v="0"/>
    <x v="5"/>
    <x v="0"/>
    <x v="2"/>
    <n v="1"/>
    <x v="15"/>
    <n v="0.16669999999999999"/>
    <n v="0.64"/>
    <n v="0.28360000000000002"/>
    <x v="3"/>
    <x v="21"/>
    <x v="7"/>
    <x v="0"/>
    <x v="0"/>
    <x v="2"/>
    <x v="0"/>
    <x v="0"/>
  </r>
  <r>
    <n v="671"/>
    <d v="2011-01-31T00:00:00"/>
    <x v="0"/>
    <n v="0"/>
    <x v="0"/>
    <x v="6"/>
    <x v="0"/>
    <x v="2"/>
    <n v="1"/>
    <x v="13"/>
    <n v="0.13639999999999999"/>
    <n v="0.69"/>
    <n v="0.32840000000000003"/>
    <x v="3"/>
    <x v="53"/>
    <x v="18"/>
    <x v="0"/>
    <x v="0"/>
    <x v="2"/>
    <x v="0"/>
    <x v="0"/>
  </r>
  <r>
    <n v="672"/>
    <d v="2011-01-31T00:00:00"/>
    <x v="0"/>
    <n v="0"/>
    <x v="0"/>
    <x v="7"/>
    <x v="0"/>
    <x v="2"/>
    <n v="2"/>
    <x v="13"/>
    <n v="0.13639999999999999"/>
    <n v="0.64"/>
    <n v="0.28360000000000002"/>
    <x v="5"/>
    <x v="13"/>
    <x v="44"/>
    <x v="1"/>
    <x v="0"/>
    <x v="2"/>
    <x v="0"/>
    <x v="1"/>
  </r>
  <r>
    <n v="673"/>
    <d v="2011-01-31T00:00:00"/>
    <x v="0"/>
    <n v="0"/>
    <x v="0"/>
    <x v="8"/>
    <x v="0"/>
    <x v="2"/>
    <n v="2"/>
    <x v="13"/>
    <n v="0.13639999999999999"/>
    <n v="0.59"/>
    <n v="0.28360000000000002"/>
    <x v="0"/>
    <x v="154"/>
    <x v="147"/>
    <x v="1"/>
    <x v="0"/>
    <x v="2"/>
    <x v="0"/>
    <x v="1"/>
  </r>
  <r>
    <n v="674"/>
    <d v="2011-01-31T00:00:00"/>
    <x v="0"/>
    <n v="0"/>
    <x v="0"/>
    <x v="9"/>
    <x v="0"/>
    <x v="2"/>
    <n v="2"/>
    <x v="13"/>
    <n v="0.13639999999999999"/>
    <n v="0.59"/>
    <n v="0.29849999999999999"/>
    <x v="3"/>
    <x v="155"/>
    <x v="59"/>
    <x v="1"/>
    <x v="0"/>
    <x v="2"/>
    <x v="0"/>
    <x v="1"/>
  </r>
  <r>
    <n v="675"/>
    <d v="2011-01-31T00:00:00"/>
    <x v="0"/>
    <n v="0"/>
    <x v="0"/>
    <x v="10"/>
    <x v="0"/>
    <x v="2"/>
    <n v="2"/>
    <x v="13"/>
    <n v="0.1515"/>
    <n v="0.59"/>
    <n v="0.19400000000000001"/>
    <x v="5"/>
    <x v="56"/>
    <x v="83"/>
    <x v="1"/>
    <x v="0"/>
    <x v="2"/>
    <x v="0"/>
    <x v="1"/>
  </r>
  <r>
    <n v="676"/>
    <d v="2011-01-31T00:00:00"/>
    <x v="0"/>
    <n v="0"/>
    <x v="0"/>
    <x v="11"/>
    <x v="0"/>
    <x v="2"/>
    <n v="2"/>
    <x v="13"/>
    <n v="0.1515"/>
    <n v="0.59"/>
    <n v="0.19400000000000001"/>
    <x v="4"/>
    <x v="24"/>
    <x v="61"/>
    <x v="1"/>
    <x v="0"/>
    <x v="2"/>
    <x v="0"/>
    <x v="1"/>
  </r>
  <r>
    <n v="677"/>
    <d v="2011-01-31T00:00:00"/>
    <x v="0"/>
    <n v="0"/>
    <x v="0"/>
    <x v="12"/>
    <x v="0"/>
    <x v="2"/>
    <n v="2"/>
    <x v="15"/>
    <n v="0.21210000000000001"/>
    <n v="0.55000000000000004"/>
    <n v="0.1045"/>
    <x v="15"/>
    <x v="133"/>
    <x v="118"/>
    <x v="1"/>
    <x v="0"/>
    <x v="2"/>
    <x v="0"/>
    <x v="1"/>
  </r>
  <r>
    <n v="678"/>
    <d v="2011-01-31T00:00:00"/>
    <x v="0"/>
    <n v="0"/>
    <x v="0"/>
    <x v="13"/>
    <x v="0"/>
    <x v="2"/>
    <n v="2"/>
    <x v="13"/>
    <n v="0.2273"/>
    <n v="0.59"/>
    <n v="0"/>
    <x v="4"/>
    <x v="15"/>
    <x v="60"/>
    <x v="1"/>
    <x v="0"/>
    <x v="2"/>
    <x v="0"/>
    <x v="1"/>
  </r>
  <r>
    <n v="679"/>
    <d v="2011-01-31T00:00:00"/>
    <x v="0"/>
    <n v="0"/>
    <x v="0"/>
    <x v="14"/>
    <x v="0"/>
    <x v="2"/>
    <n v="2"/>
    <x v="15"/>
    <n v="0.19700000000000001"/>
    <n v="0.55000000000000004"/>
    <n v="0.1343"/>
    <x v="5"/>
    <x v="66"/>
    <x v="80"/>
    <x v="1"/>
    <x v="0"/>
    <x v="2"/>
    <x v="0"/>
    <x v="1"/>
  </r>
  <r>
    <n v="680"/>
    <d v="2011-01-31T00:00:00"/>
    <x v="0"/>
    <n v="0"/>
    <x v="0"/>
    <x v="15"/>
    <x v="0"/>
    <x v="2"/>
    <n v="2"/>
    <x v="13"/>
    <n v="0.18179999999999999"/>
    <n v="0.59"/>
    <n v="0.1343"/>
    <x v="0"/>
    <x v="40"/>
    <x v="40"/>
    <x v="1"/>
    <x v="0"/>
    <x v="2"/>
    <x v="0"/>
    <x v="1"/>
  </r>
  <r>
    <n v="681"/>
    <d v="2011-01-31T00:00:00"/>
    <x v="0"/>
    <n v="0"/>
    <x v="0"/>
    <x v="16"/>
    <x v="0"/>
    <x v="2"/>
    <n v="2"/>
    <x v="13"/>
    <n v="0.18179999999999999"/>
    <n v="0.56000000000000005"/>
    <n v="0.19400000000000001"/>
    <x v="0"/>
    <x v="93"/>
    <x v="80"/>
    <x v="1"/>
    <x v="0"/>
    <x v="2"/>
    <x v="0"/>
    <x v="1"/>
  </r>
  <r>
    <n v="682"/>
    <d v="2011-01-31T00:00:00"/>
    <x v="0"/>
    <n v="0"/>
    <x v="0"/>
    <x v="17"/>
    <x v="0"/>
    <x v="2"/>
    <n v="2"/>
    <x v="13"/>
    <n v="0.1515"/>
    <n v="0.59"/>
    <n v="0.19400000000000001"/>
    <x v="15"/>
    <x v="119"/>
    <x v="143"/>
    <x v="1"/>
    <x v="0"/>
    <x v="2"/>
    <x v="0"/>
    <x v="1"/>
  </r>
  <r>
    <n v="683"/>
    <d v="2011-01-31T00:00:00"/>
    <x v="0"/>
    <n v="0"/>
    <x v="0"/>
    <x v="18"/>
    <x v="0"/>
    <x v="2"/>
    <n v="2"/>
    <x v="13"/>
    <n v="0.1515"/>
    <n v="0.55000000000000004"/>
    <n v="0.22389999999999999"/>
    <x v="0"/>
    <x v="37"/>
    <x v="167"/>
    <x v="1"/>
    <x v="0"/>
    <x v="2"/>
    <x v="0"/>
    <x v="1"/>
  </r>
  <r>
    <n v="684"/>
    <d v="2011-01-31T00:00:00"/>
    <x v="0"/>
    <n v="0"/>
    <x v="0"/>
    <x v="19"/>
    <x v="0"/>
    <x v="2"/>
    <n v="1"/>
    <x v="11"/>
    <n v="0.31819999999999998"/>
    <n v="0.61"/>
    <n v="0.1045"/>
    <x v="0"/>
    <x v="123"/>
    <x v="168"/>
    <x v="0"/>
    <x v="0"/>
    <x v="2"/>
    <x v="0"/>
    <x v="0"/>
  </r>
  <r>
    <n v="685"/>
    <d v="2011-01-31T00:00:00"/>
    <x v="0"/>
    <n v="0"/>
    <x v="0"/>
    <x v="20"/>
    <x v="0"/>
    <x v="2"/>
    <n v="3"/>
    <x v="13"/>
    <n v="0.16669999999999999"/>
    <n v="0.59"/>
    <n v="0.16420000000000001"/>
    <x v="3"/>
    <x v="78"/>
    <x v="53"/>
    <x v="2"/>
    <x v="0"/>
    <x v="2"/>
    <x v="0"/>
    <x v="2"/>
  </r>
  <r>
    <n v="686"/>
    <d v="2011-01-31T00:00:00"/>
    <x v="0"/>
    <n v="0"/>
    <x v="0"/>
    <x v="21"/>
    <x v="0"/>
    <x v="2"/>
    <n v="3"/>
    <x v="13"/>
    <n v="0.19700000000000001"/>
    <n v="0.59"/>
    <n v="8.9599999999999999E-2"/>
    <x v="0"/>
    <x v="42"/>
    <x v="10"/>
    <x v="2"/>
    <x v="0"/>
    <x v="2"/>
    <x v="0"/>
    <x v="2"/>
  </r>
  <r>
    <n v="687"/>
    <d v="2011-01-31T00:00:00"/>
    <x v="0"/>
    <n v="0"/>
    <x v="0"/>
    <x v="22"/>
    <x v="0"/>
    <x v="2"/>
    <n v="2"/>
    <x v="13"/>
    <n v="0.18179999999999999"/>
    <n v="0.59"/>
    <n v="0.1045"/>
    <x v="3"/>
    <x v="60"/>
    <x v="19"/>
    <x v="1"/>
    <x v="0"/>
    <x v="2"/>
    <x v="0"/>
    <x v="1"/>
  </r>
  <r>
    <n v="688"/>
    <d v="2011-01-31T00:00:00"/>
    <x v="0"/>
    <n v="0"/>
    <x v="0"/>
    <x v="23"/>
    <x v="0"/>
    <x v="2"/>
    <n v="2"/>
    <x v="13"/>
    <n v="0.19700000000000001"/>
    <n v="0.64"/>
    <n v="8.9599999999999999E-2"/>
    <x v="4"/>
    <x v="89"/>
    <x v="22"/>
    <x v="1"/>
    <x v="0"/>
    <x v="2"/>
    <x v="0"/>
    <x v="1"/>
  </r>
  <r>
    <n v="689"/>
    <d v="2011-02-01T00:00:00"/>
    <x v="0"/>
    <n v="0"/>
    <x v="1"/>
    <x v="0"/>
    <x v="0"/>
    <x v="3"/>
    <n v="2"/>
    <x v="13"/>
    <n v="0.18179999999999999"/>
    <n v="0.64"/>
    <n v="0.1045"/>
    <x v="4"/>
    <x v="8"/>
    <x v="7"/>
    <x v="1"/>
    <x v="0"/>
    <x v="3"/>
    <x v="1"/>
    <x v="1"/>
  </r>
  <r>
    <n v="690"/>
    <d v="2011-02-01T00:00:00"/>
    <x v="0"/>
    <n v="0"/>
    <x v="1"/>
    <x v="1"/>
    <x v="0"/>
    <x v="3"/>
    <n v="2"/>
    <x v="13"/>
    <n v="0.18179999999999999"/>
    <n v="0.69"/>
    <n v="0.1045"/>
    <x v="3"/>
    <x v="35"/>
    <x v="6"/>
    <x v="1"/>
    <x v="0"/>
    <x v="3"/>
    <x v="1"/>
    <x v="1"/>
  </r>
  <r>
    <n v="691"/>
    <d v="2011-02-01T00:00:00"/>
    <x v="0"/>
    <n v="0"/>
    <x v="1"/>
    <x v="2"/>
    <x v="0"/>
    <x v="3"/>
    <n v="2"/>
    <x v="13"/>
    <n v="0.2273"/>
    <n v="0.69"/>
    <n v="0"/>
    <x v="3"/>
    <x v="6"/>
    <x v="5"/>
    <x v="1"/>
    <x v="0"/>
    <x v="3"/>
    <x v="1"/>
    <x v="1"/>
  </r>
  <r>
    <n v="692"/>
    <d v="2011-02-01T00:00:00"/>
    <x v="0"/>
    <n v="0"/>
    <x v="1"/>
    <x v="3"/>
    <x v="0"/>
    <x v="3"/>
    <n v="2"/>
    <x v="13"/>
    <n v="0.2273"/>
    <n v="0.69"/>
    <n v="0"/>
    <x v="3"/>
    <x v="6"/>
    <x v="5"/>
    <x v="1"/>
    <x v="0"/>
    <x v="3"/>
    <x v="1"/>
    <x v="1"/>
  </r>
  <r>
    <n v="693"/>
    <d v="2011-02-01T00:00:00"/>
    <x v="0"/>
    <n v="0"/>
    <x v="1"/>
    <x v="5"/>
    <x v="0"/>
    <x v="3"/>
    <n v="3"/>
    <x v="14"/>
    <n v="0.21210000000000001"/>
    <n v="0.93"/>
    <n v="0"/>
    <x v="3"/>
    <x v="35"/>
    <x v="6"/>
    <x v="2"/>
    <x v="0"/>
    <x v="3"/>
    <x v="1"/>
    <x v="2"/>
  </r>
  <r>
    <n v="694"/>
    <d v="2011-02-01T00:00:00"/>
    <x v="0"/>
    <n v="0"/>
    <x v="1"/>
    <x v="6"/>
    <x v="0"/>
    <x v="3"/>
    <n v="3"/>
    <x v="14"/>
    <n v="0.21210000000000001"/>
    <n v="0.93"/>
    <n v="0"/>
    <x v="3"/>
    <x v="97"/>
    <x v="34"/>
    <x v="2"/>
    <x v="0"/>
    <x v="3"/>
    <x v="1"/>
    <x v="2"/>
  </r>
  <r>
    <n v="695"/>
    <d v="2011-02-01T00:00:00"/>
    <x v="0"/>
    <n v="0"/>
    <x v="1"/>
    <x v="7"/>
    <x v="0"/>
    <x v="3"/>
    <n v="3"/>
    <x v="13"/>
    <n v="0.2273"/>
    <n v="0.93"/>
    <n v="0"/>
    <x v="3"/>
    <x v="15"/>
    <x v="46"/>
    <x v="2"/>
    <x v="0"/>
    <x v="3"/>
    <x v="1"/>
    <x v="2"/>
  </r>
  <r>
    <n v="696"/>
    <d v="2011-02-01T00:00:00"/>
    <x v="0"/>
    <n v="0"/>
    <x v="1"/>
    <x v="8"/>
    <x v="0"/>
    <x v="3"/>
    <n v="3"/>
    <x v="13"/>
    <n v="0.2273"/>
    <n v="0.93"/>
    <n v="0"/>
    <x v="0"/>
    <x v="126"/>
    <x v="169"/>
    <x v="2"/>
    <x v="0"/>
    <x v="3"/>
    <x v="1"/>
    <x v="2"/>
  </r>
  <r>
    <n v="697"/>
    <d v="2011-02-01T00:00:00"/>
    <x v="0"/>
    <n v="0"/>
    <x v="1"/>
    <x v="9"/>
    <x v="0"/>
    <x v="3"/>
    <n v="2"/>
    <x v="13"/>
    <n v="0.2273"/>
    <n v="0.93"/>
    <n v="0"/>
    <x v="4"/>
    <x v="156"/>
    <x v="155"/>
    <x v="1"/>
    <x v="0"/>
    <x v="3"/>
    <x v="1"/>
    <x v="1"/>
  </r>
  <r>
    <n v="698"/>
    <d v="2011-02-01T00:00:00"/>
    <x v="0"/>
    <n v="0"/>
    <x v="1"/>
    <x v="10"/>
    <x v="0"/>
    <x v="3"/>
    <n v="2"/>
    <x v="13"/>
    <n v="0.2273"/>
    <n v="0.93"/>
    <n v="0"/>
    <x v="3"/>
    <x v="12"/>
    <x v="105"/>
    <x v="1"/>
    <x v="0"/>
    <x v="3"/>
    <x v="1"/>
    <x v="1"/>
  </r>
  <r>
    <n v="699"/>
    <d v="2011-02-01T00:00:00"/>
    <x v="0"/>
    <n v="0"/>
    <x v="1"/>
    <x v="11"/>
    <x v="0"/>
    <x v="3"/>
    <n v="2"/>
    <x v="15"/>
    <n v="0.2424"/>
    <n v="0.86"/>
    <n v="0"/>
    <x v="4"/>
    <x v="47"/>
    <x v="41"/>
    <x v="1"/>
    <x v="0"/>
    <x v="3"/>
    <x v="1"/>
    <x v="1"/>
  </r>
  <r>
    <n v="700"/>
    <d v="2011-02-01T00:00:00"/>
    <x v="0"/>
    <n v="0"/>
    <x v="1"/>
    <x v="12"/>
    <x v="0"/>
    <x v="3"/>
    <n v="2"/>
    <x v="2"/>
    <n v="0.2576"/>
    <n v="0.86"/>
    <n v="0"/>
    <x v="4"/>
    <x v="42"/>
    <x v="97"/>
    <x v="1"/>
    <x v="0"/>
    <x v="3"/>
    <x v="1"/>
    <x v="1"/>
  </r>
  <r>
    <n v="701"/>
    <d v="2011-02-01T00:00:00"/>
    <x v="0"/>
    <n v="0"/>
    <x v="1"/>
    <x v="13"/>
    <x v="0"/>
    <x v="3"/>
    <n v="2"/>
    <x v="2"/>
    <n v="0.2576"/>
    <n v="0.86"/>
    <n v="0"/>
    <x v="0"/>
    <x v="47"/>
    <x v="46"/>
    <x v="1"/>
    <x v="0"/>
    <x v="3"/>
    <x v="1"/>
    <x v="1"/>
  </r>
  <r>
    <n v="702"/>
    <d v="2011-02-01T00:00:00"/>
    <x v="0"/>
    <n v="0"/>
    <x v="1"/>
    <x v="14"/>
    <x v="0"/>
    <x v="3"/>
    <n v="2"/>
    <x v="1"/>
    <n v="0.2576"/>
    <n v="0.8"/>
    <n v="8.9599999999999999E-2"/>
    <x v="2"/>
    <x v="47"/>
    <x v="60"/>
    <x v="1"/>
    <x v="0"/>
    <x v="3"/>
    <x v="1"/>
    <x v="1"/>
  </r>
  <r>
    <n v="703"/>
    <d v="2011-02-01T00:00:00"/>
    <x v="0"/>
    <n v="0"/>
    <x v="1"/>
    <x v="15"/>
    <x v="0"/>
    <x v="3"/>
    <n v="2"/>
    <x v="0"/>
    <n v="0.28789999999999999"/>
    <n v="0.75"/>
    <n v="0"/>
    <x v="18"/>
    <x v="108"/>
    <x v="46"/>
    <x v="1"/>
    <x v="0"/>
    <x v="3"/>
    <x v="1"/>
    <x v="1"/>
  </r>
  <r>
    <n v="704"/>
    <d v="2011-02-01T00:00:00"/>
    <x v="0"/>
    <n v="0"/>
    <x v="1"/>
    <x v="16"/>
    <x v="0"/>
    <x v="3"/>
    <n v="2"/>
    <x v="0"/>
    <n v="0.2424"/>
    <n v="0.75"/>
    <n v="0.1343"/>
    <x v="0"/>
    <x v="124"/>
    <x v="37"/>
    <x v="1"/>
    <x v="0"/>
    <x v="3"/>
    <x v="1"/>
    <x v="1"/>
  </r>
  <r>
    <n v="705"/>
    <d v="2011-02-01T00:00:00"/>
    <x v="0"/>
    <n v="0"/>
    <x v="1"/>
    <x v="17"/>
    <x v="0"/>
    <x v="3"/>
    <n v="2"/>
    <x v="0"/>
    <n v="0.28789999999999999"/>
    <n v="0.75"/>
    <n v="0"/>
    <x v="17"/>
    <x v="157"/>
    <x v="170"/>
    <x v="1"/>
    <x v="0"/>
    <x v="3"/>
    <x v="1"/>
    <x v="1"/>
  </r>
  <r>
    <n v="706"/>
    <d v="2011-02-01T00:00:00"/>
    <x v="0"/>
    <n v="0"/>
    <x v="1"/>
    <x v="18"/>
    <x v="0"/>
    <x v="3"/>
    <n v="2"/>
    <x v="0"/>
    <n v="0.2576"/>
    <n v="0.81"/>
    <n v="0.1045"/>
    <x v="0"/>
    <x v="158"/>
    <x v="171"/>
    <x v="1"/>
    <x v="0"/>
    <x v="3"/>
    <x v="1"/>
    <x v="1"/>
  </r>
  <r>
    <n v="707"/>
    <d v="2011-02-01T00:00:00"/>
    <x v="0"/>
    <n v="0"/>
    <x v="1"/>
    <x v="19"/>
    <x v="0"/>
    <x v="3"/>
    <n v="2"/>
    <x v="0"/>
    <n v="0.2424"/>
    <n v="0.81"/>
    <n v="0.1343"/>
    <x v="0"/>
    <x v="159"/>
    <x v="159"/>
    <x v="1"/>
    <x v="0"/>
    <x v="3"/>
    <x v="1"/>
    <x v="1"/>
  </r>
  <r>
    <n v="708"/>
    <d v="2011-02-01T00:00:00"/>
    <x v="0"/>
    <n v="0"/>
    <x v="1"/>
    <x v="20"/>
    <x v="0"/>
    <x v="3"/>
    <n v="2"/>
    <x v="1"/>
    <n v="0.2273"/>
    <n v="0.87"/>
    <n v="0.1343"/>
    <x v="2"/>
    <x v="94"/>
    <x v="30"/>
    <x v="1"/>
    <x v="0"/>
    <x v="3"/>
    <x v="1"/>
    <x v="1"/>
  </r>
  <r>
    <n v="709"/>
    <d v="2011-02-01T00:00:00"/>
    <x v="0"/>
    <n v="0"/>
    <x v="1"/>
    <x v="21"/>
    <x v="0"/>
    <x v="3"/>
    <n v="2"/>
    <x v="1"/>
    <n v="0.2273"/>
    <n v="0.87"/>
    <n v="0.1343"/>
    <x v="3"/>
    <x v="27"/>
    <x v="37"/>
    <x v="1"/>
    <x v="0"/>
    <x v="3"/>
    <x v="1"/>
    <x v="1"/>
  </r>
  <r>
    <n v="710"/>
    <d v="2011-02-01T00:00:00"/>
    <x v="0"/>
    <n v="0"/>
    <x v="1"/>
    <x v="22"/>
    <x v="0"/>
    <x v="3"/>
    <n v="2"/>
    <x v="1"/>
    <n v="0.2576"/>
    <n v="0.87"/>
    <n v="8.9599999999999999E-2"/>
    <x v="4"/>
    <x v="60"/>
    <x v="9"/>
    <x v="1"/>
    <x v="0"/>
    <x v="3"/>
    <x v="1"/>
    <x v="1"/>
  </r>
  <r>
    <n v="711"/>
    <d v="2011-02-01T00:00:00"/>
    <x v="0"/>
    <n v="0"/>
    <x v="1"/>
    <x v="23"/>
    <x v="0"/>
    <x v="3"/>
    <n v="3"/>
    <x v="2"/>
    <n v="0.19700000000000001"/>
    <n v="0.93"/>
    <n v="0.19400000000000001"/>
    <x v="5"/>
    <x v="89"/>
    <x v="0"/>
    <x v="2"/>
    <x v="0"/>
    <x v="3"/>
    <x v="1"/>
    <x v="2"/>
  </r>
  <r>
    <n v="712"/>
    <d v="2011-02-02T00:00:00"/>
    <x v="0"/>
    <n v="0"/>
    <x v="1"/>
    <x v="0"/>
    <x v="0"/>
    <x v="4"/>
    <n v="3"/>
    <x v="1"/>
    <n v="0.2424"/>
    <n v="0.93"/>
    <n v="0.1045"/>
    <x v="3"/>
    <x v="6"/>
    <x v="5"/>
    <x v="2"/>
    <x v="0"/>
    <x v="4"/>
    <x v="1"/>
    <x v="2"/>
  </r>
  <r>
    <n v="713"/>
    <d v="2011-02-02T00:00:00"/>
    <x v="0"/>
    <n v="0"/>
    <x v="1"/>
    <x v="1"/>
    <x v="0"/>
    <x v="4"/>
    <n v="3"/>
    <x v="1"/>
    <n v="0.2273"/>
    <n v="0.93"/>
    <n v="0.19400000000000001"/>
    <x v="3"/>
    <x v="35"/>
    <x v="6"/>
    <x v="2"/>
    <x v="0"/>
    <x v="4"/>
    <x v="1"/>
    <x v="2"/>
  </r>
  <r>
    <n v="714"/>
    <d v="2011-02-02T00:00:00"/>
    <x v="0"/>
    <n v="0"/>
    <x v="1"/>
    <x v="2"/>
    <x v="0"/>
    <x v="4"/>
    <n v="3"/>
    <x v="1"/>
    <n v="0.2273"/>
    <n v="0.93"/>
    <n v="0.1343"/>
    <x v="17"/>
    <x v="5"/>
    <x v="48"/>
    <x v="2"/>
    <x v="0"/>
    <x v="4"/>
    <x v="1"/>
    <x v="2"/>
  </r>
  <r>
    <n v="715"/>
    <d v="2011-02-02T00:00:00"/>
    <x v="0"/>
    <n v="0"/>
    <x v="1"/>
    <x v="3"/>
    <x v="0"/>
    <x v="4"/>
    <n v="3"/>
    <x v="1"/>
    <n v="0.2273"/>
    <n v="0.93"/>
    <n v="0.1343"/>
    <x v="3"/>
    <x v="4"/>
    <x v="4"/>
    <x v="2"/>
    <x v="0"/>
    <x v="4"/>
    <x v="1"/>
    <x v="2"/>
  </r>
  <r>
    <n v="716"/>
    <d v="2011-02-02T00:00:00"/>
    <x v="0"/>
    <n v="0"/>
    <x v="1"/>
    <x v="4"/>
    <x v="0"/>
    <x v="4"/>
    <n v="3"/>
    <x v="1"/>
    <n v="0.21210000000000001"/>
    <n v="0.93"/>
    <n v="0.28360000000000002"/>
    <x v="3"/>
    <x v="4"/>
    <x v="4"/>
    <x v="2"/>
    <x v="0"/>
    <x v="4"/>
    <x v="1"/>
    <x v="2"/>
  </r>
  <r>
    <n v="717"/>
    <d v="2011-02-02T00:00:00"/>
    <x v="0"/>
    <n v="0"/>
    <x v="1"/>
    <x v="5"/>
    <x v="0"/>
    <x v="4"/>
    <n v="3"/>
    <x v="1"/>
    <n v="0.2424"/>
    <n v="0.93"/>
    <n v="0.1045"/>
    <x v="3"/>
    <x v="35"/>
    <x v="6"/>
    <x v="2"/>
    <x v="0"/>
    <x v="4"/>
    <x v="1"/>
    <x v="2"/>
  </r>
  <r>
    <n v="718"/>
    <d v="2011-02-02T00:00:00"/>
    <x v="0"/>
    <n v="0"/>
    <x v="1"/>
    <x v="6"/>
    <x v="0"/>
    <x v="4"/>
    <n v="3"/>
    <x v="1"/>
    <n v="0.2424"/>
    <n v="0.93"/>
    <n v="0.1045"/>
    <x v="5"/>
    <x v="19"/>
    <x v="109"/>
    <x v="2"/>
    <x v="0"/>
    <x v="4"/>
    <x v="1"/>
    <x v="2"/>
  </r>
  <r>
    <n v="719"/>
    <d v="2011-02-02T00:00:00"/>
    <x v="0"/>
    <n v="0"/>
    <x v="1"/>
    <x v="7"/>
    <x v="0"/>
    <x v="4"/>
    <n v="3"/>
    <x v="1"/>
    <n v="0.21210000000000001"/>
    <n v="0.93"/>
    <n v="0.22389999999999999"/>
    <x v="5"/>
    <x v="41"/>
    <x v="99"/>
    <x v="2"/>
    <x v="0"/>
    <x v="4"/>
    <x v="1"/>
    <x v="2"/>
  </r>
  <r>
    <n v="720"/>
    <d v="2011-02-02T00:00:00"/>
    <x v="0"/>
    <n v="0"/>
    <x v="1"/>
    <x v="8"/>
    <x v="0"/>
    <x v="4"/>
    <n v="3"/>
    <x v="1"/>
    <n v="0.21210000000000001"/>
    <n v="0.93"/>
    <n v="0.22389999999999999"/>
    <x v="5"/>
    <x v="105"/>
    <x v="107"/>
    <x v="2"/>
    <x v="0"/>
    <x v="4"/>
    <x v="1"/>
    <x v="2"/>
  </r>
  <r>
    <n v="721"/>
    <d v="2011-02-02T00:00:00"/>
    <x v="0"/>
    <n v="0"/>
    <x v="1"/>
    <x v="9"/>
    <x v="0"/>
    <x v="4"/>
    <n v="2"/>
    <x v="0"/>
    <n v="0.2576"/>
    <n v="0.93"/>
    <n v="8.9599999999999999E-2"/>
    <x v="17"/>
    <x v="138"/>
    <x v="92"/>
    <x v="1"/>
    <x v="0"/>
    <x v="4"/>
    <x v="1"/>
    <x v="1"/>
  </r>
  <r>
    <n v="722"/>
    <d v="2011-02-02T00:00:00"/>
    <x v="0"/>
    <n v="0"/>
    <x v="1"/>
    <x v="10"/>
    <x v="0"/>
    <x v="4"/>
    <n v="2"/>
    <x v="1"/>
    <n v="0.2727"/>
    <n v="1"/>
    <n v="0"/>
    <x v="4"/>
    <x v="79"/>
    <x v="42"/>
    <x v="1"/>
    <x v="0"/>
    <x v="4"/>
    <x v="1"/>
    <x v="1"/>
  </r>
  <r>
    <n v="723"/>
    <d v="2011-02-02T00:00:00"/>
    <x v="0"/>
    <n v="0"/>
    <x v="1"/>
    <x v="11"/>
    <x v="0"/>
    <x v="4"/>
    <n v="2"/>
    <x v="0"/>
    <n v="0.2273"/>
    <n v="0.93"/>
    <n v="0.19400000000000001"/>
    <x v="2"/>
    <x v="12"/>
    <x v="46"/>
    <x v="1"/>
    <x v="0"/>
    <x v="4"/>
    <x v="1"/>
    <x v="1"/>
  </r>
  <r>
    <n v="724"/>
    <d v="2011-02-02T00:00:00"/>
    <x v="0"/>
    <n v="0"/>
    <x v="1"/>
    <x v="12"/>
    <x v="0"/>
    <x v="4"/>
    <n v="2"/>
    <x v="0"/>
    <n v="0.2273"/>
    <n v="0.93"/>
    <n v="0.22389999999999999"/>
    <x v="0"/>
    <x v="124"/>
    <x v="37"/>
    <x v="1"/>
    <x v="0"/>
    <x v="4"/>
    <x v="1"/>
    <x v="1"/>
  </r>
  <r>
    <n v="725"/>
    <d v="2011-02-02T00:00:00"/>
    <x v="0"/>
    <n v="0"/>
    <x v="1"/>
    <x v="13"/>
    <x v="0"/>
    <x v="4"/>
    <n v="1"/>
    <x v="10"/>
    <n v="0.33329999999999999"/>
    <n v="0.93"/>
    <n v="0.16420000000000001"/>
    <x v="5"/>
    <x v="64"/>
    <x v="28"/>
    <x v="0"/>
    <x v="0"/>
    <x v="4"/>
    <x v="1"/>
    <x v="0"/>
  </r>
  <r>
    <n v="726"/>
    <d v="2011-02-02T00:00:00"/>
    <x v="0"/>
    <n v="0"/>
    <x v="1"/>
    <x v="14"/>
    <x v="0"/>
    <x v="4"/>
    <n v="1"/>
    <x v="4"/>
    <n v="0.39389999999999997"/>
    <n v="0.82"/>
    <n v="0.3881"/>
    <x v="4"/>
    <x v="124"/>
    <x v="55"/>
    <x v="0"/>
    <x v="0"/>
    <x v="4"/>
    <x v="1"/>
    <x v="0"/>
  </r>
  <r>
    <n v="727"/>
    <d v="2011-02-02T00:00:00"/>
    <x v="0"/>
    <n v="0"/>
    <x v="1"/>
    <x v="15"/>
    <x v="0"/>
    <x v="4"/>
    <n v="1"/>
    <x v="4"/>
    <n v="0.39389999999999997"/>
    <n v="0.76"/>
    <n v="0.32840000000000003"/>
    <x v="22"/>
    <x v="43"/>
    <x v="31"/>
    <x v="0"/>
    <x v="0"/>
    <x v="4"/>
    <x v="1"/>
    <x v="0"/>
  </r>
  <r>
    <n v="728"/>
    <d v="2011-02-02T00:00:00"/>
    <x v="0"/>
    <n v="0"/>
    <x v="1"/>
    <x v="16"/>
    <x v="0"/>
    <x v="4"/>
    <n v="1"/>
    <x v="5"/>
    <n v="0.33329999999999999"/>
    <n v="0.71"/>
    <n v="0.29849999999999999"/>
    <x v="1"/>
    <x v="73"/>
    <x v="153"/>
    <x v="0"/>
    <x v="0"/>
    <x v="4"/>
    <x v="1"/>
    <x v="0"/>
  </r>
  <r>
    <n v="729"/>
    <d v="2011-02-02T00:00:00"/>
    <x v="0"/>
    <n v="0"/>
    <x v="1"/>
    <x v="17"/>
    <x v="0"/>
    <x v="4"/>
    <n v="1"/>
    <x v="5"/>
    <n v="0.31819999999999998"/>
    <n v="0.53"/>
    <n v="0.52239999999999998"/>
    <x v="18"/>
    <x v="160"/>
    <x v="71"/>
    <x v="0"/>
    <x v="0"/>
    <x v="4"/>
    <x v="1"/>
    <x v="0"/>
  </r>
  <r>
    <n v="730"/>
    <d v="2011-02-02T00:00:00"/>
    <x v="0"/>
    <n v="0"/>
    <x v="1"/>
    <x v="18"/>
    <x v="0"/>
    <x v="4"/>
    <n v="1"/>
    <x v="10"/>
    <n v="0.28789999999999999"/>
    <n v="0.42"/>
    <n v="0.55220000000000002"/>
    <x v="18"/>
    <x v="161"/>
    <x v="58"/>
    <x v="0"/>
    <x v="0"/>
    <x v="4"/>
    <x v="1"/>
    <x v="0"/>
  </r>
  <r>
    <n v="731"/>
    <d v="2011-02-02T00:00:00"/>
    <x v="0"/>
    <n v="0"/>
    <x v="1"/>
    <x v="19"/>
    <x v="0"/>
    <x v="4"/>
    <n v="1"/>
    <x v="17"/>
    <n v="0.2424"/>
    <n v="0.45"/>
    <n v="0.49249999999999999"/>
    <x v="0"/>
    <x v="152"/>
    <x v="134"/>
    <x v="0"/>
    <x v="0"/>
    <x v="4"/>
    <x v="1"/>
    <x v="0"/>
  </r>
  <r>
    <n v="732"/>
    <d v="2011-02-02T00:00:00"/>
    <x v="0"/>
    <n v="0"/>
    <x v="1"/>
    <x v="20"/>
    <x v="0"/>
    <x v="4"/>
    <n v="1"/>
    <x v="0"/>
    <n v="0.19700000000000001"/>
    <n v="0.48"/>
    <n v="0.55220000000000002"/>
    <x v="17"/>
    <x v="13"/>
    <x v="28"/>
    <x v="0"/>
    <x v="0"/>
    <x v="4"/>
    <x v="1"/>
    <x v="0"/>
  </r>
  <r>
    <n v="733"/>
    <d v="2011-02-02T00:00:00"/>
    <x v="0"/>
    <n v="0"/>
    <x v="1"/>
    <x v="21"/>
    <x v="0"/>
    <x v="4"/>
    <n v="1"/>
    <x v="1"/>
    <n v="0.19700000000000001"/>
    <n v="0.47"/>
    <n v="0.32840000000000003"/>
    <x v="5"/>
    <x v="133"/>
    <x v="55"/>
    <x v="0"/>
    <x v="0"/>
    <x v="4"/>
    <x v="1"/>
    <x v="0"/>
  </r>
  <r>
    <n v="734"/>
    <d v="2011-02-02T00:00:00"/>
    <x v="0"/>
    <n v="0"/>
    <x v="1"/>
    <x v="22"/>
    <x v="0"/>
    <x v="4"/>
    <n v="1"/>
    <x v="1"/>
    <n v="0.21210000000000001"/>
    <n v="0.44"/>
    <n v="0.25369999999999998"/>
    <x v="2"/>
    <x v="96"/>
    <x v="1"/>
    <x v="0"/>
    <x v="0"/>
    <x v="4"/>
    <x v="1"/>
    <x v="0"/>
  </r>
  <r>
    <n v="735"/>
    <d v="2011-02-02T00:00:00"/>
    <x v="0"/>
    <n v="0"/>
    <x v="1"/>
    <x v="23"/>
    <x v="0"/>
    <x v="4"/>
    <n v="1"/>
    <x v="2"/>
    <n v="0.16669999999999999"/>
    <n v="0.44"/>
    <n v="0.44779999999999998"/>
    <x v="0"/>
    <x v="31"/>
    <x v="2"/>
    <x v="0"/>
    <x v="0"/>
    <x v="4"/>
    <x v="1"/>
    <x v="0"/>
  </r>
  <r>
    <n v="736"/>
    <d v="2011-02-03T00:00:00"/>
    <x v="0"/>
    <n v="0"/>
    <x v="1"/>
    <x v="0"/>
    <x v="0"/>
    <x v="5"/>
    <n v="1"/>
    <x v="2"/>
    <n v="0.16669999999999999"/>
    <n v="0.4"/>
    <n v="0.44779999999999998"/>
    <x v="5"/>
    <x v="48"/>
    <x v="47"/>
    <x v="0"/>
    <x v="0"/>
    <x v="5"/>
    <x v="1"/>
    <x v="0"/>
  </r>
  <r>
    <n v="737"/>
    <d v="2011-02-03T00:00:00"/>
    <x v="0"/>
    <n v="0"/>
    <x v="1"/>
    <x v="1"/>
    <x v="0"/>
    <x v="5"/>
    <n v="1"/>
    <x v="2"/>
    <n v="0.1515"/>
    <n v="0.44"/>
    <n v="0.52239999999999998"/>
    <x v="3"/>
    <x v="34"/>
    <x v="36"/>
    <x v="0"/>
    <x v="0"/>
    <x v="5"/>
    <x v="1"/>
    <x v="0"/>
  </r>
  <r>
    <n v="738"/>
    <d v="2011-02-03T00:00:00"/>
    <x v="0"/>
    <n v="0"/>
    <x v="1"/>
    <x v="2"/>
    <x v="0"/>
    <x v="5"/>
    <n v="1"/>
    <x v="15"/>
    <n v="0.16669999999999999"/>
    <n v="0.43"/>
    <n v="0.25369999999999998"/>
    <x v="3"/>
    <x v="6"/>
    <x v="5"/>
    <x v="0"/>
    <x v="0"/>
    <x v="5"/>
    <x v="1"/>
    <x v="0"/>
  </r>
  <r>
    <n v="739"/>
    <d v="2011-02-03T00:00:00"/>
    <x v="0"/>
    <n v="0"/>
    <x v="1"/>
    <x v="3"/>
    <x v="0"/>
    <x v="5"/>
    <n v="1"/>
    <x v="15"/>
    <n v="0.16669999999999999"/>
    <n v="0.43"/>
    <n v="0.25369999999999998"/>
    <x v="3"/>
    <x v="4"/>
    <x v="4"/>
    <x v="0"/>
    <x v="0"/>
    <x v="5"/>
    <x v="1"/>
    <x v="0"/>
  </r>
  <r>
    <n v="740"/>
    <d v="2011-02-03T00:00:00"/>
    <x v="0"/>
    <n v="0"/>
    <x v="1"/>
    <x v="5"/>
    <x v="0"/>
    <x v="5"/>
    <n v="1"/>
    <x v="13"/>
    <n v="0.13639999999999999"/>
    <n v="0.5"/>
    <n v="0.29849999999999999"/>
    <x v="3"/>
    <x v="6"/>
    <x v="5"/>
    <x v="0"/>
    <x v="0"/>
    <x v="5"/>
    <x v="1"/>
    <x v="0"/>
  </r>
  <r>
    <n v="741"/>
    <d v="2011-02-03T00:00:00"/>
    <x v="0"/>
    <n v="0"/>
    <x v="1"/>
    <x v="6"/>
    <x v="0"/>
    <x v="5"/>
    <n v="1"/>
    <x v="13"/>
    <n v="0.13639999999999999"/>
    <n v="0.43"/>
    <n v="0.35820000000000002"/>
    <x v="3"/>
    <x v="87"/>
    <x v="21"/>
    <x v="0"/>
    <x v="0"/>
    <x v="5"/>
    <x v="1"/>
    <x v="0"/>
  </r>
  <r>
    <n v="742"/>
    <d v="2011-02-03T00:00:00"/>
    <x v="0"/>
    <n v="0"/>
    <x v="1"/>
    <x v="7"/>
    <x v="0"/>
    <x v="5"/>
    <n v="1"/>
    <x v="14"/>
    <n v="0.1212"/>
    <n v="0.5"/>
    <n v="0.32840000000000003"/>
    <x v="5"/>
    <x v="132"/>
    <x v="90"/>
    <x v="0"/>
    <x v="0"/>
    <x v="5"/>
    <x v="1"/>
    <x v="0"/>
  </r>
  <r>
    <n v="743"/>
    <d v="2011-02-03T00:00:00"/>
    <x v="0"/>
    <n v="0"/>
    <x v="1"/>
    <x v="8"/>
    <x v="0"/>
    <x v="5"/>
    <n v="1"/>
    <x v="14"/>
    <n v="0.1212"/>
    <n v="0.5"/>
    <n v="0.35820000000000002"/>
    <x v="17"/>
    <x v="103"/>
    <x v="104"/>
    <x v="0"/>
    <x v="0"/>
    <x v="5"/>
    <x v="1"/>
    <x v="0"/>
  </r>
  <r>
    <n v="744"/>
    <d v="2011-02-03T00:00:00"/>
    <x v="0"/>
    <n v="0"/>
    <x v="1"/>
    <x v="9"/>
    <x v="0"/>
    <x v="5"/>
    <n v="1"/>
    <x v="13"/>
    <n v="0.13639999999999999"/>
    <n v="0.47"/>
    <n v="0.29849999999999999"/>
    <x v="15"/>
    <x v="69"/>
    <x v="140"/>
    <x v="0"/>
    <x v="0"/>
    <x v="5"/>
    <x v="1"/>
    <x v="0"/>
  </r>
  <r>
    <n v="745"/>
    <d v="2011-02-03T00:00:00"/>
    <x v="0"/>
    <n v="0"/>
    <x v="1"/>
    <x v="10"/>
    <x v="0"/>
    <x v="5"/>
    <n v="1"/>
    <x v="15"/>
    <n v="0.1515"/>
    <n v="0.43"/>
    <n v="0.32840000000000003"/>
    <x v="4"/>
    <x v="54"/>
    <x v="46"/>
    <x v="0"/>
    <x v="0"/>
    <x v="5"/>
    <x v="1"/>
    <x v="0"/>
  </r>
  <r>
    <n v="746"/>
    <d v="2011-02-03T00:00:00"/>
    <x v="0"/>
    <n v="0"/>
    <x v="1"/>
    <x v="11"/>
    <x v="0"/>
    <x v="5"/>
    <n v="1"/>
    <x v="15"/>
    <n v="0.13639999999999999"/>
    <n v="0.43"/>
    <n v="0.44779999999999998"/>
    <x v="14"/>
    <x v="11"/>
    <x v="37"/>
    <x v="0"/>
    <x v="0"/>
    <x v="5"/>
    <x v="1"/>
    <x v="0"/>
  </r>
  <r>
    <n v="747"/>
    <d v="2011-02-03T00:00:00"/>
    <x v="0"/>
    <n v="0"/>
    <x v="1"/>
    <x v="12"/>
    <x v="0"/>
    <x v="5"/>
    <n v="1"/>
    <x v="2"/>
    <n v="0.18179999999999999"/>
    <n v="0.4"/>
    <n v="0.35820000000000002"/>
    <x v="4"/>
    <x v="28"/>
    <x v="83"/>
    <x v="0"/>
    <x v="0"/>
    <x v="5"/>
    <x v="1"/>
    <x v="0"/>
  </r>
  <r>
    <n v="748"/>
    <d v="2011-02-03T00:00:00"/>
    <x v="0"/>
    <n v="0"/>
    <x v="1"/>
    <x v="13"/>
    <x v="0"/>
    <x v="5"/>
    <n v="1"/>
    <x v="2"/>
    <n v="0.16669999999999999"/>
    <n v="0.4"/>
    <n v="0.41789999999999999"/>
    <x v="17"/>
    <x v="12"/>
    <x v="41"/>
    <x v="0"/>
    <x v="0"/>
    <x v="5"/>
    <x v="1"/>
    <x v="0"/>
  </r>
  <r>
    <n v="749"/>
    <d v="2011-02-03T00:00:00"/>
    <x v="0"/>
    <n v="0"/>
    <x v="1"/>
    <x v="14"/>
    <x v="0"/>
    <x v="5"/>
    <n v="1"/>
    <x v="1"/>
    <n v="0.19700000000000001"/>
    <n v="0.37"/>
    <n v="0.3881"/>
    <x v="17"/>
    <x v="30"/>
    <x v="105"/>
    <x v="0"/>
    <x v="0"/>
    <x v="5"/>
    <x v="1"/>
    <x v="0"/>
  </r>
  <r>
    <n v="750"/>
    <d v="2011-02-03T00:00:00"/>
    <x v="0"/>
    <n v="0"/>
    <x v="1"/>
    <x v="15"/>
    <x v="0"/>
    <x v="5"/>
    <n v="1"/>
    <x v="1"/>
    <n v="0.19700000000000001"/>
    <n v="0.37"/>
    <n v="0.32840000000000003"/>
    <x v="17"/>
    <x v="90"/>
    <x v="122"/>
    <x v="0"/>
    <x v="0"/>
    <x v="5"/>
    <x v="1"/>
    <x v="0"/>
  </r>
  <r>
    <n v="751"/>
    <d v="2011-02-03T00:00:00"/>
    <x v="0"/>
    <n v="0"/>
    <x v="1"/>
    <x v="16"/>
    <x v="0"/>
    <x v="5"/>
    <n v="1"/>
    <x v="1"/>
    <n v="0.21210000000000001"/>
    <n v="0.37"/>
    <n v="0.25369999999999998"/>
    <x v="2"/>
    <x v="26"/>
    <x v="53"/>
    <x v="0"/>
    <x v="0"/>
    <x v="5"/>
    <x v="1"/>
    <x v="0"/>
  </r>
  <r>
    <n v="752"/>
    <d v="2011-02-03T00:00:00"/>
    <x v="0"/>
    <n v="0"/>
    <x v="1"/>
    <x v="17"/>
    <x v="0"/>
    <x v="5"/>
    <n v="1"/>
    <x v="2"/>
    <n v="0.19700000000000001"/>
    <n v="0.4"/>
    <n v="0.19400000000000001"/>
    <x v="2"/>
    <x v="162"/>
    <x v="172"/>
    <x v="0"/>
    <x v="0"/>
    <x v="5"/>
    <x v="1"/>
    <x v="0"/>
  </r>
  <r>
    <n v="753"/>
    <d v="2011-02-03T00:00:00"/>
    <x v="0"/>
    <n v="0"/>
    <x v="1"/>
    <x v="18"/>
    <x v="0"/>
    <x v="5"/>
    <n v="1"/>
    <x v="2"/>
    <n v="0.21210000000000001"/>
    <n v="0.4"/>
    <n v="0.16420000000000001"/>
    <x v="4"/>
    <x v="142"/>
    <x v="173"/>
    <x v="0"/>
    <x v="0"/>
    <x v="5"/>
    <x v="1"/>
    <x v="0"/>
  </r>
  <r>
    <n v="754"/>
    <d v="2011-02-03T00:00:00"/>
    <x v="0"/>
    <n v="0"/>
    <x v="1"/>
    <x v="19"/>
    <x v="0"/>
    <x v="5"/>
    <n v="1"/>
    <x v="2"/>
    <n v="0.2576"/>
    <n v="0.4"/>
    <n v="0"/>
    <x v="17"/>
    <x v="50"/>
    <x v="152"/>
    <x v="0"/>
    <x v="0"/>
    <x v="5"/>
    <x v="1"/>
    <x v="0"/>
  </r>
  <r>
    <n v="755"/>
    <d v="2011-02-03T00:00:00"/>
    <x v="0"/>
    <n v="0"/>
    <x v="1"/>
    <x v="20"/>
    <x v="0"/>
    <x v="5"/>
    <n v="1"/>
    <x v="2"/>
    <n v="0.2273"/>
    <n v="0.47"/>
    <n v="8.9599999999999999E-2"/>
    <x v="5"/>
    <x v="123"/>
    <x v="142"/>
    <x v="0"/>
    <x v="0"/>
    <x v="5"/>
    <x v="1"/>
    <x v="0"/>
  </r>
  <r>
    <n v="756"/>
    <d v="2011-02-03T00:00:00"/>
    <x v="0"/>
    <n v="0"/>
    <x v="1"/>
    <x v="21"/>
    <x v="0"/>
    <x v="5"/>
    <n v="1"/>
    <x v="15"/>
    <n v="0.21210000000000001"/>
    <n v="0.55000000000000004"/>
    <n v="0.1045"/>
    <x v="5"/>
    <x v="42"/>
    <x v="60"/>
    <x v="0"/>
    <x v="0"/>
    <x v="5"/>
    <x v="1"/>
    <x v="0"/>
  </r>
  <r>
    <n v="757"/>
    <d v="2011-02-03T00:00:00"/>
    <x v="0"/>
    <n v="0"/>
    <x v="1"/>
    <x v="22"/>
    <x v="0"/>
    <x v="5"/>
    <n v="1"/>
    <x v="15"/>
    <n v="0.21210000000000001"/>
    <n v="0.51"/>
    <n v="8.9599999999999999E-2"/>
    <x v="4"/>
    <x v="87"/>
    <x v="102"/>
    <x v="0"/>
    <x v="0"/>
    <x v="5"/>
    <x v="1"/>
    <x v="0"/>
  </r>
  <r>
    <n v="758"/>
    <d v="2011-02-03T00:00:00"/>
    <x v="0"/>
    <n v="0"/>
    <x v="1"/>
    <x v="23"/>
    <x v="0"/>
    <x v="5"/>
    <n v="1"/>
    <x v="2"/>
    <n v="0.2273"/>
    <n v="0.47"/>
    <n v="0.1045"/>
    <x v="17"/>
    <x v="60"/>
    <x v="103"/>
    <x v="0"/>
    <x v="0"/>
    <x v="5"/>
    <x v="1"/>
    <x v="0"/>
  </r>
  <r>
    <n v="759"/>
    <d v="2011-02-04T00:00:00"/>
    <x v="0"/>
    <n v="0"/>
    <x v="1"/>
    <x v="0"/>
    <x v="0"/>
    <x v="6"/>
    <n v="2"/>
    <x v="2"/>
    <n v="0.2576"/>
    <n v="0.44"/>
    <n v="0"/>
    <x v="0"/>
    <x v="3"/>
    <x v="3"/>
    <x v="1"/>
    <x v="0"/>
    <x v="6"/>
    <x v="1"/>
    <x v="1"/>
  </r>
  <r>
    <n v="760"/>
    <d v="2011-02-04T00:00:00"/>
    <x v="0"/>
    <n v="0"/>
    <x v="1"/>
    <x v="1"/>
    <x v="0"/>
    <x v="6"/>
    <n v="2"/>
    <x v="13"/>
    <n v="0.2273"/>
    <n v="0.59"/>
    <n v="0"/>
    <x v="3"/>
    <x v="7"/>
    <x v="85"/>
    <x v="1"/>
    <x v="0"/>
    <x v="6"/>
    <x v="1"/>
    <x v="1"/>
  </r>
  <r>
    <n v="761"/>
    <d v="2011-02-04T00:00:00"/>
    <x v="0"/>
    <n v="0"/>
    <x v="1"/>
    <x v="2"/>
    <x v="0"/>
    <x v="6"/>
    <n v="2"/>
    <x v="14"/>
    <n v="0.16669999999999999"/>
    <n v="0.63"/>
    <n v="0.1045"/>
    <x v="3"/>
    <x v="4"/>
    <x v="4"/>
    <x v="1"/>
    <x v="0"/>
    <x v="6"/>
    <x v="1"/>
    <x v="1"/>
  </r>
  <r>
    <n v="762"/>
    <d v="2011-02-04T00:00:00"/>
    <x v="0"/>
    <n v="0"/>
    <x v="1"/>
    <x v="3"/>
    <x v="0"/>
    <x v="6"/>
    <n v="2"/>
    <x v="14"/>
    <n v="0.16669999999999999"/>
    <n v="0.63"/>
    <n v="0.1045"/>
    <x v="3"/>
    <x v="4"/>
    <x v="4"/>
    <x v="1"/>
    <x v="0"/>
    <x v="6"/>
    <x v="1"/>
    <x v="1"/>
  </r>
  <r>
    <n v="763"/>
    <d v="2011-02-04T00:00:00"/>
    <x v="0"/>
    <n v="0"/>
    <x v="1"/>
    <x v="5"/>
    <x v="0"/>
    <x v="6"/>
    <n v="2"/>
    <x v="14"/>
    <n v="0.1515"/>
    <n v="0.63"/>
    <n v="0.1343"/>
    <x v="3"/>
    <x v="7"/>
    <x v="85"/>
    <x v="1"/>
    <x v="0"/>
    <x v="6"/>
    <x v="1"/>
    <x v="1"/>
  </r>
  <r>
    <n v="764"/>
    <d v="2011-02-04T00:00:00"/>
    <x v="0"/>
    <n v="0"/>
    <x v="1"/>
    <x v="6"/>
    <x v="0"/>
    <x v="6"/>
    <n v="2"/>
    <x v="13"/>
    <n v="0.2273"/>
    <n v="0.55000000000000004"/>
    <n v="0"/>
    <x v="4"/>
    <x v="16"/>
    <x v="20"/>
    <x v="1"/>
    <x v="0"/>
    <x v="6"/>
    <x v="1"/>
    <x v="1"/>
  </r>
  <r>
    <n v="765"/>
    <d v="2011-02-04T00:00:00"/>
    <x v="0"/>
    <n v="0"/>
    <x v="1"/>
    <x v="7"/>
    <x v="0"/>
    <x v="6"/>
    <n v="1"/>
    <x v="14"/>
    <n v="0.21210000000000001"/>
    <n v="0.59"/>
    <n v="0"/>
    <x v="3"/>
    <x v="61"/>
    <x v="90"/>
    <x v="0"/>
    <x v="0"/>
    <x v="6"/>
    <x v="1"/>
    <x v="0"/>
  </r>
  <r>
    <n v="766"/>
    <d v="2011-02-04T00:00:00"/>
    <x v="0"/>
    <n v="0"/>
    <x v="1"/>
    <x v="8"/>
    <x v="0"/>
    <x v="6"/>
    <n v="1"/>
    <x v="14"/>
    <n v="0.1515"/>
    <n v="0.74"/>
    <n v="0.1343"/>
    <x v="0"/>
    <x v="163"/>
    <x v="174"/>
    <x v="0"/>
    <x v="0"/>
    <x v="6"/>
    <x v="1"/>
    <x v="0"/>
  </r>
  <r>
    <n v="767"/>
    <d v="2011-02-04T00:00:00"/>
    <x v="0"/>
    <n v="0"/>
    <x v="1"/>
    <x v="9"/>
    <x v="0"/>
    <x v="6"/>
    <n v="2"/>
    <x v="13"/>
    <n v="0.18179999999999999"/>
    <n v="0.8"/>
    <n v="0.1343"/>
    <x v="0"/>
    <x v="125"/>
    <x v="175"/>
    <x v="1"/>
    <x v="0"/>
    <x v="6"/>
    <x v="1"/>
    <x v="1"/>
  </r>
  <r>
    <n v="768"/>
    <d v="2011-02-04T00:00:00"/>
    <x v="0"/>
    <n v="0"/>
    <x v="1"/>
    <x v="10"/>
    <x v="0"/>
    <x v="6"/>
    <n v="2"/>
    <x v="2"/>
    <n v="0.21210000000000001"/>
    <n v="0.51"/>
    <n v="0.1343"/>
    <x v="2"/>
    <x v="24"/>
    <x v="41"/>
    <x v="1"/>
    <x v="0"/>
    <x v="6"/>
    <x v="1"/>
    <x v="1"/>
  </r>
  <r>
    <n v="769"/>
    <d v="2011-02-04T00:00:00"/>
    <x v="0"/>
    <n v="0"/>
    <x v="1"/>
    <x v="11"/>
    <x v="0"/>
    <x v="6"/>
    <n v="1"/>
    <x v="1"/>
    <n v="0.2273"/>
    <n v="0.51"/>
    <n v="0.16420000000000001"/>
    <x v="0"/>
    <x v="124"/>
    <x v="37"/>
    <x v="0"/>
    <x v="0"/>
    <x v="6"/>
    <x v="1"/>
    <x v="0"/>
  </r>
  <r>
    <n v="770"/>
    <d v="2011-02-04T00:00:00"/>
    <x v="0"/>
    <n v="0"/>
    <x v="1"/>
    <x v="12"/>
    <x v="0"/>
    <x v="6"/>
    <n v="2"/>
    <x v="0"/>
    <n v="0.2424"/>
    <n v="0.48"/>
    <n v="0.16420000000000001"/>
    <x v="1"/>
    <x v="78"/>
    <x v="80"/>
    <x v="1"/>
    <x v="0"/>
    <x v="6"/>
    <x v="1"/>
    <x v="1"/>
  </r>
  <r>
    <n v="771"/>
    <d v="2011-02-04T00:00:00"/>
    <x v="0"/>
    <n v="0"/>
    <x v="1"/>
    <x v="13"/>
    <x v="0"/>
    <x v="6"/>
    <n v="2"/>
    <x v="12"/>
    <n v="0.2576"/>
    <n v="0.5"/>
    <n v="0.22389999999999999"/>
    <x v="14"/>
    <x v="26"/>
    <x v="100"/>
    <x v="1"/>
    <x v="0"/>
    <x v="6"/>
    <x v="1"/>
    <x v="1"/>
  </r>
  <r>
    <n v="772"/>
    <d v="2011-02-04T00:00:00"/>
    <x v="0"/>
    <n v="0"/>
    <x v="1"/>
    <x v="14"/>
    <x v="0"/>
    <x v="6"/>
    <n v="2"/>
    <x v="17"/>
    <n v="0.2727"/>
    <n v="0.45"/>
    <n v="0.16420000000000001"/>
    <x v="13"/>
    <x v="83"/>
    <x v="134"/>
    <x v="1"/>
    <x v="0"/>
    <x v="6"/>
    <x v="1"/>
    <x v="1"/>
  </r>
  <r>
    <n v="773"/>
    <d v="2011-02-04T00:00:00"/>
    <x v="0"/>
    <n v="0"/>
    <x v="1"/>
    <x v="15"/>
    <x v="0"/>
    <x v="6"/>
    <n v="2"/>
    <x v="17"/>
    <n v="0.2727"/>
    <n v="0.48"/>
    <n v="0.25369999999999998"/>
    <x v="14"/>
    <x v="38"/>
    <x v="127"/>
    <x v="1"/>
    <x v="0"/>
    <x v="6"/>
    <x v="1"/>
    <x v="1"/>
  </r>
  <r>
    <n v="774"/>
    <d v="2011-02-04T00:00:00"/>
    <x v="0"/>
    <n v="0"/>
    <x v="1"/>
    <x v="16"/>
    <x v="0"/>
    <x v="6"/>
    <n v="2"/>
    <x v="11"/>
    <n v="0.28789999999999999"/>
    <n v="0.42"/>
    <n v="0.22389999999999999"/>
    <x v="1"/>
    <x v="164"/>
    <x v="111"/>
    <x v="1"/>
    <x v="0"/>
    <x v="6"/>
    <x v="1"/>
    <x v="1"/>
  </r>
  <r>
    <n v="775"/>
    <d v="2011-02-04T00:00:00"/>
    <x v="0"/>
    <n v="0"/>
    <x v="1"/>
    <x v="17"/>
    <x v="0"/>
    <x v="6"/>
    <n v="2"/>
    <x v="12"/>
    <n v="0.2727"/>
    <n v="0.56000000000000005"/>
    <n v="0.1343"/>
    <x v="22"/>
    <x v="165"/>
    <x v="176"/>
    <x v="1"/>
    <x v="0"/>
    <x v="6"/>
    <x v="1"/>
    <x v="1"/>
  </r>
  <r>
    <n v="776"/>
    <d v="2011-02-04T00:00:00"/>
    <x v="0"/>
    <n v="0"/>
    <x v="1"/>
    <x v="18"/>
    <x v="0"/>
    <x v="6"/>
    <n v="2"/>
    <x v="0"/>
    <n v="0.2576"/>
    <n v="0.6"/>
    <n v="0.1045"/>
    <x v="0"/>
    <x v="166"/>
    <x v="107"/>
    <x v="1"/>
    <x v="0"/>
    <x v="6"/>
    <x v="1"/>
    <x v="1"/>
  </r>
  <r>
    <n v="777"/>
    <d v="2011-02-04T00:00:00"/>
    <x v="0"/>
    <n v="0"/>
    <x v="1"/>
    <x v="19"/>
    <x v="0"/>
    <x v="6"/>
    <n v="2"/>
    <x v="0"/>
    <n v="0.2424"/>
    <n v="0.65"/>
    <n v="0.1343"/>
    <x v="5"/>
    <x v="46"/>
    <x v="153"/>
    <x v="1"/>
    <x v="0"/>
    <x v="6"/>
    <x v="1"/>
    <x v="1"/>
  </r>
  <r>
    <n v="778"/>
    <d v="2011-02-04T00:00:00"/>
    <x v="0"/>
    <n v="0"/>
    <x v="1"/>
    <x v="20"/>
    <x v="0"/>
    <x v="6"/>
    <n v="2"/>
    <x v="0"/>
    <n v="0.2424"/>
    <n v="0.65"/>
    <n v="0.16420000000000001"/>
    <x v="4"/>
    <x v="94"/>
    <x v="68"/>
    <x v="1"/>
    <x v="0"/>
    <x v="6"/>
    <x v="1"/>
    <x v="1"/>
  </r>
  <r>
    <n v="779"/>
    <d v="2011-02-04T00:00:00"/>
    <x v="0"/>
    <n v="0"/>
    <x v="1"/>
    <x v="21"/>
    <x v="0"/>
    <x v="6"/>
    <n v="2"/>
    <x v="0"/>
    <n v="0.2424"/>
    <n v="0.7"/>
    <n v="0.16420000000000001"/>
    <x v="4"/>
    <x v="40"/>
    <x v="74"/>
    <x v="1"/>
    <x v="0"/>
    <x v="6"/>
    <x v="1"/>
    <x v="1"/>
  </r>
  <r>
    <n v="780"/>
    <d v="2011-02-04T00:00:00"/>
    <x v="0"/>
    <n v="0"/>
    <x v="1"/>
    <x v="22"/>
    <x v="0"/>
    <x v="6"/>
    <n v="2"/>
    <x v="0"/>
    <n v="0.2424"/>
    <n v="0.65"/>
    <n v="0.16420000000000001"/>
    <x v="5"/>
    <x v="108"/>
    <x v="66"/>
    <x v="1"/>
    <x v="0"/>
    <x v="6"/>
    <x v="1"/>
    <x v="1"/>
  </r>
  <r>
    <n v="781"/>
    <d v="2011-02-04T00:00:00"/>
    <x v="0"/>
    <n v="0"/>
    <x v="1"/>
    <x v="23"/>
    <x v="0"/>
    <x v="6"/>
    <n v="2"/>
    <x v="0"/>
    <n v="0.2424"/>
    <n v="0.7"/>
    <n v="0.1343"/>
    <x v="5"/>
    <x v="10"/>
    <x v="35"/>
    <x v="1"/>
    <x v="0"/>
    <x v="6"/>
    <x v="1"/>
    <x v="1"/>
  </r>
  <r>
    <n v="782"/>
    <d v="2011-02-05T00:00:00"/>
    <x v="0"/>
    <n v="0"/>
    <x v="1"/>
    <x v="0"/>
    <x v="0"/>
    <x v="0"/>
    <n v="2"/>
    <x v="0"/>
    <n v="0.2424"/>
    <n v="0.7"/>
    <n v="0.16420000000000001"/>
    <x v="0"/>
    <x v="49"/>
    <x v="21"/>
    <x v="1"/>
    <x v="0"/>
    <x v="0"/>
    <x v="1"/>
    <x v="1"/>
  </r>
  <r>
    <n v="783"/>
    <d v="2011-02-05T00:00:00"/>
    <x v="0"/>
    <n v="0"/>
    <x v="1"/>
    <x v="1"/>
    <x v="0"/>
    <x v="0"/>
    <n v="2"/>
    <x v="0"/>
    <n v="0.2424"/>
    <n v="0.65"/>
    <n v="0.16420000000000001"/>
    <x v="5"/>
    <x v="19"/>
    <x v="109"/>
    <x v="1"/>
    <x v="0"/>
    <x v="0"/>
    <x v="1"/>
    <x v="1"/>
  </r>
  <r>
    <n v="784"/>
    <d v="2011-02-05T00:00:00"/>
    <x v="0"/>
    <n v="0"/>
    <x v="1"/>
    <x v="2"/>
    <x v="0"/>
    <x v="0"/>
    <n v="2"/>
    <x v="0"/>
    <n v="0.2424"/>
    <n v="0.75"/>
    <n v="0.16420000000000001"/>
    <x v="2"/>
    <x v="98"/>
    <x v="22"/>
    <x v="1"/>
    <x v="0"/>
    <x v="0"/>
    <x v="1"/>
    <x v="1"/>
  </r>
  <r>
    <n v="785"/>
    <d v="2011-02-05T00:00:00"/>
    <x v="0"/>
    <n v="0"/>
    <x v="1"/>
    <x v="3"/>
    <x v="0"/>
    <x v="0"/>
    <n v="2"/>
    <x v="0"/>
    <n v="0.2424"/>
    <n v="0.75"/>
    <n v="0.16420000000000001"/>
    <x v="5"/>
    <x v="3"/>
    <x v="62"/>
    <x v="1"/>
    <x v="0"/>
    <x v="0"/>
    <x v="1"/>
    <x v="1"/>
  </r>
  <r>
    <n v="786"/>
    <d v="2011-02-05T00:00:00"/>
    <x v="0"/>
    <n v="0"/>
    <x v="1"/>
    <x v="4"/>
    <x v="0"/>
    <x v="0"/>
    <n v="3"/>
    <x v="1"/>
    <n v="0.2273"/>
    <n v="0.93"/>
    <n v="0.1343"/>
    <x v="3"/>
    <x v="21"/>
    <x v="7"/>
    <x v="2"/>
    <x v="0"/>
    <x v="0"/>
    <x v="1"/>
    <x v="2"/>
  </r>
  <r>
    <n v="787"/>
    <d v="2011-02-05T00:00:00"/>
    <x v="0"/>
    <n v="0"/>
    <x v="1"/>
    <x v="5"/>
    <x v="0"/>
    <x v="0"/>
    <n v="3"/>
    <x v="2"/>
    <n v="0.2273"/>
    <n v="1"/>
    <n v="8.9599999999999999E-2"/>
    <x v="3"/>
    <x v="33"/>
    <x v="23"/>
    <x v="2"/>
    <x v="0"/>
    <x v="0"/>
    <x v="1"/>
    <x v="2"/>
  </r>
  <r>
    <n v="788"/>
    <d v="2011-02-05T00:00:00"/>
    <x v="0"/>
    <n v="0"/>
    <x v="1"/>
    <x v="6"/>
    <x v="0"/>
    <x v="0"/>
    <n v="3"/>
    <x v="2"/>
    <n v="0.2576"/>
    <n v="1"/>
    <n v="0"/>
    <x v="3"/>
    <x v="22"/>
    <x v="48"/>
    <x v="2"/>
    <x v="0"/>
    <x v="0"/>
    <x v="1"/>
    <x v="2"/>
  </r>
  <r>
    <n v="789"/>
    <d v="2011-02-05T00:00:00"/>
    <x v="0"/>
    <n v="0"/>
    <x v="1"/>
    <x v="7"/>
    <x v="0"/>
    <x v="0"/>
    <n v="3"/>
    <x v="1"/>
    <n v="0.2576"/>
    <n v="0.93"/>
    <n v="8.9599999999999999E-2"/>
    <x v="3"/>
    <x v="22"/>
    <x v="48"/>
    <x v="2"/>
    <x v="0"/>
    <x v="0"/>
    <x v="1"/>
    <x v="2"/>
  </r>
  <r>
    <n v="790"/>
    <d v="2011-02-05T00:00:00"/>
    <x v="0"/>
    <n v="0"/>
    <x v="1"/>
    <x v="8"/>
    <x v="0"/>
    <x v="0"/>
    <n v="3"/>
    <x v="2"/>
    <n v="0.2273"/>
    <n v="1"/>
    <n v="8.9599999999999999E-2"/>
    <x v="3"/>
    <x v="3"/>
    <x v="98"/>
    <x v="2"/>
    <x v="0"/>
    <x v="0"/>
    <x v="1"/>
    <x v="2"/>
  </r>
  <r>
    <n v="791"/>
    <d v="2011-02-05T00:00:00"/>
    <x v="0"/>
    <n v="0"/>
    <x v="1"/>
    <x v="9"/>
    <x v="0"/>
    <x v="0"/>
    <n v="3"/>
    <x v="2"/>
    <n v="0.2273"/>
    <n v="1"/>
    <n v="8.9599999999999999E-2"/>
    <x v="0"/>
    <x v="19"/>
    <x v="25"/>
    <x v="2"/>
    <x v="0"/>
    <x v="0"/>
    <x v="1"/>
    <x v="2"/>
  </r>
  <r>
    <n v="792"/>
    <d v="2011-02-05T00:00:00"/>
    <x v="0"/>
    <n v="0"/>
    <x v="1"/>
    <x v="10"/>
    <x v="0"/>
    <x v="0"/>
    <n v="3"/>
    <x v="2"/>
    <n v="0.21210000000000001"/>
    <n v="1"/>
    <n v="0.1343"/>
    <x v="0"/>
    <x v="17"/>
    <x v="19"/>
    <x v="2"/>
    <x v="0"/>
    <x v="0"/>
    <x v="1"/>
    <x v="2"/>
  </r>
  <r>
    <n v="793"/>
    <d v="2011-02-05T00:00:00"/>
    <x v="0"/>
    <n v="0"/>
    <x v="1"/>
    <x v="11"/>
    <x v="0"/>
    <x v="0"/>
    <n v="3"/>
    <x v="1"/>
    <n v="0.2273"/>
    <n v="1"/>
    <n v="0.1343"/>
    <x v="5"/>
    <x v="24"/>
    <x v="105"/>
    <x v="2"/>
    <x v="0"/>
    <x v="0"/>
    <x v="1"/>
    <x v="2"/>
  </r>
  <r>
    <n v="794"/>
    <d v="2011-02-05T00:00:00"/>
    <x v="0"/>
    <n v="0"/>
    <x v="1"/>
    <x v="12"/>
    <x v="0"/>
    <x v="0"/>
    <n v="3"/>
    <x v="1"/>
    <n v="0.2273"/>
    <n v="1"/>
    <n v="0.16420000000000001"/>
    <x v="22"/>
    <x v="76"/>
    <x v="46"/>
    <x v="2"/>
    <x v="0"/>
    <x v="0"/>
    <x v="1"/>
    <x v="2"/>
  </r>
  <r>
    <n v="795"/>
    <d v="2011-02-05T00:00:00"/>
    <x v="0"/>
    <n v="0"/>
    <x v="1"/>
    <x v="13"/>
    <x v="0"/>
    <x v="0"/>
    <n v="3"/>
    <x v="1"/>
    <n v="0.2273"/>
    <n v="1"/>
    <n v="0.16420000000000001"/>
    <x v="22"/>
    <x v="133"/>
    <x v="44"/>
    <x v="2"/>
    <x v="0"/>
    <x v="0"/>
    <x v="1"/>
    <x v="2"/>
  </r>
  <r>
    <n v="796"/>
    <d v="2011-02-05T00:00:00"/>
    <x v="0"/>
    <n v="0"/>
    <x v="1"/>
    <x v="14"/>
    <x v="0"/>
    <x v="0"/>
    <n v="3"/>
    <x v="1"/>
    <n v="0.2727"/>
    <n v="1"/>
    <n v="0"/>
    <x v="2"/>
    <x v="54"/>
    <x v="97"/>
    <x v="2"/>
    <x v="0"/>
    <x v="0"/>
    <x v="1"/>
    <x v="2"/>
  </r>
  <r>
    <n v="797"/>
    <d v="2011-02-05T00:00:00"/>
    <x v="0"/>
    <n v="0"/>
    <x v="1"/>
    <x v="15"/>
    <x v="0"/>
    <x v="0"/>
    <n v="3"/>
    <x v="1"/>
    <n v="0.2727"/>
    <n v="1"/>
    <n v="0"/>
    <x v="16"/>
    <x v="47"/>
    <x v="122"/>
    <x v="2"/>
    <x v="0"/>
    <x v="0"/>
    <x v="1"/>
    <x v="2"/>
  </r>
  <r>
    <n v="798"/>
    <d v="2011-02-05T00:00:00"/>
    <x v="0"/>
    <n v="0"/>
    <x v="1"/>
    <x v="16"/>
    <x v="0"/>
    <x v="0"/>
    <n v="3"/>
    <x v="1"/>
    <n v="0.2273"/>
    <n v="1"/>
    <n v="0.1343"/>
    <x v="1"/>
    <x v="36"/>
    <x v="68"/>
    <x v="2"/>
    <x v="0"/>
    <x v="0"/>
    <x v="1"/>
    <x v="2"/>
  </r>
  <r>
    <n v="799"/>
    <d v="2011-02-05T00:00:00"/>
    <x v="0"/>
    <n v="0"/>
    <x v="1"/>
    <x v="17"/>
    <x v="0"/>
    <x v="0"/>
    <n v="2"/>
    <x v="0"/>
    <n v="0.21210000000000001"/>
    <n v="1"/>
    <n v="0.28360000000000002"/>
    <x v="24"/>
    <x v="27"/>
    <x v="53"/>
    <x v="1"/>
    <x v="0"/>
    <x v="0"/>
    <x v="1"/>
    <x v="1"/>
  </r>
  <r>
    <n v="800"/>
    <d v="2011-02-05T00:00:00"/>
    <x v="0"/>
    <n v="0"/>
    <x v="1"/>
    <x v="18"/>
    <x v="0"/>
    <x v="0"/>
    <n v="2"/>
    <x v="17"/>
    <n v="0.2424"/>
    <n v="0.93"/>
    <n v="0.44779999999999998"/>
    <x v="4"/>
    <x v="38"/>
    <x v="56"/>
    <x v="1"/>
    <x v="0"/>
    <x v="0"/>
    <x v="1"/>
    <x v="1"/>
  </r>
  <r>
    <n v="801"/>
    <d v="2011-02-05T00:00:00"/>
    <x v="0"/>
    <n v="0"/>
    <x v="1"/>
    <x v="19"/>
    <x v="0"/>
    <x v="0"/>
    <n v="2"/>
    <x v="17"/>
    <n v="0.2424"/>
    <n v="0.93"/>
    <n v="0.44779999999999998"/>
    <x v="15"/>
    <x v="78"/>
    <x v="11"/>
    <x v="1"/>
    <x v="0"/>
    <x v="0"/>
    <x v="1"/>
    <x v="1"/>
  </r>
  <r>
    <n v="802"/>
    <d v="2011-02-05T00:00:00"/>
    <x v="0"/>
    <n v="0"/>
    <x v="1"/>
    <x v="20"/>
    <x v="0"/>
    <x v="0"/>
    <n v="1"/>
    <x v="11"/>
    <n v="0.28789999999999999"/>
    <n v="0.87"/>
    <n v="0.25369999999999998"/>
    <x v="2"/>
    <x v="27"/>
    <x v="83"/>
    <x v="0"/>
    <x v="0"/>
    <x v="0"/>
    <x v="1"/>
    <x v="0"/>
  </r>
  <r>
    <n v="803"/>
    <d v="2011-02-05T00:00:00"/>
    <x v="0"/>
    <n v="0"/>
    <x v="1"/>
    <x v="21"/>
    <x v="0"/>
    <x v="0"/>
    <n v="1"/>
    <x v="12"/>
    <n v="0.2576"/>
    <n v="1"/>
    <n v="0.19400000000000001"/>
    <x v="0"/>
    <x v="42"/>
    <x v="10"/>
    <x v="0"/>
    <x v="0"/>
    <x v="0"/>
    <x v="1"/>
    <x v="0"/>
  </r>
  <r>
    <n v="804"/>
    <d v="2011-02-05T00:00:00"/>
    <x v="0"/>
    <n v="0"/>
    <x v="1"/>
    <x v="22"/>
    <x v="0"/>
    <x v="0"/>
    <n v="1"/>
    <x v="12"/>
    <n v="0.2727"/>
    <n v="0.93"/>
    <n v="0.1343"/>
    <x v="4"/>
    <x v="30"/>
    <x v="79"/>
    <x v="0"/>
    <x v="0"/>
    <x v="0"/>
    <x v="1"/>
    <x v="0"/>
  </r>
  <r>
    <n v="805"/>
    <d v="2011-02-05T00:00:00"/>
    <x v="0"/>
    <n v="0"/>
    <x v="1"/>
    <x v="23"/>
    <x v="0"/>
    <x v="0"/>
    <n v="1"/>
    <x v="12"/>
    <n v="0.2576"/>
    <n v="0.93"/>
    <n v="0.22389999999999999"/>
    <x v="18"/>
    <x v="15"/>
    <x v="29"/>
    <x v="0"/>
    <x v="0"/>
    <x v="0"/>
    <x v="1"/>
    <x v="0"/>
  </r>
  <r>
    <n v="806"/>
    <d v="2011-02-06T00:00:00"/>
    <x v="0"/>
    <n v="0"/>
    <x v="1"/>
    <x v="0"/>
    <x v="0"/>
    <x v="1"/>
    <n v="1"/>
    <x v="12"/>
    <n v="0.2576"/>
    <n v="0.7"/>
    <n v="0.19400000000000001"/>
    <x v="4"/>
    <x v="53"/>
    <x v="21"/>
    <x v="0"/>
    <x v="0"/>
    <x v="1"/>
    <x v="1"/>
    <x v="0"/>
  </r>
  <r>
    <n v="807"/>
    <d v="2011-02-06T00:00:00"/>
    <x v="0"/>
    <n v="0"/>
    <x v="1"/>
    <x v="1"/>
    <x v="0"/>
    <x v="1"/>
    <n v="1"/>
    <x v="12"/>
    <n v="0.2273"/>
    <n v="0.65"/>
    <n v="0.41789999999999999"/>
    <x v="17"/>
    <x v="71"/>
    <x v="40"/>
    <x v="0"/>
    <x v="0"/>
    <x v="1"/>
    <x v="1"/>
    <x v="0"/>
  </r>
  <r>
    <n v="808"/>
    <d v="2011-02-06T00:00:00"/>
    <x v="0"/>
    <n v="0"/>
    <x v="1"/>
    <x v="2"/>
    <x v="0"/>
    <x v="1"/>
    <n v="1"/>
    <x v="12"/>
    <n v="0.2273"/>
    <n v="0.6"/>
    <n v="0.32840000000000003"/>
    <x v="3"/>
    <x v="32"/>
    <x v="25"/>
    <x v="0"/>
    <x v="0"/>
    <x v="1"/>
    <x v="1"/>
    <x v="0"/>
  </r>
  <r>
    <n v="809"/>
    <d v="2011-02-06T00:00:00"/>
    <x v="0"/>
    <n v="0"/>
    <x v="1"/>
    <x v="3"/>
    <x v="0"/>
    <x v="1"/>
    <n v="1"/>
    <x v="12"/>
    <n v="0.28789999999999999"/>
    <n v="0.6"/>
    <n v="8.9599999999999999E-2"/>
    <x v="0"/>
    <x v="3"/>
    <x v="3"/>
    <x v="0"/>
    <x v="0"/>
    <x v="1"/>
    <x v="1"/>
    <x v="0"/>
  </r>
  <r>
    <n v="810"/>
    <d v="2011-02-06T00:00:00"/>
    <x v="0"/>
    <n v="0"/>
    <x v="1"/>
    <x v="4"/>
    <x v="0"/>
    <x v="1"/>
    <n v="1"/>
    <x v="12"/>
    <n v="0.2273"/>
    <n v="0.6"/>
    <n v="0.35820000000000002"/>
    <x v="3"/>
    <x v="6"/>
    <x v="5"/>
    <x v="0"/>
    <x v="0"/>
    <x v="1"/>
    <x v="1"/>
    <x v="0"/>
  </r>
  <r>
    <n v="811"/>
    <d v="2011-02-06T00:00:00"/>
    <x v="0"/>
    <n v="0"/>
    <x v="1"/>
    <x v="5"/>
    <x v="0"/>
    <x v="1"/>
    <n v="1"/>
    <x v="12"/>
    <n v="0.2576"/>
    <n v="0.6"/>
    <n v="0.22389999999999999"/>
    <x v="3"/>
    <x v="4"/>
    <x v="4"/>
    <x v="0"/>
    <x v="0"/>
    <x v="1"/>
    <x v="1"/>
    <x v="0"/>
  </r>
  <r>
    <n v="812"/>
    <d v="2011-02-06T00:00:00"/>
    <x v="0"/>
    <n v="0"/>
    <x v="1"/>
    <x v="6"/>
    <x v="0"/>
    <x v="1"/>
    <n v="1"/>
    <x v="12"/>
    <n v="0.2576"/>
    <n v="0.6"/>
    <n v="0.22389999999999999"/>
    <x v="3"/>
    <x v="4"/>
    <x v="4"/>
    <x v="0"/>
    <x v="0"/>
    <x v="1"/>
    <x v="1"/>
    <x v="0"/>
  </r>
  <r>
    <n v="813"/>
    <d v="2011-02-06T00:00:00"/>
    <x v="0"/>
    <n v="0"/>
    <x v="1"/>
    <x v="7"/>
    <x v="0"/>
    <x v="1"/>
    <n v="1"/>
    <x v="0"/>
    <n v="0.2424"/>
    <n v="0.65"/>
    <n v="0.16420000000000001"/>
    <x v="3"/>
    <x v="21"/>
    <x v="7"/>
    <x v="0"/>
    <x v="0"/>
    <x v="1"/>
    <x v="1"/>
    <x v="0"/>
  </r>
  <r>
    <n v="814"/>
    <d v="2011-02-06T00:00:00"/>
    <x v="0"/>
    <n v="0"/>
    <x v="1"/>
    <x v="8"/>
    <x v="0"/>
    <x v="1"/>
    <n v="1"/>
    <x v="0"/>
    <n v="0.2576"/>
    <n v="0.65"/>
    <n v="0.1045"/>
    <x v="4"/>
    <x v="144"/>
    <x v="84"/>
    <x v="0"/>
    <x v="0"/>
    <x v="1"/>
    <x v="1"/>
    <x v="0"/>
  </r>
  <r>
    <n v="815"/>
    <d v="2011-02-06T00:00:00"/>
    <x v="0"/>
    <n v="0"/>
    <x v="1"/>
    <x v="9"/>
    <x v="0"/>
    <x v="1"/>
    <n v="1"/>
    <x v="17"/>
    <n v="0.28789999999999999"/>
    <n v="0.56000000000000005"/>
    <n v="0.1045"/>
    <x v="18"/>
    <x v="101"/>
    <x v="79"/>
    <x v="0"/>
    <x v="0"/>
    <x v="1"/>
    <x v="1"/>
    <x v="0"/>
  </r>
  <r>
    <n v="816"/>
    <d v="2011-02-06T00:00:00"/>
    <x v="0"/>
    <n v="0"/>
    <x v="1"/>
    <x v="10"/>
    <x v="0"/>
    <x v="1"/>
    <n v="1"/>
    <x v="11"/>
    <n v="0.28789999999999999"/>
    <n v="0.52"/>
    <n v="0.25369999999999998"/>
    <x v="13"/>
    <x v="64"/>
    <x v="70"/>
    <x v="0"/>
    <x v="0"/>
    <x v="1"/>
    <x v="1"/>
    <x v="0"/>
  </r>
  <r>
    <n v="817"/>
    <d v="2011-02-06T00:00:00"/>
    <x v="0"/>
    <n v="0"/>
    <x v="1"/>
    <x v="11"/>
    <x v="0"/>
    <x v="1"/>
    <n v="1"/>
    <x v="3"/>
    <n v="0.30299999999999999"/>
    <n v="0.49"/>
    <n v="0.25369999999999998"/>
    <x v="32"/>
    <x v="121"/>
    <x v="126"/>
    <x v="0"/>
    <x v="0"/>
    <x v="1"/>
    <x v="1"/>
    <x v="0"/>
  </r>
  <r>
    <n v="818"/>
    <d v="2011-02-06T00:00:00"/>
    <x v="0"/>
    <n v="0"/>
    <x v="1"/>
    <x v="12"/>
    <x v="0"/>
    <x v="1"/>
    <n v="1"/>
    <x v="10"/>
    <n v="0.33329999999999999"/>
    <n v="0.46"/>
    <n v="0"/>
    <x v="33"/>
    <x v="167"/>
    <x v="177"/>
    <x v="0"/>
    <x v="0"/>
    <x v="1"/>
    <x v="1"/>
    <x v="0"/>
  </r>
  <r>
    <n v="819"/>
    <d v="2011-02-06T00:00:00"/>
    <x v="0"/>
    <n v="0"/>
    <x v="1"/>
    <x v="13"/>
    <x v="0"/>
    <x v="1"/>
    <n v="1"/>
    <x v="10"/>
    <n v="0.36359999999999998"/>
    <n v="0.46"/>
    <n v="0"/>
    <x v="9"/>
    <x v="113"/>
    <x v="58"/>
    <x v="0"/>
    <x v="0"/>
    <x v="1"/>
    <x v="1"/>
    <x v="0"/>
  </r>
  <r>
    <n v="820"/>
    <d v="2011-02-06T00:00:00"/>
    <x v="0"/>
    <n v="0"/>
    <x v="1"/>
    <x v="14"/>
    <x v="0"/>
    <x v="1"/>
    <n v="1"/>
    <x v="10"/>
    <n v="0.34849999999999998"/>
    <n v="0.46"/>
    <n v="8.9599999999999999E-2"/>
    <x v="9"/>
    <x v="156"/>
    <x v="143"/>
    <x v="0"/>
    <x v="0"/>
    <x v="1"/>
    <x v="1"/>
    <x v="0"/>
  </r>
  <r>
    <n v="821"/>
    <d v="2011-02-06T00:00:00"/>
    <x v="0"/>
    <n v="0"/>
    <x v="1"/>
    <x v="15"/>
    <x v="0"/>
    <x v="1"/>
    <n v="1"/>
    <x v="10"/>
    <n v="0.34849999999999998"/>
    <n v="0.46"/>
    <n v="8.9599999999999999E-2"/>
    <x v="34"/>
    <x v="110"/>
    <x v="58"/>
    <x v="0"/>
    <x v="0"/>
    <x v="1"/>
    <x v="1"/>
    <x v="0"/>
  </r>
  <r>
    <n v="822"/>
    <d v="2011-02-06T00:00:00"/>
    <x v="0"/>
    <n v="0"/>
    <x v="1"/>
    <x v="16"/>
    <x v="0"/>
    <x v="1"/>
    <n v="1"/>
    <x v="10"/>
    <n v="0.34849999999999998"/>
    <n v="0.49"/>
    <n v="0.1045"/>
    <x v="35"/>
    <x v="168"/>
    <x v="45"/>
    <x v="0"/>
    <x v="0"/>
    <x v="1"/>
    <x v="1"/>
    <x v="0"/>
  </r>
  <r>
    <n v="823"/>
    <d v="2011-02-06T00:00:00"/>
    <x v="0"/>
    <n v="0"/>
    <x v="1"/>
    <x v="17"/>
    <x v="0"/>
    <x v="1"/>
    <n v="1"/>
    <x v="10"/>
    <n v="0.36359999999999998"/>
    <n v="0.46"/>
    <n v="0"/>
    <x v="31"/>
    <x v="106"/>
    <x v="178"/>
    <x v="0"/>
    <x v="0"/>
    <x v="1"/>
    <x v="1"/>
    <x v="0"/>
  </r>
  <r>
    <n v="824"/>
    <d v="2011-02-06T00:00:00"/>
    <x v="0"/>
    <n v="0"/>
    <x v="1"/>
    <x v="18"/>
    <x v="0"/>
    <x v="1"/>
    <n v="1"/>
    <x v="11"/>
    <n v="0.30299999999999999"/>
    <n v="0.56000000000000005"/>
    <n v="0.16420000000000001"/>
    <x v="23"/>
    <x v="65"/>
    <x v="53"/>
    <x v="0"/>
    <x v="0"/>
    <x v="1"/>
    <x v="1"/>
    <x v="0"/>
  </r>
  <r>
    <n v="825"/>
    <d v="2011-02-06T00:00:00"/>
    <x v="0"/>
    <n v="0"/>
    <x v="1"/>
    <x v="19"/>
    <x v="0"/>
    <x v="1"/>
    <n v="1"/>
    <x v="17"/>
    <n v="0.28789999999999999"/>
    <n v="0.61"/>
    <n v="0.1343"/>
    <x v="5"/>
    <x v="32"/>
    <x v="137"/>
    <x v="0"/>
    <x v="0"/>
    <x v="1"/>
    <x v="1"/>
    <x v="0"/>
  </r>
  <r>
    <n v="826"/>
    <d v="2011-02-06T00:00:00"/>
    <x v="0"/>
    <n v="0"/>
    <x v="1"/>
    <x v="20"/>
    <x v="0"/>
    <x v="1"/>
    <n v="1"/>
    <x v="17"/>
    <n v="0.28789999999999999"/>
    <n v="0.61"/>
    <n v="0.1045"/>
    <x v="2"/>
    <x v="144"/>
    <x v="132"/>
    <x v="0"/>
    <x v="0"/>
    <x v="1"/>
    <x v="1"/>
    <x v="0"/>
  </r>
  <r>
    <n v="827"/>
    <d v="2011-02-06T00:00:00"/>
    <x v="0"/>
    <n v="0"/>
    <x v="1"/>
    <x v="21"/>
    <x v="0"/>
    <x v="1"/>
    <n v="1"/>
    <x v="12"/>
    <n v="0.30299999999999999"/>
    <n v="0.6"/>
    <n v="0"/>
    <x v="2"/>
    <x v="97"/>
    <x v="110"/>
    <x v="0"/>
    <x v="0"/>
    <x v="1"/>
    <x v="1"/>
    <x v="0"/>
  </r>
  <r>
    <n v="828"/>
    <d v="2011-02-06T00:00:00"/>
    <x v="0"/>
    <n v="0"/>
    <x v="1"/>
    <x v="22"/>
    <x v="0"/>
    <x v="1"/>
    <n v="1"/>
    <x v="12"/>
    <n v="0.30299999999999999"/>
    <n v="0.6"/>
    <n v="0"/>
    <x v="2"/>
    <x v="77"/>
    <x v="69"/>
    <x v="0"/>
    <x v="0"/>
    <x v="1"/>
    <x v="1"/>
    <x v="0"/>
  </r>
  <r>
    <n v="829"/>
    <d v="2011-02-06T00:00:00"/>
    <x v="0"/>
    <n v="0"/>
    <x v="1"/>
    <x v="23"/>
    <x v="0"/>
    <x v="1"/>
    <n v="1"/>
    <x v="0"/>
    <n v="0.28789999999999999"/>
    <n v="0.65"/>
    <n v="0"/>
    <x v="17"/>
    <x v="16"/>
    <x v="33"/>
    <x v="0"/>
    <x v="0"/>
    <x v="1"/>
    <x v="1"/>
    <x v="0"/>
  </r>
  <r>
    <n v="830"/>
    <d v="2011-02-07T00:00:00"/>
    <x v="0"/>
    <n v="0"/>
    <x v="1"/>
    <x v="0"/>
    <x v="0"/>
    <x v="2"/>
    <n v="1"/>
    <x v="0"/>
    <n v="0.28789999999999999"/>
    <n v="0.65"/>
    <n v="0"/>
    <x v="5"/>
    <x v="88"/>
    <x v="93"/>
    <x v="0"/>
    <x v="0"/>
    <x v="2"/>
    <x v="1"/>
    <x v="0"/>
  </r>
  <r>
    <n v="831"/>
    <d v="2011-02-07T00:00:00"/>
    <x v="0"/>
    <n v="0"/>
    <x v="1"/>
    <x v="1"/>
    <x v="0"/>
    <x v="2"/>
    <n v="1"/>
    <x v="1"/>
    <n v="0.2727"/>
    <n v="0.75"/>
    <n v="0"/>
    <x v="5"/>
    <x v="22"/>
    <x v="36"/>
    <x v="0"/>
    <x v="0"/>
    <x v="2"/>
    <x v="1"/>
    <x v="0"/>
  </r>
  <r>
    <n v="832"/>
    <d v="2011-02-07T00:00:00"/>
    <x v="0"/>
    <n v="0"/>
    <x v="1"/>
    <x v="2"/>
    <x v="0"/>
    <x v="2"/>
    <n v="1"/>
    <x v="2"/>
    <n v="0.2576"/>
    <n v="0.8"/>
    <n v="0"/>
    <x v="3"/>
    <x v="35"/>
    <x v="6"/>
    <x v="0"/>
    <x v="0"/>
    <x v="2"/>
    <x v="1"/>
    <x v="0"/>
  </r>
  <r>
    <n v="833"/>
    <d v="2011-02-07T00:00:00"/>
    <x v="0"/>
    <n v="0"/>
    <x v="1"/>
    <x v="3"/>
    <x v="0"/>
    <x v="2"/>
    <n v="1"/>
    <x v="2"/>
    <n v="0.2576"/>
    <n v="0.86"/>
    <n v="0"/>
    <x v="3"/>
    <x v="4"/>
    <x v="4"/>
    <x v="0"/>
    <x v="0"/>
    <x v="2"/>
    <x v="1"/>
    <x v="0"/>
  </r>
  <r>
    <n v="834"/>
    <d v="2011-02-07T00:00:00"/>
    <x v="0"/>
    <n v="0"/>
    <x v="1"/>
    <x v="4"/>
    <x v="0"/>
    <x v="2"/>
    <n v="1"/>
    <x v="2"/>
    <n v="0.2576"/>
    <n v="0.86"/>
    <n v="0"/>
    <x v="5"/>
    <x v="4"/>
    <x v="5"/>
    <x v="0"/>
    <x v="0"/>
    <x v="2"/>
    <x v="1"/>
    <x v="0"/>
  </r>
  <r>
    <n v="835"/>
    <d v="2011-02-07T00:00:00"/>
    <x v="0"/>
    <n v="0"/>
    <x v="1"/>
    <x v="5"/>
    <x v="0"/>
    <x v="2"/>
    <n v="1"/>
    <x v="2"/>
    <n v="0.2576"/>
    <n v="0.86"/>
    <n v="0"/>
    <x v="5"/>
    <x v="33"/>
    <x v="98"/>
    <x v="0"/>
    <x v="0"/>
    <x v="2"/>
    <x v="1"/>
    <x v="0"/>
  </r>
  <r>
    <n v="836"/>
    <d v="2011-02-07T00:00:00"/>
    <x v="0"/>
    <n v="0"/>
    <x v="1"/>
    <x v="6"/>
    <x v="0"/>
    <x v="2"/>
    <n v="1"/>
    <x v="15"/>
    <n v="0.2424"/>
    <n v="0.93"/>
    <n v="0"/>
    <x v="5"/>
    <x v="31"/>
    <x v="33"/>
    <x v="0"/>
    <x v="0"/>
    <x v="2"/>
    <x v="1"/>
    <x v="0"/>
  </r>
  <r>
    <n v="837"/>
    <d v="2011-02-07T00:00:00"/>
    <x v="0"/>
    <n v="0"/>
    <x v="1"/>
    <x v="7"/>
    <x v="0"/>
    <x v="2"/>
    <n v="1"/>
    <x v="15"/>
    <n v="0.2424"/>
    <n v="0.86"/>
    <n v="0"/>
    <x v="15"/>
    <x v="121"/>
    <x v="76"/>
    <x v="0"/>
    <x v="0"/>
    <x v="2"/>
    <x v="1"/>
    <x v="0"/>
  </r>
  <r>
    <n v="838"/>
    <d v="2011-02-07T00:00:00"/>
    <x v="0"/>
    <n v="0"/>
    <x v="1"/>
    <x v="8"/>
    <x v="0"/>
    <x v="2"/>
    <n v="2"/>
    <x v="13"/>
    <n v="0.2273"/>
    <n v="1"/>
    <n v="0"/>
    <x v="18"/>
    <x v="169"/>
    <x v="179"/>
    <x v="1"/>
    <x v="0"/>
    <x v="2"/>
    <x v="1"/>
    <x v="1"/>
  </r>
  <r>
    <n v="839"/>
    <d v="2011-02-07T00:00:00"/>
    <x v="0"/>
    <n v="0"/>
    <x v="1"/>
    <x v="9"/>
    <x v="0"/>
    <x v="2"/>
    <n v="1"/>
    <x v="1"/>
    <n v="0.2727"/>
    <n v="0.8"/>
    <n v="0"/>
    <x v="0"/>
    <x v="168"/>
    <x v="130"/>
    <x v="0"/>
    <x v="0"/>
    <x v="2"/>
    <x v="1"/>
    <x v="0"/>
  </r>
  <r>
    <n v="840"/>
    <d v="2011-02-07T00:00:00"/>
    <x v="0"/>
    <n v="0"/>
    <x v="1"/>
    <x v="10"/>
    <x v="0"/>
    <x v="2"/>
    <n v="1"/>
    <x v="0"/>
    <n v="0.2576"/>
    <n v="0.75"/>
    <n v="0.1045"/>
    <x v="15"/>
    <x v="47"/>
    <x v="97"/>
    <x v="0"/>
    <x v="0"/>
    <x v="2"/>
    <x v="1"/>
    <x v="0"/>
  </r>
  <r>
    <n v="841"/>
    <d v="2011-02-07T00:00:00"/>
    <x v="0"/>
    <n v="0"/>
    <x v="1"/>
    <x v="11"/>
    <x v="0"/>
    <x v="2"/>
    <n v="1"/>
    <x v="11"/>
    <n v="0.31819999999999998"/>
    <n v="0.65"/>
    <n v="8.9599999999999999E-2"/>
    <x v="16"/>
    <x v="49"/>
    <x v="105"/>
    <x v="0"/>
    <x v="0"/>
    <x v="2"/>
    <x v="1"/>
    <x v="0"/>
  </r>
  <r>
    <n v="842"/>
    <d v="2011-02-07T00:00:00"/>
    <x v="0"/>
    <n v="0"/>
    <x v="1"/>
    <x v="12"/>
    <x v="0"/>
    <x v="2"/>
    <n v="2"/>
    <x v="3"/>
    <n v="0.34849999999999998"/>
    <n v="0.62"/>
    <n v="0"/>
    <x v="18"/>
    <x v="79"/>
    <x v="180"/>
    <x v="1"/>
    <x v="0"/>
    <x v="2"/>
    <x v="1"/>
    <x v="1"/>
  </r>
  <r>
    <n v="843"/>
    <d v="2011-02-07T00:00:00"/>
    <x v="0"/>
    <n v="0"/>
    <x v="1"/>
    <x v="13"/>
    <x v="0"/>
    <x v="2"/>
    <n v="2"/>
    <x v="5"/>
    <n v="0.36359999999999998"/>
    <n v="0.56999999999999995"/>
    <n v="8.9599999999999999E-2"/>
    <x v="22"/>
    <x v="25"/>
    <x v="37"/>
    <x v="1"/>
    <x v="0"/>
    <x v="2"/>
    <x v="1"/>
    <x v="1"/>
  </r>
  <r>
    <n v="844"/>
    <d v="2011-02-07T00:00:00"/>
    <x v="0"/>
    <n v="0"/>
    <x v="1"/>
    <x v="14"/>
    <x v="0"/>
    <x v="2"/>
    <n v="2"/>
    <x v="5"/>
    <n v="0.36359999999999998"/>
    <n v="0.56999999999999995"/>
    <n v="8.9599999999999999E-2"/>
    <x v="1"/>
    <x v="15"/>
    <x v="122"/>
    <x v="1"/>
    <x v="0"/>
    <x v="2"/>
    <x v="1"/>
    <x v="1"/>
  </r>
  <r>
    <n v="845"/>
    <d v="2011-02-07T00:00:00"/>
    <x v="0"/>
    <n v="0"/>
    <x v="1"/>
    <x v="15"/>
    <x v="0"/>
    <x v="2"/>
    <n v="2"/>
    <x v="4"/>
    <n v="0.39389999999999997"/>
    <n v="0.54"/>
    <n v="8.9599999999999999E-2"/>
    <x v="17"/>
    <x v="24"/>
    <x v="89"/>
    <x v="1"/>
    <x v="0"/>
    <x v="2"/>
    <x v="1"/>
    <x v="1"/>
  </r>
  <r>
    <n v="846"/>
    <d v="2011-02-07T00:00:00"/>
    <x v="0"/>
    <n v="0"/>
    <x v="1"/>
    <x v="16"/>
    <x v="0"/>
    <x v="2"/>
    <n v="2"/>
    <x v="5"/>
    <n v="0.34849999999999998"/>
    <n v="0.56999999999999995"/>
    <n v="0.1343"/>
    <x v="19"/>
    <x v="52"/>
    <x v="181"/>
    <x v="1"/>
    <x v="0"/>
    <x v="2"/>
    <x v="1"/>
    <x v="1"/>
  </r>
  <r>
    <n v="847"/>
    <d v="2011-02-07T00:00:00"/>
    <x v="0"/>
    <n v="0"/>
    <x v="1"/>
    <x v="17"/>
    <x v="0"/>
    <x v="2"/>
    <n v="2"/>
    <x v="3"/>
    <n v="0.31819999999999998"/>
    <n v="0.7"/>
    <n v="0.16420000000000001"/>
    <x v="14"/>
    <x v="134"/>
    <x v="182"/>
    <x v="1"/>
    <x v="0"/>
    <x v="2"/>
    <x v="1"/>
    <x v="1"/>
  </r>
  <r>
    <n v="848"/>
    <d v="2011-02-07T00:00:00"/>
    <x v="0"/>
    <n v="0"/>
    <x v="1"/>
    <x v="18"/>
    <x v="0"/>
    <x v="2"/>
    <n v="2"/>
    <x v="10"/>
    <n v="0.33329999999999999"/>
    <n v="0.66"/>
    <n v="0.1343"/>
    <x v="2"/>
    <x v="162"/>
    <x v="172"/>
    <x v="1"/>
    <x v="0"/>
    <x v="2"/>
    <x v="1"/>
    <x v="1"/>
  </r>
  <r>
    <n v="849"/>
    <d v="2011-02-07T00:00:00"/>
    <x v="0"/>
    <n v="0"/>
    <x v="1"/>
    <x v="19"/>
    <x v="0"/>
    <x v="2"/>
    <n v="2"/>
    <x v="3"/>
    <n v="0.34849999999999998"/>
    <n v="0.7"/>
    <n v="0"/>
    <x v="2"/>
    <x v="170"/>
    <x v="116"/>
    <x v="1"/>
    <x v="0"/>
    <x v="2"/>
    <x v="1"/>
    <x v="1"/>
  </r>
  <r>
    <n v="850"/>
    <d v="2011-02-07T00:00:00"/>
    <x v="0"/>
    <n v="0"/>
    <x v="1"/>
    <x v="20"/>
    <x v="0"/>
    <x v="2"/>
    <n v="2"/>
    <x v="3"/>
    <n v="0.33329999999999999"/>
    <n v="0.7"/>
    <n v="0.1045"/>
    <x v="15"/>
    <x v="70"/>
    <x v="39"/>
    <x v="1"/>
    <x v="0"/>
    <x v="2"/>
    <x v="1"/>
    <x v="1"/>
  </r>
  <r>
    <n v="851"/>
    <d v="2011-02-07T00:00:00"/>
    <x v="0"/>
    <n v="0"/>
    <x v="1"/>
    <x v="21"/>
    <x v="0"/>
    <x v="2"/>
    <n v="1"/>
    <x v="3"/>
    <n v="0.34849999999999998"/>
    <n v="0.7"/>
    <n v="0"/>
    <x v="0"/>
    <x v="102"/>
    <x v="53"/>
    <x v="0"/>
    <x v="0"/>
    <x v="2"/>
    <x v="1"/>
    <x v="0"/>
  </r>
  <r>
    <n v="852"/>
    <d v="2011-02-07T00:00:00"/>
    <x v="0"/>
    <n v="0"/>
    <x v="1"/>
    <x v="22"/>
    <x v="0"/>
    <x v="2"/>
    <n v="1"/>
    <x v="17"/>
    <n v="0.30299999999999999"/>
    <n v="0.81"/>
    <n v="8.9599999999999999E-2"/>
    <x v="0"/>
    <x v="60"/>
    <x v="18"/>
    <x v="0"/>
    <x v="0"/>
    <x v="2"/>
    <x v="1"/>
    <x v="0"/>
  </r>
  <r>
    <n v="853"/>
    <d v="2011-02-07T00:00:00"/>
    <x v="0"/>
    <n v="0"/>
    <x v="1"/>
    <x v="23"/>
    <x v="0"/>
    <x v="2"/>
    <n v="2"/>
    <x v="11"/>
    <n v="0.33329999999999999"/>
    <n v="0.81"/>
    <n v="0"/>
    <x v="15"/>
    <x v="23"/>
    <x v="94"/>
    <x v="1"/>
    <x v="0"/>
    <x v="2"/>
    <x v="1"/>
    <x v="1"/>
  </r>
  <r>
    <n v="854"/>
    <d v="2011-02-08T00:00:00"/>
    <x v="0"/>
    <n v="0"/>
    <x v="1"/>
    <x v="0"/>
    <x v="0"/>
    <x v="3"/>
    <n v="2"/>
    <x v="17"/>
    <n v="0.31819999999999998"/>
    <n v="0.87"/>
    <n v="0"/>
    <x v="17"/>
    <x v="8"/>
    <x v="98"/>
    <x v="1"/>
    <x v="0"/>
    <x v="3"/>
    <x v="1"/>
    <x v="1"/>
  </r>
  <r>
    <n v="855"/>
    <d v="2011-02-08T00:00:00"/>
    <x v="0"/>
    <n v="0"/>
    <x v="1"/>
    <x v="1"/>
    <x v="0"/>
    <x v="3"/>
    <n v="2"/>
    <x v="17"/>
    <n v="0.31819999999999998"/>
    <n v="0.87"/>
    <n v="0"/>
    <x v="3"/>
    <x v="22"/>
    <x v="48"/>
    <x v="1"/>
    <x v="0"/>
    <x v="3"/>
    <x v="1"/>
    <x v="1"/>
  </r>
  <r>
    <n v="856"/>
    <d v="2011-02-08T00:00:00"/>
    <x v="0"/>
    <n v="0"/>
    <x v="1"/>
    <x v="2"/>
    <x v="0"/>
    <x v="3"/>
    <n v="2"/>
    <x v="12"/>
    <n v="0.2727"/>
    <n v="0.93"/>
    <n v="0.1045"/>
    <x v="5"/>
    <x v="4"/>
    <x v="5"/>
    <x v="1"/>
    <x v="0"/>
    <x v="3"/>
    <x v="1"/>
    <x v="1"/>
  </r>
  <r>
    <n v="857"/>
    <d v="2011-02-08T00:00:00"/>
    <x v="0"/>
    <n v="0"/>
    <x v="1"/>
    <x v="3"/>
    <x v="0"/>
    <x v="3"/>
    <n v="3"/>
    <x v="17"/>
    <n v="0.2727"/>
    <n v="0.93"/>
    <n v="0.16420000000000001"/>
    <x v="3"/>
    <x v="4"/>
    <x v="4"/>
    <x v="2"/>
    <x v="0"/>
    <x v="3"/>
    <x v="1"/>
    <x v="2"/>
  </r>
  <r>
    <n v="858"/>
    <d v="2011-02-08T00:00:00"/>
    <x v="0"/>
    <n v="0"/>
    <x v="1"/>
    <x v="4"/>
    <x v="0"/>
    <x v="3"/>
    <n v="1"/>
    <x v="12"/>
    <n v="0.2576"/>
    <n v="0.93"/>
    <n v="0.16420000000000001"/>
    <x v="3"/>
    <x v="35"/>
    <x v="6"/>
    <x v="0"/>
    <x v="0"/>
    <x v="3"/>
    <x v="1"/>
    <x v="0"/>
  </r>
  <r>
    <n v="859"/>
    <d v="2011-02-08T00:00:00"/>
    <x v="0"/>
    <n v="0"/>
    <x v="1"/>
    <x v="5"/>
    <x v="0"/>
    <x v="3"/>
    <n v="1"/>
    <x v="12"/>
    <n v="0.2273"/>
    <n v="0.81"/>
    <n v="0.32840000000000003"/>
    <x v="3"/>
    <x v="6"/>
    <x v="5"/>
    <x v="0"/>
    <x v="0"/>
    <x v="3"/>
    <x v="1"/>
    <x v="0"/>
  </r>
  <r>
    <n v="860"/>
    <d v="2011-02-08T00:00:00"/>
    <x v="0"/>
    <n v="0"/>
    <x v="1"/>
    <x v="6"/>
    <x v="0"/>
    <x v="3"/>
    <n v="1"/>
    <x v="12"/>
    <n v="0.2273"/>
    <n v="0.7"/>
    <n v="0.32840000000000003"/>
    <x v="3"/>
    <x v="87"/>
    <x v="21"/>
    <x v="0"/>
    <x v="0"/>
    <x v="3"/>
    <x v="1"/>
    <x v="0"/>
  </r>
  <r>
    <n v="861"/>
    <d v="2011-02-08T00:00:00"/>
    <x v="0"/>
    <n v="0"/>
    <x v="1"/>
    <x v="7"/>
    <x v="0"/>
    <x v="3"/>
    <n v="1"/>
    <x v="0"/>
    <n v="0.19700000000000001"/>
    <n v="0.65"/>
    <n v="0.41789999999999999"/>
    <x v="0"/>
    <x v="106"/>
    <x v="50"/>
    <x v="0"/>
    <x v="0"/>
    <x v="3"/>
    <x v="1"/>
    <x v="0"/>
  </r>
  <r>
    <n v="862"/>
    <d v="2011-02-08T00:00:00"/>
    <x v="0"/>
    <n v="0"/>
    <x v="1"/>
    <x v="8"/>
    <x v="0"/>
    <x v="3"/>
    <n v="1"/>
    <x v="0"/>
    <n v="0.19700000000000001"/>
    <n v="0.56000000000000005"/>
    <n v="0.49249999999999999"/>
    <x v="18"/>
    <x v="171"/>
    <x v="183"/>
    <x v="0"/>
    <x v="0"/>
    <x v="3"/>
    <x v="1"/>
    <x v="0"/>
  </r>
  <r>
    <n v="863"/>
    <d v="2011-02-08T00:00:00"/>
    <x v="0"/>
    <n v="0"/>
    <x v="1"/>
    <x v="9"/>
    <x v="0"/>
    <x v="3"/>
    <n v="1"/>
    <x v="0"/>
    <n v="0.19700000000000001"/>
    <n v="0.52"/>
    <n v="0.49249999999999999"/>
    <x v="18"/>
    <x v="172"/>
    <x v="169"/>
    <x v="0"/>
    <x v="0"/>
    <x v="3"/>
    <x v="1"/>
    <x v="0"/>
  </r>
  <r>
    <n v="864"/>
    <d v="2011-02-08T00:00:00"/>
    <x v="0"/>
    <n v="0"/>
    <x v="1"/>
    <x v="10"/>
    <x v="0"/>
    <x v="3"/>
    <n v="1"/>
    <x v="1"/>
    <n v="0.18179999999999999"/>
    <n v="0.47"/>
    <n v="0.55220000000000002"/>
    <x v="17"/>
    <x v="100"/>
    <x v="61"/>
    <x v="0"/>
    <x v="0"/>
    <x v="3"/>
    <x v="1"/>
    <x v="0"/>
  </r>
  <r>
    <n v="865"/>
    <d v="2011-02-08T00:00:00"/>
    <x v="0"/>
    <n v="0"/>
    <x v="1"/>
    <x v="11"/>
    <x v="0"/>
    <x v="3"/>
    <n v="1"/>
    <x v="1"/>
    <n v="0.18179999999999999"/>
    <n v="0.47"/>
    <n v="0.4627"/>
    <x v="5"/>
    <x v="47"/>
    <x v="89"/>
    <x v="0"/>
    <x v="0"/>
    <x v="3"/>
    <x v="1"/>
    <x v="0"/>
  </r>
  <r>
    <n v="866"/>
    <d v="2011-02-08T00:00:00"/>
    <x v="0"/>
    <n v="0"/>
    <x v="1"/>
    <x v="12"/>
    <x v="0"/>
    <x v="3"/>
    <n v="1"/>
    <x v="0"/>
    <n v="0.19700000000000001"/>
    <n v="0.38"/>
    <n v="0.49249999999999999"/>
    <x v="4"/>
    <x v="36"/>
    <x v="32"/>
    <x v="0"/>
    <x v="0"/>
    <x v="3"/>
    <x v="1"/>
    <x v="0"/>
  </r>
  <r>
    <n v="867"/>
    <d v="2011-02-08T00:00:00"/>
    <x v="0"/>
    <n v="0"/>
    <x v="1"/>
    <x v="13"/>
    <x v="0"/>
    <x v="3"/>
    <n v="2"/>
    <x v="0"/>
    <n v="0.19700000000000001"/>
    <n v="0.32"/>
    <n v="0.44779999999999998"/>
    <x v="4"/>
    <x v="41"/>
    <x v="89"/>
    <x v="1"/>
    <x v="0"/>
    <x v="3"/>
    <x v="1"/>
    <x v="1"/>
  </r>
  <r>
    <n v="868"/>
    <d v="2011-02-08T00:00:00"/>
    <x v="0"/>
    <n v="0"/>
    <x v="1"/>
    <x v="14"/>
    <x v="0"/>
    <x v="3"/>
    <n v="1"/>
    <x v="1"/>
    <n v="0.19700000000000001"/>
    <n v="0.37"/>
    <n v="0.41789999999999999"/>
    <x v="0"/>
    <x v="124"/>
    <x v="37"/>
    <x v="0"/>
    <x v="0"/>
    <x v="3"/>
    <x v="1"/>
    <x v="0"/>
  </r>
  <r>
    <n v="869"/>
    <d v="2011-02-08T00:00:00"/>
    <x v="0"/>
    <n v="0"/>
    <x v="1"/>
    <x v="15"/>
    <x v="0"/>
    <x v="3"/>
    <n v="1"/>
    <x v="1"/>
    <n v="0.19700000000000001"/>
    <n v="0.35"/>
    <n v="0.3881"/>
    <x v="15"/>
    <x v="108"/>
    <x v="41"/>
    <x v="0"/>
    <x v="0"/>
    <x v="3"/>
    <x v="1"/>
    <x v="0"/>
  </r>
  <r>
    <n v="870"/>
    <d v="2011-02-08T00:00:00"/>
    <x v="0"/>
    <n v="0"/>
    <x v="1"/>
    <x v="16"/>
    <x v="0"/>
    <x v="3"/>
    <n v="1"/>
    <x v="1"/>
    <n v="0.18179999999999999"/>
    <n v="0.35"/>
    <n v="0.52239999999999998"/>
    <x v="17"/>
    <x v="55"/>
    <x v="56"/>
    <x v="0"/>
    <x v="0"/>
    <x v="3"/>
    <x v="1"/>
    <x v="0"/>
  </r>
  <r>
    <n v="871"/>
    <d v="2011-02-08T00:00:00"/>
    <x v="0"/>
    <n v="0"/>
    <x v="1"/>
    <x v="17"/>
    <x v="0"/>
    <x v="3"/>
    <n v="1"/>
    <x v="1"/>
    <n v="0.18179999999999999"/>
    <n v="0.32"/>
    <n v="0.58209999999999995"/>
    <x v="17"/>
    <x v="157"/>
    <x v="170"/>
    <x v="0"/>
    <x v="0"/>
    <x v="3"/>
    <x v="1"/>
    <x v="0"/>
  </r>
  <r>
    <n v="872"/>
    <d v="2011-02-08T00:00:00"/>
    <x v="0"/>
    <n v="0"/>
    <x v="1"/>
    <x v="18"/>
    <x v="0"/>
    <x v="3"/>
    <n v="1"/>
    <x v="2"/>
    <n v="0.18179999999999999"/>
    <n v="0.32"/>
    <n v="0.3881"/>
    <x v="5"/>
    <x v="137"/>
    <x v="148"/>
    <x v="0"/>
    <x v="0"/>
    <x v="3"/>
    <x v="1"/>
    <x v="0"/>
  </r>
  <r>
    <n v="873"/>
    <d v="2011-02-08T00:00:00"/>
    <x v="0"/>
    <n v="0"/>
    <x v="1"/>
    <x v="19"/>
    <x v="0"/>
    <x v="3"/>
    <n v="1"/>
    <x v="13"/>
    <n v="0.1212"/>
    <n v="0.4"/>
    <n v="0.4627"/>
    <x v="5"/>
    <x v="129"/>
    <x v="129"/>
    <x v="0"/>
    <x v="0"/>
    <x v="3"/>
    <x v="1"/>
    <x v="0"/>
  </r>
  <r>
    <n v="874"/>
    <d v="2011-02-08T00:00:00"/>
    <x v="0"/>
    <n v="0"/>
    <x v="1"/>
    <x v="20"/>
    <x v="0"/>
    <x v="3"/>
    <n v="1"/>
    <x v="13"/>
    <n v="0.13639999999999999"/>
    <n v="0.4"/>
    <n v="0.32840000000000003"/>
    <x v="0"/>
    <x v="42"/>
    <x v="10"/>
    <x v="0"/>
    <x v="0"/>
    <x v="3"/>
    <x v="1"/>
    <x v="0"/>
  </r>
  <r>
    <n v="875"/>
    <d v="2011-02-08T00:00:00"/>
    <x v="0"/>
    <n v="0"/>
    <x v="1"/>
    <x v="21"/>
    <x v="0"/>
    <x v="3"/>
    <n v="1"/>
    <x v="14"/>
    <n v="0.1061"/>
    <n v="0.33"/>
    <n v="0.4627"/>
    <x v="1"/>
    <x v="24"/>
    <x v="60"/>
    <x v="0"/>
    <x v="0"/>
    <x v="3"/>
    <x v="1"/>
    <x v="0"/>
  </r>
  <r>
    <n v="876"/>
    <d v="2011-02-08T00:00:00"/>
    <x v="0"/>
    <n v="0"/>
    <x v="1"/>
    <x v="22"/>
    <x v="0"/>
    <x v="3"/>
    <n v="1"/>
    <x v="16"/>
    <n v="0.1061"/>
    <n v="0.33"/>
    <n v="0.35820000000000002"/>
    <x v="3"/>
    <x v="31"/>
    <x v="115"/>
    <x v="0"/>
    <x v="0"/>
    <x v="3"/>
    <x v="1"/>
    <x v="0"/>
  </r>
  <r>
    <n v="877"/>
    <d v="2011-02-08T00:00:00"/>
    <x v="0"/>
    <n v="0"/>
    <x v="1"/>
    <x v="23"/>
    <x v="0"/>
    <x v="3"/>
    <n v="1"/>
    <x v="16"/>
    <n v="0.1061"/>
    <n v="0.33"/>
    <n v="0.32840000000000003"/>
    <x v="0"/>
    <x v="33"/>
    <x v="47"/>
    <x v="0"/>
    <x v="0"/>
    <x v="3"/>
    <x v="1"/>
    <x v="0"/>
  </r>
  <r>
    <n v="878"/>
    <d v="2011-02-09T00:00:00"/>
    <x v="0"/>
    <n v="0"/>
    <x v="1"/>
    <x v="0"/>
    <x v="0"/>
    <x v="4"/>
    <n v="1"/>
    <x v="18"/>
    <n v="7.5800000000000006E-2"/>
    <n v="0.36"/>
    <n v="0.35820000000000002"/>
    <x v="3"/>
    <x v="19"/>
    <x v="22"/>
    <x v="0"/>
    <x v="0"/>
    <x v="4"/>
    <x v="1"/>
    <x v="0"/>
  </r>
  <r>
    <n v="879"/>
    <d v="2011-02-09T00:00:00"/>
    <x v="0"/>
    <n v="0"/>
    <x v="1"/>
    <x v="1"/>
    <x v="0"/>
    <x v="4"/>
    <n v="1"/>
    <x v="18"/>
    <n v="0.1061"/>
    <n v="0.36"/>
    <n v="0.22389999999999999"/>
    <x v="3"/>
    <x v="7"/>
    <x v="85"/>
    <x v="0"/>
    <x v="0"/>
    <x v="4"/>
    <x v="1"/>
    <x v="0"/>
  </r>
  <r>
    <n v="880"/>
    <d v="2011-02-09T00:00:00"/>
    <x v="0"/>
    <n v="0"/>
    <x v="1"/>
    <x v="2"/>
    <x v="0"/>
    <x v="4"/>
    <n v="1"/>
    <x v="19"/>
    <n v="7.5800000000000006E-2"/>
    <n v="0.38"/>
    <n v="0.28360000000000002"/>
    <x v="5"/>
    <x v="6"/>
    <x v="6"/>
    <x v="0"/>
    <x v="0"/>
    <x v="4"/>
    <x v="1"/>
    <x v="0"/>
  </r>
  <r>
    <n v="881"/>
    <d v="2011-02-09T00:00:00"/>
    <x v="0"/>
    <n v="0"/>
    <x v="1"/>
    <x v="3"/>
    <x v="0"/>
    <x v="4"/>
    <n v="1"/>
    <x v="20"/>
    <n v="7.5800000000000006E-2"/>
    <n v="0.45"/>
    <n v="0.1343"/>
    <x v="3"/>
    <x v="6"/>
    <x v="5"/>
    <x v="0"/>
    <x v="0"/>
    <x v="4"/>
    <x v="1"/>
    <x v="0"/>
  </r>
  <r>
    <n v="882"/>
    <d v="2011-02-09T00:00:00"/>
    <x v="0"/>
    <n v="0"/>
    <x v="1"/>
    <x v="5"/>
    <x v="0"/>
    <x v="4"/>
    <n v="1"/>
    <x v="20"/>
    <n v="0.1061"/>
    <n v="0.45"/>
    <n v="0.1045"/>
    <x v="3"/>
    <x v="7"/>
    <x v="85"/>
    <x v="0"/>
    <x v="0"/>
    <x v="4"/>
    <x v="1"/>
    <x v="0"/>
  </r>
  <r>
    <n v="883"/>
    <d v="2011-02-09T00:00:00"/>
    <x v="0"/>
    <n v="0"/>
    <x v="1"/>
    <x v="6"/>
    <x v="0"/>
    <x v="4"/>
    <n v="1"/>
    <x v="20"/>
    <n v="0.1515"/>
    <n v="0.45"/>
    <n v="0"/>
    <x v="3"/>
    <x v="30"/>
    <x v="74"/>
    <x v="0"/>
    <x v="0"/>
    <x v="4"/>
    <x v="1"/>
    <x v="0"/>
  </r>
  <r>
    <n v="884"/>
    <d v="2011-02-09T00:00:00"/>
    <x v="0"/>
    <n v="0"/>
    <x v="1"/>
    <x v="7"/>
    <x v="0"/>
    <x v="4"/>
    <n v="1"/>
    <x v="20"/>
    <n v="0.1061"/>
    <n v="0.49"/>
    <n v="0.1045"/>
    <x v="17"/>
    <x v="73"/>
    <x v="111"/>
    <x v="0"/>
    <x v="0"/>
    <x v="4"/>
    <x v="1"/>
    <x v="0"/>
  </r>
  <r>
    <n v="885"/>
    <d v="2011-02-09T00:00:00"/>
    <x v="0"/>
    <n v="0"/>
    <x v="1"/>
    <x v="8"/>
    <x v="0"/>
    <x v="4"/>
    <n v="1"/>
    <x v="18"/>
    <n v="0.13639999999999999"/>
    <n v="0.42"/>
    <n v="0"/>
    <x v="5"/>
    <x v="173"/>
    <x v="184"/>
    <x v="0"/>
    <x v="0"/>
    <x v="4"/>
    <x v="1"/>
    <x v="0"/>
  </r>
  <r>
    <n v="886"/>
    <d v="2011-02-09T00:00:00"/>
    <x v="0"/>
    <n v="0"/>
    <x v="1"/>
    <x v="9"/>
    <x v="0"/>
    <x v="4"/>
    <n v="1"/>
    <x v="16"/>
    <n v="0.13639999999999999"/>
    <n v="0.39"/>
    <n v="0.16420000000000001"/>
    <x v="17"/>
    <x v="138"/>
    <x v="92"/>
    <x v="0"/>
    <x v="0"/>
    <x v="4"/>
    <x v="1"/>
    <x v="0"/>
  </r>
  <r>
    <n v="887"/>
    <d v="2011-02-09T00:00:00"/>
    <x v="0"/>
    <n v="0"/>
    <x v="1"/>
    <x v="10"/>
    <x v="0"/>
    <x v="4"/>
    <n v="1"/>
    <x v="14"/>
    <n v="0.18179999999999999"/>
    <n v="0.36"/>
    <n v="0"/>
    <x v="1"/>
    <x v="82"/>
    <x v="29"/>
    <x v="0"/>
    <x v="0"/>
    <x v="4"/>
    <x v="1"/>
    <x v="0"/>
  </r>
  <r>
    <n v="888"/>
    <d v="2011-02-09T00:00:00"/>
    <x v="0"/>
    <n v="0"/>
    <x v="1"/>
    <x v="11"/>
    <x v="0"/>
    <x v="4"/>
    <n v="2"/>
    <x v="14"/>
    <n v="0.1515"/>
    <n v="0.43"/>
    <n v="0.16420000000000001"/>
    <x v="5"/>
    <x v="71"/>
    <x v="102"/>
    <x v="1"/>
    <x v="0"/>
    <x v="4"/>
    <x v="1"/>
    <x v="1"/>
  </r>
  <r>
    <n v="889"/>
    <d v="2011-02-09T00:00:00"/>
    <x v="0"/>
    <n v="0"/>
    <x v="1"/>
    <x v="12"/>
    <x v="0"/>
    <x v="4"/>
    <n v="2"/>
    <x v="15"/>
    <n v="0.18179999999999999"/>
    <n v="0.4"/>
    <n v="0.22389999999999999"/>
    <x v="17"/>
    <x v="77"/>
    <x v="42"/>
    <x v="1"/>
    <x v="0"/>
    <x v="4"/>
    <x v="1"/>
    <x v="1"/>
  </r>
  <r>
    <n v="890"/>
    <d v="2011-02-09T00:00:00"/>
    <x v="0"/>
    <n v="0"/>
    <x v="1"/>
    <x v="13"/>
    <x v="0"/>
    <x v="4"/>
    <n v="1"/>
    <x v="15"/>
    <n v="0.16669999999999999"/>
    <n v="0.4"/>
    <n v="0.25369999999999998"/>
    <x v="4"/>
    <x v="28"/>
    <x v="83"/>
    <x v="0"/>
    <x v="0"/>
    <x v="4"/>
    <x v="1"/>
    <x v="0"/>
  </r>
  <r>
    <n v="891"/>
    <d v="2011-02-09T00:00:00"/>
    <x v="0"/>
    <n v="0"/>
    <x v="1"/>
    <x v="14"/>
    <x v="0"/>
    <x v="4"/>
    <n v="1"/>
    <x v="2"/>
    <n v="0.18179999999999999"/>
    <n v="0.34"/>
    <n v="0.29849999999999999"/>
    <x v="4"/>
    <x v="90"/>
    <x v="154"/>
    <x v="0"/>
    <x v="0"/>
    <x v="4"/>
    <x v="1"/>
    <x v="0"/>
  </r>
  <r>
    <n v="892"/>
    <d v="2011-02-09T00:00:00"/>
    <x v="0"/>
    <n v="0"/>
    <x v="1"/>
    <x v="15"/>
    <x v="0"/>
    <x v="4"/>
    <n v="2"/>
    <x v="2"/>
    <n v="0.18179999999999999"/>
    <n v="0.34"/>
    <n v="0.28360000000000002"/>
    <x v="0"/>
    <x v="124"/>
    <x v="37"/>
    <x v="1"/>
    <x v="0"/>
    <x v="4"/>
    <x v="1"/>
    <x v="1"/>
  </r>
  <r>
    <n v="893"/>
    <d v="2011-02-09T00:00:00"/>
    <x v="0"/>
    <n v="0"/>
    <x v="1"/>
    <x v="16"/>
    <x v="0"/>
    <x v="4"/>
    <n v="2"/>
    <x v="2"/>
    <n v="0.19700000000000001"/>
    <n v="0.37"/>
    <n v="0.25369999999999998"/>
    <x v="18"/>
    <x v="109"/>
    <x v="67"/>
    <x v="1"/>
    <x v="0"/>
    <x v="4"/>
    <x v="1"/>
    <x v="1"/>
  </r>
  <r>
    <n v="894"/>
    <d v="2011-02-09T00:00:00"/>
    <x v="0"/>
    <n v="0"/>
    <x v="1"/>
    <x v="17"/>
    <x v="0"/>
    <x v="4"/>
    <n v="2"/>
    <x v="2"/>
    <n v="0.19700000000000001"/>
    <n v="0.34"/>
    <n v="0.25369999999999998"/>
    <x v="14"/>
    <x v="174"/>
    <x v="150"/>
    <x v="1"/>
    <x v="0"/>
    <x v="4"/>
    <x v="1"/>
    <x v="1"/>
  </r>
  <r>
    <n v="895"/>
    <d v="2011-02-09T00:00:00"/>
    <x v="0"/>
    <n v="0"/>
    <x v="1"/>
    <x v="18"/>
    <x v="0"/>
    <x v="4"/>
    <n v="2"/>
    <x v="15"/>
    <n v="0.16669999999999999"/>
    <n v="0.47"/>
    <n v="0.29849999999999999"/>
    <x v="4"/>
    <x v="175"/>
    <x v="185"/>
    <x v="1"/>
    <x v="0"/>
    <x v="4"/>
    <x v="1"/>
    <x v="1"/>
  </r>
  <r>
    <n v="896"/>
    <d v="2011-02-09T00:00:00"/>
    <x v="0"/>
    <n v="0"/>
    <x v="1"/>
    <x v="19"/>
    <x v="0"/>
    <x v="4"/>
    <n v="3"/>
    <x v="14"/>
    <n v="0.1212"/>
    <n v="0.86"/>
    <n v="0.25369999999999998"/>
    <x v="5"/>
    <x v="61"/>
    <x v="39"/>
    <x v="2"/>
    <x v="0"/>
    <x v="4"/>
    <x v="1"/>
    <x v="2"/>
  </r>
  <r>
    <n v="897"/>
    <d v="2011-02-09T00:00:00"/>
    <x v="0"/>
    <n v="0"/>
    <x v="1"/>
    <x v="20"/>
    <x v="0"/>
    <x v="4"/>
    <n v="3"/>
    <x v="14"/>
    <n v="0.1515"/>
    <n v="0.86"/>
    <n v="0.16420000000000001"/>
    <x v="3"/>
    <x v="151"/>
    <x v="11"/>
    <x v="2"/>
    <x v="0"/>
    <x v="4"/>
    <x v="1"/>
    <x v="2"/>
  </r>
  <r>
    <n v="898"/>
    <d v="2011-02-09T00:00:00"/>
    <x v="0"/>
    <n v="0"/>
    <x v="1"/>
    <x v="21"/>
    <x v="0"/>
    <x v="4"/>
    <n v="2"/>
    <x v="14"/>
    <n v="0.1515"/>
    <n v="0.86"/>
    <n v="0.16420000000000001"/>
    <x v="3"/>
    <x v="93"/>
    <x v="56"/>
    <x v="1"/>
    <x v="0"/>
    <x v="4"/>
    <x v="1"/>
    <x v="1"/>
  </r>
  <r>
    <n v="899"/>
    <d v="2011-02-09T00:00:00"/>
    <x v="0"/>
    <n v="0"/>
    <x v="1"/>
    <x v="22"/>
    <x v="0"/>
    <x v="4"/>
    <n v="3"/>
    <x v="13"/>
    <n v="0.16669999999999999"/>
    <n v="0.8"/>
    <n v="0.16420000000000001"/>
    <x v="17"/>
    <x v="76"/>
    <x v="66"/>
    <x v="2"/>
    <x v="0"/>
    <x v="4"/>
    <x v="1"/>
    <x v="2"/>
  </r>
  <r>
    <n v="900"/>
    <d v="2011-02-09T00:00:00"/>
    <x v="0"/>
    <n v="0"/>
    <x v="1"/>
    <x v="23"/>
    <x v="0"/>
    <x v="4"/>
    <n v="3"/>
    <x v="13"/>
    <n v="0.1515"/>
    <n v="0.8"/>
    <n v="0.19400000000000001"/>
    <x v="3"/>
    <x v="53"/>
    <x v="18"/>
    <x v="2"/>
    <x v="0"/>
    <x v="4"/>
    <x v="1"/>
    <x v="2"/>
  </r>
  <r>
    <n v="901"/>
    <d v="2011-02-10T00:00:00"/>
    <x v="0"/>
    <n v="0"/>
    <x v="1"/>
    <x v="0"/>
    <x v="0"/>
    <x v="5"/>
    <n v="3"/>
    <x v="14"/>
    <n v="0.13639999999999999"/>
    <n v="0.86"/>
    <n v="0.19400000000000001"/>
    <x v="3"/>
    <x v="20"/>
    <x v="0"/>
    <x v="2"/>
    <x v="0"/>
    <x v="5"/>
    <x v="1"/>
    <x v="2"/>
  </r>
  <r>
    <n v="902"/>
    <d v="2011-02-10T00:00:00"/>
    <x v="0"/>
    <n v="0"/>
    <x v="1"/>
    <x v="1"/>
    <x v="0"/>
    <x v="5"/>
    <n v="3"/>
    <x v="14"/>
    <n v="0.1515"/>
    <n v="0.8"/>
    <n v="0.1343"/>
    <x v="3"/>
    <x v="7"/>
    <x v="85"/>
    <x v="2"/>
    <x v="0"/>
    <x v="5"/>
    <x v="1"/>
    <x v="2"/>
  </r>
  <r>
    <n v="903"/>
    <d v="2011-02-10T00:00:00"/>
    <x v="0"/>
    <n v="0"/>
    <x v="1"/>
    <x v="2"/>
    <x v="0"/>
    <x v="5"/>
    <n v="3"/>
    <x v="14"/>
    <n v="0.1515"/>
    <n v="0.8"/>
    <n v="0.1343"/>
    <x v="3"/>
    <x v="35"/>
    <x v="6"/>
    <x v="2"/>
    <x v="0"/>
    <x v="5"/>
    <x v="1"/>
    <x v="2"/>
  </r>
  <r>
    <n v="904"/>
    <d v="2011-02-10T00:00:00"/>
    <x v="0"/>
    <n v="0"/>
    <x v="1"/>
    <x v="4"/>
    <x v="0"/>
    <x v="5"/>
    <n v="2"/>
    <x v="14"/>
    <n v="0.13639999999999999"/>
    <n v="0.59"/>
    <n v="0.22389999999999999"/>
    <x v="3"/>
    <x v="4"/>
    <x v="4"/>
    <x v="1"/>
    <x v="0"/>
    <x v="5"/>
    <x v="1"/>
    <x v="1"/>
  </r>
  <r>
    <n v="905"/>
    <d v="2011-02-10T00:00:00"/>
    <x v="0"/>
    <n v="0"/>
    <x v="1"/>
    <x v="5"/>
    <x v="0"/>
    <x v="5"/>
    <n v="2"/>
    <x v="16"/>
    <n v="0.1212"/>
    <n v="0.5"/>
    <n v="0.22389999999999999"/>
    <x v="3"/>
    <x v="8"/>
    <x v="24"/>
    <x v="1"/>
    <x v="0"/>
    <x v="5"/>
    <x v="1"/>
    <x v="1"/>
  </r>
  <r>
    <n v="906"/>
    <d v="2011-02-10T00:00:00"/>
    <x v="0"/>
    <n v="0"/>
    <x v="1"/>
    <x v="6"/>
    <x v="0"/>
    <x v="5"/>
    <n v="2"/>
    <x v="16"/>
    <n v="0.1212"/>
    <n v="0.54"/>
    <n v="0.28360000000000002"/>
    <x v="3"/>
    <x v="16"/>
    <x v="132"/>
    <x v="1"/>
    <x v="0"/>
    <x v="5"/>
    <x v="1"/>
    <x v="1"/>
  </r>
  <r>
    <n v="907"/>
    <d v="2011-02-10T00:00:00"/>
    <x v="0"/>
    <n v="0"/>
    <x v="1"/>
    <x v="7"/>
    <x v="0"/>
    <x v="5"/>
    <n v="1"/>
    <x v="18"/>
    <n v="7.5800000000000006E-2"/>
    <n v="0.5"/>
    <n v="0.41789999999999999"/>
    <x v="3"/>
    <x v="176"/>
    <x v="111"/>
    <x v="0"/>
    <x v="0"/>
    <x v="5"/>
    <x v="1"/>
    <x v="0"/>
  </r>
  <r>
    <n v="908"/>
    <d v="2011-02-10T00:00:00"/>
    <x v="0"/>
    <n v="0"/>
    <x v="1"/>
    <x v="8"/>
    <x v="0"/>
    <x v="5"/>
    <n v="1"/>
    <x v="18"/>
    <n v="7.5800000000000006E-2"/>
    <n v="0.49"/>
    <n v="0.32840000000000003"/>
    <x v="2"/>
    <x v="177"/>
    <x v="106"/>
    <x v="0"/>
    <x v="0"/>
    <x v="5"/>
    <x v="1"/>
    <x v="0"/>
  </r>
  <r>
    <n v="909"/>
    <d v="2011-02-10T00:00:00"/>
    <x v="0"/>
    <n v="0"/>
    <x v="1"/>
    <x v="9"/>
    <x v="0"/>
    <x v="5"/>
    <n v="1"/>
    <x v="16"/>
    <n v="0.1061"/>
    <n v="0.42"/>
    <n v="0.35820000000000002"/>
    <x v="5"/>
    <x v="178"/>
    <x v="78"/>
    <x v="0"/>
    <x v="0"/>
    <x v="5"/>
    <x v="1"/>
    <x v="0"/>
  </r>
  <r>
    <n v="910"/>
    <d v="2011-02-10T00:00:00"/>
    <x v="0"/>
    <n v="0"/>
    <x v="1"/>
    <x v="10"/>
    <x v="0"/>
    <x v="5"/>
    <n v="1"/>
    <x v="16"/>
    <n v="0.1061"/>
    <n v="0.42"/>
    <n v="0.29849999999999999"/>
    <x v="5"/>
    <x v="60"/>
    <x v="17"/>
    <x v="0"/>
    <x v="0"/>
    <x v="5"/>
    <x v="1"/>
    <x v="0"/>
  </r>
  <r>
    <n v="911"/>
    <d v="2011-02-10T00:00:00"/>
    <x v="0"/>
    <n v="0"/>
    <x v="1"/>
    <x v="11"/>
    <x v="0"/>
    <x v="5"/>
    <n v="1"/>
    <x v="14"/>
    <n v="0.1212"/>
    <n v="0.39"/>
    <n v="0.35820000000000002"/>
    <x v="5"/>
    <x v="100"/>
    <x v="79"/>
    <x v="0"/>
    <x v="0"/>
    <x v="5"/>
    <x v="1"/>
    <x v="0"/>
  </r>
  <r>
    <n v="912"/>
    <d v="2011-02-10T00:00:00"/>
    <x v="0"/>
    <n v="0"/>
    <x v="1"/>
    <x v="12"/>
    <x v="0"/>
    <x v="5"/>
    <n v="1"/>
    <x v="13"/>
    <n v="0.13639999999999999"/>
    <n v="0.34"/>
    <n v="0.3881"/>
    <x v="17"/>
    <x v="65"/>
    <x v="83"/>
    <x v="0"/>
    <x v="0"/>
    <x v="5"/>
    <x v="1"/>
    <x v="0"/>
  </r>
  <r>
    <n v="913"/>
    <d v="2011-02-10T00:00:00"/>
    <x v="0"/>
    <n v="0"/>
    <x v="1"/>
    <x v="13"/>
    <x v="0"/>
    <x v="5"/>
    <n v="1"/>
    <x v="15"/>
    <n v="0.16669999999999999"/>
    <n v="0.28999999999999998"/>
    <n v="0.29849999999999999"/>
    <x v="0"/>
    <x v="79"/>
    <x v="69"/>
    <x v="0"/>
    <x v="0"/>
    <x v="5"/>
    <x v="1"/>
    <x v="0"/>
  </r>
  <r>
    <n v="914"/>
    <d v="2011-02-10T00:00:00"/>
    <x v="0"/>
    <n v="0"/>
    <x v="1"/>
    <x v="14"/>
    <x v="0"/>
    <x v="5"/>
    <n v="1"/>
    <x v="2"/>
    <n v="0.18179999999999999"/>
    <n v="0.27"/>
    <n v="0.28360000000000002"/>
    <x v="15"/>
    <x v="76"/>
    <x v="61"/>
    <x v="0"/>
    <x v="0"/>
    <x v="5"/>
    <x v="1"/>
    <x v="0"/>
  </r>
  <r>
    <n v="915"/>
    <d v="2011-02-10T00:00:00"/>
    <x v="0"/>
    <n v="0"/>
    <x v="1"/>
    <x v="15"/>
    <x v="0"/>
    <x v="5"/>
    <n v="1"/>
    <x v="2"/>
    <n v="0.19700000000000001"/>
    <n v="0.25"/>
    <n v="0.25369999999999998"/>
    <x v="3"/>
    <x v="54"/>
    <x v="89"/>
    <x v="0"/>
    <x v="0"/>
    <x v="5"/>
    <x v="1"/>
    <x v="0"/>
  </r>
  <r>
    <n v="916"/>
    <d v="2011-02-10T00:00:00"/>
    <x v="0"/>
    <n v="0"/>
    <x v="1"/>
    <x v="16"/>
    <x v="0"/>
    <x v="5"/>
    <n v="1"/>
    <x v="2"/>
    <n v="0.18179999999999999"/>
    <n v="0.27"/>
    <n v="0.29849999999999999"/>
    <x v="17"/>
    <x v="83"/>
    <x v="138"/>
    <x v="0"/>
    <x v="0"/>
    <x v="5"/>
    <x v="1"/>
    <x v="0"/>
  </r>
  <r>
    <n v="917"/>
    <d v="2011-02-10T00:00:00"/>
    <x v="0"/>
    <n v="0"/>
    <x v="1"/>
    <x v="17"/>
    <x v="0"/>
    <x v="5"/>
    <n v="1"/>
    <x v="15"/>
    <n v="0.18179999999999999"/>
    <n v="0.26"/>
    <n v="0.19400000000000001"/>
    <x v="15"/>
    <x v="136"/>
    <x v="186"/>
    <x v="0"/>
    <x v="0"/>
    <x v="5"/>
    <x v="1"/>
    <x v="0"/>
  </r>
  <r>
    <n v="918"/>
    <d v="2011-02-10T00:00:00"/>
    <x v="0"/>
    <n v="0"/>
    <x v="1"/>
    <x v="18"/>
    <x v="0"/>
    <x v="5"/>
    <n v="1"/>
    <x v="13"/>
    <n v="0.18179999999999999"/>
    <n v="0.28000000000000003"/>
    <n v="0.1343"/>
    <x v="0"/>
    <x v="174"/>
    <x v="187"/>
    <x v="0"/>
    <x v="0"/>
    <x v="5"/>
    <x v="1"/>
    <x v="0"/>
  </r>
  <r>
    <n v="919"/>
    <d v="2011-02-10T00:00:00"/>
    <x v="0"/>
    <n v="0"/>
    <x v="1"/>
    <x v="19"/>
    <x v="0"/>
    <x v="5"/>
    <n v="1"/>
    <x v="14"/>
    <n v="0.16669999999999999"/>
    <n v="0.28000000000000003"/>
    <n v="0.1045"/>
    <x v="4"/>
    <x v="59"/>
    <x v="59"/>
    <x v="0"/>
    <x v="0"/>
    <x v="5"/>
    <x v="1"/>
    <x v="0"/>
  </r>
  <r>
    <n v="920"/>
    <d v="2011-02-10T00:00:00"/>
    <x v="0"/>
    <n v="0"/>
    <x v="1"/>
    <x v="20"/>
    <x v="0"/>
    <x v="5"/>
    <n v="1"/>
    <x v="14"/>
    <n v="0.18179999999999999"/>
    <n v="0.31"/>
    <n v="8.9599999999999999E-2"/>
    <x v="17"/>
    <x v="139"/>
    <x v="54"/>
    <x v="0"/>
    <x v="0"/>
    <x v="5"/>
    <x v="1"/>
    <x v="0"/>
  </r>
  <r>
    <n v="921"/>
    <d v="2011-02-10T00:00:00"/>
    <x v="0"/>
    <n v="0"/>
    <x v="1"/>
    <x v="21"/>
    <x v="0"/>
    <x v="5"/>
    <n v="1"/>
    <x v="14"/>
    <n v="0.21210000000000001"/>
    <n v="0.39"/>
    <n v="0"/>
    <x v="4"/>
    <x v="14"/>
    <x v="44"/>
    <x v="0"/>
    <x v="0"/>
    <x v="5"/>
    <x v="1"/>
    <x v="0"/>
  </r>
  <r>
    <n v="922"/>
    <d v="2011-02-10T00:00:00"/>
    <x v="0"/>
    <n v="0"/>
    <x v="1"/>
    <x v="22"/>
    <x v="0"/>
    <x v="5"/>
    <n v="1"/>
    <x v="16"/>
    <n v="0.19700000000000001"/>
    <n v="0.39"/>
    <n v="0"/>
    <x v="17"/>
    <x v="12"/>
    <x v="41"/>
    <x v="0"/>
    <x v="0"/>
    <x v="5"/>
    <x v="1"/>
    <x v="0"/>
  </r>
  <r>
    <n v="923"/>
    <d v="2011-02-10T00:00:00"/>
    <x v="0"/>
    <n v="0"/>
    <x v="1"/>
    <x v="23"/>
    <x v="0"/>
    <x v="5"/>
    <n v="1"/>
    <x v="16"/>
    <n v="0.1515"/>
    <n v="0.42"/>
    <n v="0.1045"/>
    <x v="5"/>
    <x v="39"/>
    <x v="19"/>
    <x v="0"/>
    <x v="0"/>
    <x v="5"/>
    <x v="1"/>
    <x v="0"/>
  </r>
  <r>
    <n v="924"/>
    <d v="2011-02-11T00:00:00"/>
    <x v="0"/>
    <n v="0"/>
    <x v="1"/>
    <x v="0"/>
    <x v="0"/>
    <x v="6"/>
    <n v="1"/>
    <x v="18"/>
    <n v="0.13639999999999999"/>
    <n v="0.49"/>
    <n v="0.1045"/>
    <x v="4"/>
    <x v="98"/>
    <x v="8"/>
    <x v="0"/>
    <x v="0"/>
    <x v="6"/>
    <x v="1"/>
    <x v="0"/>
  </r>
  <r>
    <n v="925"/>
    <d v="2011-02-11T00:00:00"/>
    <x v="0"/>
    <n v="0"/>
    <x v="1"/>
    <x v="1"/>
    <x v="0"/>
    <x v="6"/>
    <n v="1"/>
    <x v="18"/>
    <n v="0.13639999999999999"/>
    <n v="0.54"/>
    <n v="8.9599999999999999E-2"/>
    <x v="5"/>
    <x v="8"/>
    <x v="85"/>
    <x v="0"/>
    <x v="0"/>
    <x v="6"/>
    <x v="1"/>
    <x v="0"/>
  </r>
  <r>
    <n v="926"/>
    <d v="2011-02-11T00:00:00"/>
    <x v="0"/>
    <n v="0"/>
    <x v="1"/>
    <x v="2"/>
    <x v="0"/>
    <x v="6"/>
    <n v="1"/>
    <x v="18"/>
    <n v="0.13639999999999999"/>
    <n v="0.54"/>
    <n v="8.9599999999999999E-2"/>
    <x v="3"/>
    <x v="35"/>
    <x v="6"/>
    <x v="0"/>
    <x v="0"/>
    <x v="6"/>
    <x v="1"/>
    <x v="0"/>
  </r>
  <r>
    <n v="927"/>
    <d v="2011-02-11T00:00:00"/>
    <x v="0"/>
    <n v="0"/>
    <x v="1"/>
    <x v="5"/>
    <x v="0"/>
    <x v="6"/>
    <n v="1"/>
    <x v="19"/>
    <n v="0.1212"/>
    <n v="0.63"/>
    <n v="8.9599999999999999E-2"/>
    <x v="3"/>
    <x v="22"/>
    <x v="48"/>
    <x v="0"/>
    <x v="0"/>
    <x v="6"/>
    <x v="1"/>
    <x v="0"/>
  </r>
  <r>
    <n v="928"/>
    <d v="2011-02-11T00:00:00"/>
    <x v="0"/>
    <n v="0"/>
    <x v="1"/>
    <x v="6"/>
    <x v="0"/>
    <x v="6"/>
    <n v="1"/>
    <x v="18"/>
    <n v="0.18179999999999999"/>
    <n v="0.68"/>
    <n v="0"/>
    <x v="5"/>
    <x v="140"/>
    <x v="108"/>
    <x v="0"/>
    <x v="0"/>
    <x v="6"/>
    <x v="1"/>
    <x v="0"/>
  </r>
  <r>
    <n v="929"/>
    <d v="2011-02-11T00:00:00"/>
    <x v="0"/>
    <n v="0"/>
    <x v="1"/>
    <x v="7"/>
    <x v="0"/>
    <x v="6"/>
    <n v="1"/>
    <x v="19"/>
    <n v="0.16669999999999999"/>
    <n v="0.73"/>
    <n v="0"/>
    <x v="5"/>
    <x v="26"/>
    <x v="30"/>
    <x v="0"/>
    <x v="0"/>
    <x v="6"/>
    <x v="1"/>
    <x v="0"/>
  </r>
  <r>
    <n v="930"/>
    <d v="2011-02-11T00:00:00"/>
    <x v="0"/>
    <n v="0"/>
    <x v="1"/>
    <x v="8"/>
    <x v="0"/>
    <x v="6"/>
    <n v="1"/>
    <x v="18"/>
    <n v="0.1212"/>
    <n v="0.74"/>
    <n v="0.16420000000000001"/>
    <x v="17"/>
    <x v="179"/>
    <x v="182"/>
    <x v="0"/>
    <x v="0"/>
    <x v="6"/>
    <x v="1"/>
    <x v="0"/>
  </r>
  <r>
    <n v="931"/>
    <d v="2011-02-11T00:00:00"/>
    <x v="0"/>
    <n v="0"/>
    <x v="1"/>
    <x v="9"/>
    <x v="0"/>
    <x v="6"/>
    <n v="1"/>
    <x v="16"/>
    <n v="0.1212"/>
    <n v="0.74"/>
    <n v="0.22389999999999999"/>
    <x v="1"/>
    <x v="126"/>
    <x v="188"/>
    <x v="0"/>
    <x v="0"/>
    <x v="6"/>
    <x v="1"/>
    <x v="0"/>
  </r>
  <r>
    <n v="932"/>
    <d v="2011-02-11T00:00:00"/>
    <x v="0"/>
    <n v="0"/>
    <x v="1"/>
    <x v="10"/>
    <x v="0"/>
    <x v="6"/>
    <n v="1"/>
    <x v="14"/>
    <n v="0.13639999999999999"/>
    <n v="0.69"/>
    <n v="0.19400000000000001"/>
    <x v="2"/>
    <x v="87"/>
    <x v="40"/>
    <x v="0"/>
    <x v="0"/>
    <x v="6"/>
    <x v="1"/>
    <x v="0"/>
  </r>
  <r>
    <n v="933"/>
    <d v="2011-02-11T00:00:00"/>
    <x v="0"/>
    <n v="0"/>
    <x v="1"/>
    <x v="11"/>
    <x v="0"/>
    <x v="6"/>
    <n v="1"/>
    <x v="1"/>
    <n v="0.2273"/>
    <n v="0.47"/>
    <n v="0.1343"/>
    <x v="6"/>
    <x v="15"/>
    <x v="37"/>
    <x v="0"/>
    <x v="0"/>
    <x v="6"/>
    <x v="1"/>
    <x v="0"/>
  </r>
  <r>
    <n v="934"/>
    <d v="2011-02-11T00:00:00"/>
    <x v="0"/>
    <n v="0"/>
    <x v="1"/>
    <x v="12"/>
    <x v="0"/>
    <x v="6"/>
    <n v="1"/>
    <x v="1"/>
    <n v="0.2273"/>
    <n v="0.47"/>
    <n v="0.1343"/>
    <x v="18"/>
    <x v="27"/>
    <x v="68"/>
    <x v="0"/>
    <x v="0"/>
    <x v="6"/>
    <x v="1"/>
    <x v="0"/>
  </r>
  <r>
    <n v="935"/>
    <d v="2011-02-11T00:00:00"/>
    <x v="0"/>
    <n v="0"/>
    <x v="1"/>
    <x v="13"/>
    <x v="0"/>
    <x v="6"/>
    <n v="1"/>
    <x v="0"/>
    <n v="0.2273"/>
    <n v="0.35"/>
    <n v="0.19400000000000001"/>
    <x v="27"/>
    <x v="121"/>
    <x v="14"/>
    <x v="0"/>
    <x v="0"/>
    <x v="6"/>
    <x v="1"/>
    <x v="0"/>
  </r>
  <r>
    <n v="936"/>
    <d v="2011-02-11T00:00:00"/>
    <x v="0"/>
    <n v="0"/>
    <x v="1"/>
    <x v="14"/>
    <x v="0"/>
    <x v="6"/>
    <n v="1"/>
    <x v="11"/>
    <n v="0.28789999999999999"/>
    <n v="0.26"/>
    <n v="0.25369999999999998"/>
    <x v="26"/>
    <x v="28"/>
    <x v="11"/>
    <x v="0"/>
    <x v="0"/>
    <x v="6"/>
    <x v="1"/>
    <x v="0"/>
  </r>
  <r>
    <n v="937"/>
    <d v="2011-02-11T00:00:00"/>
    <x v="0"/>
    <n v="0"/>
    <x v="1"/>
    <x v="15"/>
    <x v="0"/>
    <x v="6"/>
    <n v="1"/>
    <x v="3"/>
    <n v="0.31819999999999998"/>
    <n v="0.21"/>
    <n v="0.16420000000000001"/>
    <x v="6"/>
    <x v="133"/>
    <x v="30"/>
    <x v="0"/>
    <x v="0"/>
    <x v="6"/>
    <x v="1"/>
    <x v="0"/>
  </r>
  <r>
    <n v="938"/>
    <d v="2011-02-11T00:00:00"/>
    <x v="0"/>
    <n v="0"/>
    <x v="1"/>
    <x v="16"/>
    <x v="0"/>
    <x v="6"/>
    <n v="1"/>
    <x v="11"/>
    <n v="0.28789999999999999"/>
    <n v="0.28000000000000003"/>
    <n v="0.19400000000000001"/>
    <x v="24"/>
    <x v="180"/>
    <x v="139"/>
    <x v="0"/>
    <x v="0"/>
    <x v="6"/>
    <x v="1"/>
    <x v="0"/>
  </r>
  <r>
    <n v="939"/>
    <d v="2011-02-11T00:00:00"/>
    <x v="0"/>
    <n v="0"/>
    <x v="1"/>
    <x v="17"/>
    <x v="0"/>
    <x v="6"/>
    <n v="1"/>
    <x v="11"/>
    <n v="0.33329999999999999"/>
    <n v="0.24"/>
    <n v="0"/>
    <x v="25"/>
    <x v="181"/>
    <x v="189"/>
    <x v="0"/>
    <x v="0"/>
    <x v="6"/>
    <x v="1"/>
    <x v="0"/>
  </r>
  <r>
    <n v="940"/>
    <d v="2011-02-11T00:00:00"/>
    <x v="0"/>
    <n v="0"/>
    <x v="1"/>
    <x v="18"/>
    <x v="0"/>
    <x v="6"/>
    <n v="1"/>
    <x v="17"/>
    <n v="0.31819999999999998"/>
    <n v="0.28000000000000003"/>
    <n v="0"/>
    <x v="14"/>
    <x v="158"/>
    <x v="177"/>
    <x v="0"/>
    <x v="0"/>
    <x v="6"/>
    <x v="1"/>
    <x v="0"/>
  </r>
  <r>
    <n v="941"/>
    <d v="2011-02-11T00:00:00"/>
    <x v="0"/>
    <n v="0"/>
    <x v="1"/>
    <x v="19"/>
    <x v="0"/>
    <x v="6"/>
    <n v="1"/>
    <x v="12"/>
    <n v="0.30299999999999999"/>
    <n v="0.33"/>
    <n v="0"/>
    <x v="18"/>
    <x v="111"/>
    <x v="129"/>
    <x v="0"/>
    <x v="0"/>
    <x v="6"/>
    <x v="1"/>
    <x v="0"/>
  </r>
  <r>
    <n v="942"/>
    <d v="2011-02-11T00:00:00"/>
    <x v="0"/>
    <n v="0"/>
    <x v="1"/>
    <x v="20"/>
    <x v="0"/>
    <x v="6"/>
    <n v="1"/>
    <x v="1"/>
    <n v="0.2273"/>
    <n v="0.55000000000000004"/>
    <n v="0.1343"/>
    <x v="4"/>
    <x v="124"/>
    <x v="55"/>
    <x v="0"/>
    <x v="0"/>
    <x v="6"/>
    <x v="1"/>
    <x v="0"/>
  </r>
  <r>
    <n v="943"/>
    <d v="2011-02-11T00:00:00"/>
    <x v="0"/>
    <n v="0"/>
    <x v="1"/>
    <x v="21"/>
    <x v="0"/>
    <x v="6"/>
    <n v="1"/>
    <x v="2"/>
    <n v="0.21210000000000001"/>
    <n v="0.59"/>
    <n v="0.1343"/>
    <x v="5"/>
    <x v="24"/>
    <x v="105"/>
    <x v="0"/>
    <x v="0"/>
    <x v="6"/>
    <x v="1"/>
    <x v="0"/>
  </r>
  <r>
    <n v="944"/>
    <d v="2011-02-11T00:00:00"/>
    <x v="0"/>
    <n v="0"/>
    <x v="1"/>
    <x v="22"/>
    <x v="0"/>
    <x v="6"/>
    <n v="1"/>
    <x v="2"/>
    <n v="0.2273"/>
    <n v="0.64"/>
    <n v="8.9599999999999999E-2"/>
    <x v="4"/>
    <x v="40"/>
    <x v="74"/>
    <x v="0"/>
    <x v="0"/>
    <x v="6"/>
    <x v="1"/>
    <x v="0"/>
  </r>
  <r>
    <n v="945"/>
    <d v="2011-02-11T00:00:00"/>
    <x v="0"/>
    <n v="0"/>
    <x v="1"/>
    <x v="23"/>
    <x v="0"/>
    <x v="6"/>
    <n v="1"/>
    <x v="15"/>
    <n v="0.2424"/>
    <n v="0.69"/>
    <n v="0"/>
    <x v="2"/>
    <x v="41"/>
    <x v="26"/>
    <x v="0"/>
    <x v="0"/>
    <x v="6"/>
    <x v="1"/>
    <x v="0"/>
  </r>
  <r>
    <n v="946"/>
    <d v="2011-02-12T00:00:00"/>
    <x v="0"/>
    <n v="0"/>
    <x v="1"/>
    <x v="0"/>
    <x v="0"/>
    <x v="0"/>
    <n v="1"/>
    <x v="13"/>
    <n v="0.19700000000000001"/>
    <n v="0.69"/>
    <n v="8.9599999999999999E-2"/>
    <x v="0"/>
    <x v="2"/>
    <x v="33"/>
    <x v="0"/>
    <x v="0"/>
    <x v="0"/>
    <x v="1"/>
    <x v="0"/>
  </r>
  <r>
    <n v="947"/>
    <d v="2011-02-12T00:00:00"/>
    <x v="0"/>
    <n v="0"/>
    <x v="1"/>
    <x v="1"/>
    <x v="0"/>
    <x v="0"/>
    <n v="1"/>
    <x v="14"/>
    <n v="0.21210000000000001"/>
    <n v="0.86"/>
    <n v="0"/>
    <x v="4"/>
    <x v="97"/>
    <x v="108"/>
    <x v="0"/>
    <x v="0"/>
    <x v="0"/>
    <x v="1"/>
    <x v="0"/>
  </r>
  <r>
    <n v="948"/>
    <d v="2011-02-12T00:00:00"/>
    <x v="0"/>
    <n v="0"/>
    <x v="1"/>
    <x v="2"/>
    <x v="0"/>
    <x v="0"/>
    <n v="1"/>
    <x v="14"/>
    <n v="0.21210000000000001"/>
    <n v="0.8"/>
    <n v="0"/>
    <x v="4"/>
    <x v="0"/>
    <x v="93"/>
    <x v="0"/>
    <x v="0"/>
    <x v="0"/>
    <x v="1"/>
    <x v="0"/>
  </r>
  <r>
    <n v="949"/>
    <d v="2011-02-12T00:00:00"/>
    <x v="0"/>
    <n v="0"/>
    <x v="1"/>
    <x v="3"/>
    <x v="0"/>
    <x v="0"/>
    <n v="1"/>
    <x v="16"/>
    <n v="0.19700000000000001"/>
    <n v="0.8"/>
    <n v="0"/>
    <x v="0"/>
    <x v="7"/>
    <x v="98"/>
    <x v="0"/>
    <x v="0"/>
    <x v="0"/>
    <x v="1"/>
    <x v="0"/>
  </r>
  <r>
    <n v="950"/>
    <d v="2011-02-12T00:00:00"/>
    <x v="0"/>
    <n v="0"/>
    <x v="1"/>
    <x v="4"/>
    <x v="0"/>
    <x v="0"/>
    <n v="1"/>
    <x v="16"/>
    <n v="0.16669999999999999"/>
    <n v="0.74"/>
    <n v="8.9599999999999999E-2"/>
    <x v="3"/>
    <x v="22"/>
    <x v="48"/>
    <x v="0"/>
    <x v="0"/>
    <x v="0"/>
    <x v="1"/>
    <x v="0"/>
  </r>
  <r>
    <n v="951"/>
    <d v="2011-02-12T00:00:00"/>
    <x v="0"/>
    <n v="0"/>
    <x v="1"/>
    <x v="5"/>
    <x v="0"/>
    <x v="0"/>
    <n v="1"/>
    <x v="16"/>
    <n v="0.16669999999999999"/>
    <n v="0.74"/>
    <n v="8.9599999999999999E-2"/>
    <x v="3"/>
    <x v="4"/>
    <x v="4"/>
    <x v="0"/>
    <x v="0"/>
    <x v="0"/>
    <x v="1"/>
    <x v="0"/>
  </r>
  <r>
    <n v="952"/>
    <d v="2011-02-12T00:00:00"/>
    <x v="0"/>
    <n v="0"/>
    <x v="1"/>
    <x v="6"/>
    <x v="0"/>
    <x v="0"/>
    <n v="1"/>
    <x v="16"/>
    <n v="0.13639999999999999"/>
    <n v="0.93"/>
    <n v="0.19400000000000001"/>
    <x v="5"/>
    <x v="4"/>
    <x v="5"/>
    <x v="0"/>
    <x v="0"/>
    <x v="0"/>
    <x v="1"/>
    <x v="0"/>
  </r>
  <r>
    <n v="953"/>
    <d v="2011-02-12T00:00:00"/>
    <x v="0"/>
    <n v="0"/>
    <x v="1"/>
    <x v="7"/>
    <x v="0"/>
    <x v="0"/>
    <n v="1"/>
    <x v="16"/>
    <n v="0.1515"/>
    <n v="0.8"/>
    <n v="0.1045"/>
    <x v="4"/>
    <x v="33"/>
    <x v="62"/>
    <x v="0"/>
    <x v="0"/>
    <x v="0"/>
    <x v="1"/>
    <x v="0"/>
  </r>
  <r>
    <n v="954"/>
    <d v="2011-02-12T00:00:00"/>
    <x v="0"/>
    <n v="0"/>
    <x v="1"/>
    <x v="8"/>
    <x v="0"/>
    <x v="0"/>
    <n v="1"/>
    <x v="14"/>
    <n v="0.1515"/>
    <n v="0.86"/>
    <n v="0.1343"/>
    <x v="4"/>
    <x v="95"/>
    <x v="33"/>
    <x v="0"/>
    <x v="0"/>
    <x v="0"/>
    <x v="1"/>
    <x v="0"/>
  </r>
  <r>
    <n v="955"/>
    <d v="2011-02-12T00:00:00"/>
    <x v="0"/>
    <n v="0"/>
    <x v="1"/>
    <x v="9"/>
    <x v="0"/>
    <x v="0"/>
    <n v="1"/>
    <x v="13"/>
    <n v="0.18179999999999999"/>
    <n v="0.64"/>
    <n v="0.1343"/>
    <x v="2"/>
    <x v="101"/>
    <x v="74"/>
    <x v="0"/>
    <x v="0"/>
    <x v="0"/>
    <x v="1"/>
    <x v="0"/>
  </r>
  <r>
    <n v="956"/>
    <d v="2011-02-12T00:00:00"/>
    <x v="0"/>
    <n v="0"/>
    <x v="1"/>
    <x v="10"/>
    <x v="0"/>
    <x v="0"/>
    <n v="1"/>
    <x v="1"/>
    <n v="0.21210000000000001"/>
    <n v="0.41"/>
    <n v="0.25369999999999998"/>
    <x v="23"/>
    <x v="13"/>
    <x v="11"/>
    <x v="0"/>
    <x v="0"/>
    <x v="0"/>
    <x v="1"/>
    <x v="0"/>
  </r>
  <r>
    <n v="957"/>
    <d v="2011-02-12T00:00:00"/>
    <x v="0"/>
    <n v="0"/>
    <x v="1"/>
    <x v="11"/>
    <x v="0"/>
    <x v="0"/>
    <n v="1"/>
    <x v="11"/>
    <n v="0.2727"/>
    <n v="0.28000000000000003"/>
    <n v="0.32840000000000003"/>
    <x v="36"/>
    <x v="151"/>
    <x v="181"/>
    <x v="0"/>
    <x v="0"/>
    <x v="0"/>
    <x v="1"/>
    <x v="0"/>
  </r>
  <r>
    <n v="958"/>
    <d v="2011-02-12T00:00:00"/>
    <x v="0"/>
    <n v="0"/>
    <x v="1"/>
    <x v="12"/>
    <x v="0"/>
    <x v="0"/>
    <n v="1"/>
    <x v="11"/>
    <n v="0.2727"/>
    <n v="0.39"/>
    <n v="0.4627"/>
    <x v="37"/>
    <x v="139"/>
    <x v="151"/>
    <x v="0"/>
    <x v="0"/>
    <x v="0"/>
    <x v="1"/>
    <x v="0"/>
  </r>
  <r>
    <n v="959"/>
    <d v="2011-02-12T00:00:00"/>
    <x v="0"/>
    <n v="0"/>
    <x v="1"/>
    <x v="13"/>
    <x v="0"/>
    <x v="0"/>
    <n v="1"/>
    <x v="11"/>
    <n v="0.2727"/>
    <n v="0.39"/>
    <n v="0.41789999999999999"/>
    <x v="38"/>
    <x v="145"/>
    <x v="169"/>
    <x v="0"/>
    <x v="0"/>
    <x v="0"/>
    <x v="1"/>
    <x v="0"/>
  </r>
  <r>
    <n v="960"/>
    <d v="2011-02-12T00:00:00"/>
    <x v="0"/>
    <n v="0"/>
    <x v="1"/>
    <x v="14"/>
    <x v="0"/>
    <x v="0"/>
    <n v="1"/>
    <x v="10"/>
    <n v="0.31819999999999998"/>
    <n v="0.31"/>
    <n v="0.28360000000000002"/>
    <x v="36"/>
    <x v="92"/>
    <x v="151"/>
    <x v="0"/>
    <x v="0"/>
    <x v="0"/>
    <x v="1"/>
    <x v="0"/>
  </r>
  <r>
    <n v="961"/>
    <d v="2011-02-12T00:00:00"/>
    <x v="0"/>
    <n v="0"/>
    <x v="1"/>
    <x v="15"/>
    <x v="0"/>
    <x v="0"/>
    <n v="1"/>
    <x v="10"/>
    <n v="0.30299999999999999"/>
    <n v="0.28999999999999998"/>
    <n v="0.41789999999999999"/>
    <x v="9"/>
    <x v="69"/>
    <x v="177"/>
    <x v="0"/>
    <x v="0"/>
    <x v="0"/>
    <x v="1"/>
    <x v="0"/>
  </r>
  <r>
    <n v="962"/>
    <d v="2011-02-12T00:00:00"/>
    <x v="0"/>
    <n v="0"/>
    <x v="1"/>
    <x v="16"/>
    <x v="0"/>
    <x v="0"/>
    <n v="1"/>
    <x v="10"/>
    <n v="0.30299999999999999"/>
    <n v="0.28999999999999998"/>
    <n v="0.41789999999999999"/>
    <x v="35"/>
    <x v="145"/>
    <x v="190"/>
    <x v="0"/>
    <x v="0"/>
    <x v="0"/>
    <x v="1"/>
    <x v="0"/>
  </r>
  <r>
    <n v="963"/>
    <d v="2011-02-12T00:00:00"/>
    <x v="0"/>
    <n v="0"/>
    <x v="1"/>
    <x v="17"/>
    <x v="0"/>
    <x v="0"/>
    <n v="1"/>
    <x v="3"/>
    <n v="0.28789999999999999"/>
    <n v="0.31"/>
    <n v="0.52239999999999998"/>
    <x v="31"/>
    <x v="182"/>
    <x v="120"/>
    <x v="0"/>
    <x v="0"/>
    <x v="0"/>
    <x v="1"/>
    <x v="0"/>
  </r>
  <r>
    <n v="964"/>
    <d v="2011-02-12T00:00:00"/>
    <x v="0"/>
    <n v="0"/>
    <x v="1"/>
    <x v="18"/>
    <x v="0"/>
    <x v="0"/>
    <n v="1"/>
    <x v="17"/>
    <n v="0.2576"/>
    <n v="0.38"/>
    <n v="0.32840000000000003"/>
    <x v="17"/>
    <x v="91"/>
    <x v="37"/>
    <x v="0"/>
    <x v="0"/>
    <x v="0"/>
    <x v="1"/>
    <x v="0"/>
  </r>
  <r>
    <n v="965"/>
    <d v="2011-02-12T00:00:00"/>
    <x v="0"/>
    <n v="0"/>
    <x v="1"/>
    <x v="19"/>
    <x v="0"/>
    <x v="0"/>
    <n v="1"/>
    <x v="17"/>
    <n v="0.2727"/>
    <n v="0.38"/>
    <n v="0.16420000000000001"/>
    <x v="4"/>
    <x v="87"/>
    <x v="102"/>
    <x v="0"/>
    <x v="0"/>
    <x v="0"/>
    <x v="1"/>
    <x v="0"/>
  </r>
  <r>
    <n v="966"/>
    <d v="2011-02-12T00:00:00"/>
    <x v="0"/>
    <n v="0"/>
    <x v="1"/>
    <x v="20"/>
    <x v="0"/>
    <x v="0"/>
    <n v="1"/>
    <x v="12"/>
    <n v="0.2576"/>
    <n v="0.41"/>
    <n v="0.22389999999999999"/>
    <x v="5"/>
    <x v="87"/>
    <x v="1"/>
    <x v="0"/>
    <x v="0"/>
    <x v="0"/>
    <x v="1"/>
    <x v="0"/>
  </r>
  <r>
    <n v="967"/>
    <d v="2011-02-12T00:00:00"/>
    <x v="0"/>
    <n v="0"/>
    <x v="1"/>
    <x v="21"/>
    <x v="0"/>
    <x v="0"/>
    <n v="1"/>
    <x v="12"/>
    <n v="0.30299999999999999"/>
    <n v="0.41"/>
    <n v="0"/>
    <x v="14"/>
    <x v="76"/>
    <x v="41"/>
    <x v="0"/>
    <x v="0"/>
    <x v="0"/>
    <x v="1"/>
    <x v="0"/>
  </r>
  <r>
    <n v="968"/>
    <d v="2011-02-12T00:00:00"/>
    <x v="0"/>
    <n v="0"/>
    <x v="1"/>
    <x v="22"/>
    <x v="0"/>
    <x v="0"/>
    <n v="1"/>
    <x v="0"/>
    <n v="0.2576"/>
    <n v="0.44"/>
    <n v="8.9599999999999999E-2"/>
    <x v="15"/>
    <x v="87"/>
    <x v="79"/>
    <x v="0"/>
    <x v="0"/>
    <x v="0"/>
    <x v="1"/>
    <x v="0"/>
  </r>
  <r>
    <n v="969"/>
    <d v="2011-02-12T00:00:00"/>
    <x v="0"/>
    <n v="0"/>
    <x v="1"/>
    <x v="23"/>
    <x v="0"/>
    <x v="0"/>
    <n v="1"/>
    <x v="1"/>
    <n v="0.2273"/>
    <n v="0.51"/>
    <n v="0.1343"/>
    <x v="5"/>
    <x v="17"/>
    <x v="2"/>
    <x v="0"/>
    <x v="0"/>
    <x v="0"/>
    <x v="1"/>
    <x v="0"/>
  </r>
  <r>
    <n v="970"/>
    <d v="2011-02-13T00:00:00"/>
    <x v="0"/>
    <n v="0"/>
    <x v="1"/>
    <x v="0"/>
    <x v="0"/>
    <x v="1"/>
    <n v="1"/>
    <x v="2"/>
    <n v="0.2273"/>
    <n v="0.64"/>
    <n v="0.1045"/>
    <x v="2"/>
    <x v="60"/>
    <x v="21"/>
    <x v="0"/>
    <x v="0"/>
    <x v="1"/>
    <x v="1"/>
    <x v="0"/>
  </r>
  <r>
    <n v="971"/>
    <d v="2011-02-13T00:00:00"/>
    <x v="0"/>
    <n v="0"/>
    <x v="1"/>
    <x v="1"/>
    <x v="0"/>
    <x v="1"/>
    <n v="1"/>
    <x v="2"/>
    <n v="0.2273"/>
    <n v="0.59"/>
    <n v="8.9599999999999999E-2"/>
    <x v="5"/>
    <x v="140"/>
    <x v="108"/>
    <x v="0"/>
    <x v="0"/>
    <x v="1"/>
    <x v="1"/>
    <x v="0"/>
  </r>
  <r>
    <n v="972"/>
    <d v="2011-02-13T00:00:00"/>
    <x v="0"/>
    <n v="0"/>
    <x v="1"/>
    <x v="2"/>
    <x v="0"/>
    <x v="1"/>
    <n v="2"/>
    <x v="2"/>
    <n v="0.2273"/>
    <n v="0.75"/>
    <n v="8.9599999999999999E-2"/>
    <x v="5"/>
    <x v="23"/>
    <x v="25"/>
    <x v="1"/>
    <x v="0"/>
    <x v="1"/>
    <x v="1"/>
    <x v="1"/>
  </r>
  <r>
    <n v="973"/>
    <d v="2011-02-13T00:00:00"/>
    <x v="0"/>
    <n v="0"/>
    <x v="1"/>
    <x v="3"/>
    <x v="0"/>
    <x v="1"/>
    <n v="2"/>
    <x v="2"/>
    <n v="0.2273"/>
    <n v="0.69"/>
    <n v="0.1045"/>
    <x v="17"/>
    <x v="21"/>
    <x v="47"/>
    <x v="1"/>
    <x v="0"/>
    <x v="1"/>
    <x v="1"/>
    <x v="1"/>
  </r>
  <r>
    <n v="974"/>
    <d v="2011-02-13T00:00:00"/>
    <x v="0"/>
    <n v="0"/>
    <x v="1"/>
    <x v="4"/>
    <x v="0"/>
    <x v="1"/>
    <n v="2"/>
    <x v="2"/>
    <n v="0.21210000000000001"/>
    <n v="0.69"/>
    <n v="0.16420000000000001"/>
    <x v="3"/>
    <x v="6"/>
    <x v="5"/>
    <x v="1"/>
    <x v="0"/>
    <x v="1"/>
    <x v="1"/>
    <x v="1"/>
  </r>
  <r>
    <n v="975"/>
    <d v="2011-02-13T00:00:00"/>
    <x v="0"/>
    <n v="0"/>
    <x v="1"/>
    <x v="6"/>
    <x v="0"/>
    <x v="1"/>
    <n v="2"/>
    <x v="2"/>
    <n v="0.21210000000000001"/>
    <n v="0.69"/>
    <n v="0.1343"/>
    <x v="4"/>
    <x v="35"/>
    <x v="36"/>
    <x v="1"/>
    <x v="0"/>
    <x v="1"/>
    <x v="1"/>
    <x v="1"/>
  </r>
  <r>
    <n v="976"/>
    <d v="2011-02-13T00:00:00"/>
    <x v="0"/>
    <n v="0"/>
    <x v="1"/>
    <x v="7"/>
    <x v="0"/>
    <x v="1"/>
    <n v="2"/>
    <x v="1"/>
    <n v="0.2727"/>
    <n v="0.55000000000000004"/>
    <n v="0"/>
    <x v="3"/>
    <x v="35"/>
    <x v="6"/>
    <x v="1"/>
    <x v="0"/>
    <x v="1"/>
    <x v="1"/>
    <x v="1"/>
  </r>
  <r>
    <n v="977"/>
    <d v="2011-02-13T00:00:00"/>
    <x v="0"/>
    <n v="0"/>
    <x v="1"/>
    <x v="8"/>
    <x v="0"/>
    <x v="1"/>
    <n v="2"/>
    <x v="1"/>
    <n v="0.2273"/>
    <n v="0.64"/>
    <n v="0.19400000000000001"/>
    <x v="5"/>
    <x v="48"/>
    <x v="47"/>
    <x v="1"/>
    <x v="0"/>
    <x v="1"/>
    <x v="1"/>
    <x v="1"/>
  </r>
  <r>
    <n v="978"/>
    <d v="2011-02-13T00:00:00"/>
    <x v="0"/>
    <n v="0"/>
    <x v="1"/>
    <x v="9"/>
    <x v="0"/>
    <x v="1"/>
    <n v="2"/>
    <x v="0"/>
    <n v="0.2273"/>
    <n v="0.6"/>
    <n v="0.22389999999999999"/>
    <x v="6"/>
    <x v="96"/>
    <x v="105"/>
    <x v="1"/>
    <x v="0"/>
    <x v="1"/>
    <x v="1"/>
    <x v="1"/>
  </r>
  <r>
    <n v="979"/>
    <d v="2011-02-13T00:00:00"/>
    <x v="0"/>
    <n v="0"/>
    <x v="1"/>
    <x v="10"/>
    <x v="0"/>
    <x v="1"/>
    <n v="1"/>
    <x v="11"/>
    <n v="0.2727"/>
    <n v="0.45"/>
    <n v="0.32840000000000003"/>
    <x v="21"/>
    <x v="132"/>
    <x v="136"/>
    <x v="0"/>
    <x v="0"/>
    <x v="1"/>
    <x v="1"/>
    <x v="0"/>
  </r>
  <r>
    <n v="980"/>
    <d v="2011-02-13T00:00:00"/>
    <x v="0"/>
    <n v="0"/>
    <x v="1"/>
    <x v="11"/>
    <x v="0"/>
    <x v="1"/>
    <n v="1"/>
    <x v="3"/>
    <n v="0.28789999999999999"/>
    <n v="0.39"/>
    <n v="0.44779999999999998"/>
    <x v="7"/>
    <x v="132"/>
    <x v="59"/>
    <x v="0"/>
    <x v="0"/>
    <x v="1"/>
    <x v="1"/>
    <x v="0"/>
  </r>
  <r>
    <n v="981"/>
    <d v="2011-02-13T00:00:00"/>
    <x v="0"/>
    <n v="0"/>
    <x v="1"/>
    <x v="12"/>
    <x v="0"/>
    <x v="1"/>
    <n v="1"/>
    <x v="5"/>
    <n v="0.31819999999999998"/>
    <n v="0.32"/>
    <n v="0.4627"/>
    <x v="39"/>
    <x v="111"/>
    <x v="148"/>
    <x v="0"/>
    <x v="0"/>
    <x v="1"/>
    <x v="1"/>
    <x v="0"/>
  </r>
  <r>
    <n v="982"/>
    <d v="2011-02-13T00:00:00"/>
    <x v="0"/>
    <n v="0"/>
    <x v="1"/>
    <x v="13"/>
    <x v="0"/>
    <x v="1"/>
    <n v="1"/>
    <x v="4"/>
    <n v="0.39389999999999997"/>
    <n v="0.28999999999999998"/>
    <n v="0.35820000000000002"/>
    <x v="40"/>
    <x v="50"/>
    <x v="38"/>
    <x v="0"/>
    <x v="0"/>
    <x v="1"/>
    <x v="1"/>
    <x v="0"/>
  </r>
  <r>
    <n v="983"/>
    <d v="2011-02-13T00:00:00"/>
    <x v="0"/>
    <n v="0"/>
    <x v="1"/>
    <x v="14"/>
    <x v="0"/>
    <x v="1"/>
    <n v="2"/>
    <x v="9"/>
    <n v="0.40910000000000002"/>
    <n v="0.3"/>
    <n v="0.41789999999999999"/>
    <x v="41"/>
    <x v="59"/>
    <x v="143"/>
    <x v="1"/>
    <x v="0"/>
    <x v="1"/>
    <x v="1"/>
    <x v="1"/>
  </r>
  <r>
    <n v="984"/>
    <d v="2011-02-13T00:00:00"/>
    <x v="0"/>
    <n v="0"/>
    <x v="1"/>
    <x v="15"/>
    <x v="0"/>
    <x v="1"/>
    <n v="2"/>
    <x v="9"/>
    <n v="0.40910000000000002"/>
    <n v="0.3"/>
    <n v="0.29849999999999999"/>
    <x v="11"/>
    <x v="183"/>
    <x v="123"/>
    <x v="1"/>
    <x v="0"/>
    <x v="1"/>
    <x v="1"/>
    <x v="1"/>
  </r>
  <r>
    <n v="985"/>
    <d v="2011-02-13T00:00:00"/>
    <x v="0"/>
    <n v="0"/>
    <x v="1"/>
    <x v="16"/>
    <x v="0"/>
    <x v="1"/>
    <n v="2"/>
    <x v="6"/>
    <n v="0.42420000000000002"/>
    <n v="0.28000000000000003"/>
    <n v="0.32840000000000003"/>
    <x v="32"/>
    <x v="184"/>
    <x v="87"/>
    <x v="1"/>
    <x v="0"/>
    <x v="1"/>
    <x v="1"/>
    <x v="1"/>
  </r>
  <r>
    <n v="986"/>
    <d v="2011-02-13T00:00:00"/>
    <x v="0"/>
    <n v="0"/>
    <x v="1"/>
    <x v="17"/>
    <x v="0"/>
    <x v="1"/>
    <n v="1"/>
    <x v="6"/>
    <n v="0.42420000000000002"/>
    <n v="0.28000000000000003"/>
    <n v="0.32840000000000003"/>
    <x v="36"/>
    <x v="73"/>
    <x v="139"/>
    <x v="0"/>
    <x v="0"/>
    <x v="1"/>
    <x v="1"/>
    <x v="0"/>
  </r>
  <r>
    <n v="987"/>
    <d v="2011-02-13T00:00:00"/>
    <x v="0"/>
    <n v="0"/>
    <x v="1"/>
    <x v="18"/>
    <x v="0"/>
    <x v="1"/>
    <n v="1"/>
    <x v="9"/>
    <n v="0.40910000000000002"/>
    <n v="0.32"/>
    <n v="0.29849999999999999"/>
    <x v="26"/>
    <x v="78"/>
    <x v="76"/>
    <x v="0"/>
    <x v="0"/>
    <x v="1"/>
    <x v="1"/>
    <x v="0"/>
  </r>
  <r>
    <n v="988"/>
    <d v="2011-02-13T00:00:00"/>
    <x v="0"/>
    <n v="0"/>
    <x v="1"/>
    <x v="19"/>
    <x v="0"/>
    <x v="1"/>
    <n v="1"/>
    <x v="9"/>
    <n v="0.40910000000000002"/>
    <n v="0.35"/>
    <n v="0.28360000000000002"/>
    <x v="16"/>
    <x v="54"/>
    <x v="42"/>
    <x v="0"/>
    <x v="0"/>
    <x v="1"/>
    <x v="1"/>
    <x v="0"/>
  </r>
  <r>
    <n v="989"/>
    <d v="2011-02-13T00:00:00"/>
    <x v="0"/>
    <n v="0"/>
    <x v="1"/>
    <x v="20"/>
    <x v="0"/>
    <x v="1"/>
    <n v="1"/>
    <x v="9"/>
    <n v="0.40910000000000002"/>
    <n v="0.35"/>
    <n v="0.32840000000000003"/>
    <x v="13"/>
    <x v="1"/>
    <x v="105"/>
    <x v="0"/>
    <x v="0"/>
    <x v="1"/>
    <x v="1"/>
    <x v="0"/>
  </r>
  <r>
    <n v="990"/>
    <d v="2011-02-13T00:00:00"/>
    <x v="0"/>
    <n v="0"/>
    <x v="1"/>
    <x v="21"/>
    <x v="0"/>
    <x v="1"/>
    <n v="1"/>
    <x v="9"/>
    <n v="0.40910000000000002"/>
    <n v="0.35"/>
    <n v="0.35820000000000002"/>
    <x v="15"/>
    <x v="108"/>
    <x v="41"/>
    <x v="0"/>
    <x v="0"/>
    <x v="1"/>
    <x v="1"/>
    <x v="0"/>
  </r>
  <r>
    <n v="991"/>
    <d v="2011-02-13T00:00:00"/>
    <x v="0"/>
    <n v="0"/>
    <x v="1"/>
    <x v="22"/>
    <x v="0"/>
    <x v="1"/>
    <n v="1"/>
    <x v="9"/>
    <n v="0.40910000000000002"/>
    <n v="0.35"/>
    <n v="0.29849999999999999"/>
    <x v="2"/>
    <x v="17"/>
    <x v="9"/>
    <x v="0"/>
    <x v="0"/>
    <x v="1"/>
    <x v="1"/>
    <x v="0"/>
  </r>
  <r>
    <n v="992"/>
    <d v="2011-02-13T00:00:00"/>
    <x v="0"/>
    <n v="0"/>
    <x v="1"/>
    <x v="23"/>
    <x v="0"/>
    <x v="1"/>
    <n v="1"/>
    <x v="9"/>
    <n v="0.40910000000000002"/>
    <n v="0.35"/>
    <n v="0.35820000000000002"/>
    <x v="0"/>
    <x v="2"/>
    <x v="33"/>
    <x v="0"/>
    <x v="0"/>
    <x v="1"/>
    <x v="1"/>
    <x v="0"/>
  </r>
  <r>
    <n v="993"/>
    <d v="2011-02-14T00:00:00"/>
    <x v="0"/>
    <n v="0"/>
    <x v="1"/>
    <x v="0"/>
    <x v="0"/>
    <x v="2"/>
    <n v="1"/>
    <x v="4"/>
    <n v="0.39389999999999997"/>
    <n v="0.37"/>
    <n v="0.35820000000000002"/>
    <x v="0"/>
    <x v="21"/>
    <x v="62"/>
    <x v="0"/>
    <x v="0"/>
    <x v="2"/>
    <x v="1"/>
    <x v="0"/>
  </r>
  <r>
    <n v="994"/>
    <d v="2011-02-14T00:00:00"/>
    <x v="0"/>
    <n v="0"/>
    <x v="1"/>
    <x v="1"/>
    <x v="0"/>
    <x v="2"/>
    <n v="1"/>
    <x v="4"/>
    <n v="0.39389999999999997"/>
    <n v="0.37"/>
    <n v="0.35820000000000002"/>
    <x v="5"/>
    <x v="8"/>
    <x v="85"/>
    <x v="0"/>
    <x v="0"/>
    <x v="2"/>
    <x v="1"/>
    <x v="0"/>
  </r>
  <r>
    <n v="995"/>
    <d v="2011-02-14T00:00:00"/>
    <x v="0"/>
    <n v="0"/>
    <x v="1"/>
    <x v="2"/>
    <x v="0"/>
    <x v="2"/>
    <n v="1"/>
    <x v="5"/>
    <n v="0.33329999999999999"/>
    <n v="0.4"/>
    <n v="0.29849999999999999"/>
    <x v="3"/>
    <x v="6"/>
    <x v="5"/>
    <x v="0"/>
    <x v="0"/>
    <x v="2"/>
    <x v="1"/>
    <x v="0"/>
  </r>
  <r>
    <n v="996"/>
    <d v="2011-02-14T00:00:00"/>
    <x v="0"/>
    <n v="0"/>
    <x v="1"/>
    <x v="3"/>
    <x v="0"/>
    <x v="2"/>
    <n v="1"/>
    <x v="10"/>
    <n v="0.31819999999999998"/>
    <n v="0.46"/>
    <n v="0.22389999999999999"/>
    <x v="5"/>
    <x v="4"/>
    <x v="5"/>
    <x v="0"/>
    <x v="0"/>
    <x v="2"/>
    <x v="1"/>
    <x v="0"/>
  </r>
  <r>
    <n v="997"/>
    <d v="2011-02-14T00:00:00"/>
    <x v="0"/>
    <n v="0"/>
    <x v="1"/>
    <x v="4"/>
    <x v="0"/>
    <x v="2"/>
    <n v="1"/>
    <x v="3"/>
    <n v="0.30299999999999999"/>
    <n v="0.53"/>
    <n v="0.28360000000000002"/>
    <x v="3"/>
    <x v="6"/>
    <x v="5"/>
    <x v="0"/>
    <x v="0"/>
    <x v="2"/>
    <x v="1"/>
    <x v="0"/>
  </r>
  <r>
    <n v="998"/>
    <d v="2011-02-14T00:00:00"/>
    <x v="0"/>
    <n v="0"/>
    <x v="1"/>
    <x v="5"/>
    <x v="0"/>
    <x v="2"/>
    <n v="1"/>
    <x v="3"/>
    <n v="0.30299999999999999"/>
    <n v="0.53"/>
    <n v="0.28360000000000002"/>
    <x v="3"/>
    <x v="35"/>
    <x v="6"/>
    <x v="0"/>
    <x v="0"/>
    <x v="2"/>
    <x v="1"/>
    <x v="0"/>
  </r>
  <r>
    <n v="999"/>
    <d v="2011-02-14T00:00:00"/>
    <x v="0"/>
    <n v="0"/>
    <x v="1"/>
    <x v="6"/>
    <x v="0"/>
    <x v="2"/>
    <n v="1"/>
    <x v="10"/>
    <n v="0.30299999999999999"/>
    <n v="0.46"/>
    <n v="0.29849999999999999"/>
    <x v="5"/>
    <x v="18"/>
    <x v="132"/>
    <x v="0"/>
    <x v="0"/>
    <x v="2"/>
    <x v="1"/>
    <x v="0"/>
  </r>
  <r>
    <n v="1000"/>
    <d v="2011-02-14T00:00:00"/>
    <x v="0"/>
    <n v="0"/>
    <x v="1"/>
    <x v="7"/>
    <x v="0"/>
    <x v="2"/>
    <n v="1"/>
    <x v="10"/>
    <n v="0.30299999999999999"/>
    <n v="0.46"/>
    <n v="0.29849999999999999"/>
    <x v="4"/>
    <x v="185"/>
    <x v="95"/>
    <x v="0"/>
    <x v="0"/>
    <x v="2"/>
    <x v="1"/>
    <x v="0"/>
  </r>
</pivotCacheRecords>
</file>

<file path=xl/pivotTables/_rels/pivotTable1.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2.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3.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4.xml.rels><?xml version="1.0" encoding="UTF-8" standalone="yes"?>
<Relationships xmlns="http://schemas.openxmlformats.org/package/2006/relationships"><Relationship Id="rId1" Type="http://schemas.openxmlformats.org/officeDocument/2006/relationships/pivotCacheDefinition" Target="../pivotCache/pivotCacheDefinition2.xml"/></Relationships>
</file>

<file path=xl/pivotTables/_rels/pivotTable5.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_rels/pivotTable6.xml.rels><?xml version="1.0" encoding="UTF-8" standalone="yes"?>
<Relationships xmlns="http://schemas.openxmlformats.org/package/2006/relationships"><Relationship Id="rId1" Type="http://schemas.openxmlformats.org/officeDocument/2006/relationships/pivotCacheDefinition" Target="../pivotCache/pivotCacheDefinition1.xml"/></Relationships>
</file>

<file path=xl/pivotTables/pivotTable1.xml><?xml version="1.0" encoding="utf-8"?>
<pivotTableDefinition xmlns="http://schemas.openxmlformats.org/spreadsheetml/2006/main" xmlns:mc="http://schemas.openxmlformats.org/markup-compatibility/2006" xmlns:xr="http://schemas.microsoft.com/office/spreadsheetml/2014/revision" mc:Ignorable="xr" xr:uid="{A818A1C4-4B97-41FB-BE64-984CA6B81008}" name="PivotTable10"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1">
  <location ref="B32:C57" firstHeaderRow="1" firstDataRow="1" firstDataCol="1"/>
  <pivotFields count="21">
    <pivotField showAll="0"/>
    <pivotField numFmtId="14" showAll="0"/>
    <pivotField showAll="0"/>
    <pivotField showAll="0"/>
    <pivotField showAll="0"/>
    <pivotField axis="axisRow" showAll="0">
      <items count="25">
        <item x="0"/>
        <item x="1"/>
        <item x="2"/>
        <item x="3"/>
        <item x="4"/>
        <item x="5"/>
        <item x="6"/>
        <item x="7"/>
        <item x="8"/>
        <item x="9"/>
        <item x="10"/>
        <item x="11"/>
        <item x="12"/>
        <item x="13"/>
        <item x="14"/>
        <item x="15"/>
        <item x="16"/>
        <item x="17"/>
        <item x="18"/>
        <item x="19"/>
        <item x="20"/>
        <item x="21"/>
        <item x="22"/>
        <item x="23"/>
        <item t="default"/>
      </items>
    </pivotField>
    <pivotField showAll="0">
      <items count="3">
        <item x="0"/>
        <item x="1"/>
        <item t="default"/>
      </items>
    </pivotField>
    <pivotField showAll="0"/>
    <pivotField showAll="0"/>
    <pivotField showAll="0"/>
    <pivotField showAll="0"/>
    <pivotField showAll="0"/>
    <pivotField showAll="0"/>
    <pivotField showAll="0">
      <items count="43">
        <item x="3"/>
        <item x="5"/>
        <item x="4"/>
        <item x="0"/>
        <item x="17"/>
        <item x="2"/>
        <item x="15"/>
        <item x="18"/>
        <item x="1"/>
        <item x="14"/>
        <item x="22"/>
        <item x="16"/>
        <item x="6"/>
        <item x="23"/>
        <item x="24"/>
        <item x="13"/>
        <item x="19"/>
        <item x="26"/>
        <item x="25"/>
        <item x="21"/>
        <item x="20"/>
        <item x="27"/>
        <item x="30"/>
        <item x="29"/>
        <item x="31"/>
        <item x="7"/>
        <item x="37"/>
        <item x="32"/>
        <item x="8"/>
        <item x="36"/>
        <item x="38"/>
        <item x="28"/>
        <item x="10"/>
        <item x="11"/>
        <item x="12"/>
        <item x="35"/>
        <item x="9"/>
        <item x="33"/>
        <item x="41"/>
        <item x="34"/>
        <item x="39"/>
        <item x="40"/>
        <item t="default"/>
      </items>
    </pivotField>
    <pivotField showAll="0">
      <items count="187">
        <item x="5"/>
        <item x="4"/>
        <item x="6"/>
        <item x="35"/>
        <item x="22"/>
        <item x="34"/>
        <item x="8"/>
        <item x="7"/>
        <item x="21"/>
        <item x="33"/>
        <item x="3"/>
        <item x="48"/>
        <item x="98"/>
        <item x="0"/>
        <item x="88"/>
        <item x="89"/>
        <item x="20"/>
        <item x="19"/>
        <item x="72"/>
        <item x="23"/>
        <item x="32"/>
        <item x="144"/>
        <item x="97"/>
        <item x="140"/>
        <item x="9"/>
        <item x="18"/>
        <item x="16"/>
        <item x="2"/>
        <item x="95"/>
        <item x="31"/>
        <item x="10"/>
        <item x="17"/>
        <item x="1"/>
        <item x="39"/>
        <item x="60"/>
        <item x="96"/>
        <item x="49"/>
        <item x="53"/>
        <item x="101"/>
        <item x="87"/>
        <item x="71"/>
        <item x="40"/>
        <item x="76"/>
        <item x="30"/>
        <item x="100"/>
        <item x="108"/>
        <item x="24"/>
        <item x="12"/>
        <item x="41"/>
        <item x="47"/>
        <item x="54"/>
        <item x="82"/>
        <item x="15"/>
        <item x="42"/>
        <item x="25"/>
        <item x="11"/>
        <item x="90"/>
        <item x="77"/>
        <item x="29"/>
        <item x="79"/>
        <item x="91"/>
        <item x="124"/>
        <item x="133"/>
        <item x="36"/>
        <item x="27"/>
        <item x="65"/>
        <item x="43"/>
        <item x="28"/>
        <item x="56"/>
        <item x="94"/>
        <item x="14"/>
        <item x="13"/>
        <item x="109"/>
        <item x="26"/>
        <item x="64"/>
        <item x="102"/>
        <item x="83"/>
        <item x="99"/>
        <item x="78"/>
        <item x="55"/>
        <item x="122"/>
        <item x="38"/>
        <item x="70"/>
        <item x="93"/>
        <item x="151"/>
        <item x="66"/>
        <item x="132"/>
        <item x="61"/>
        <item x="152"/>
        <item x="121"/>
        <item x="92"/>
        <item x="164"/>
        <item x="50"/>
        <item x="139"/>
        <item x="111"/>
        <item x="73"/>
        <item x="185"/>
        <item x="106"/>
        <item x="52"/>
        <item x="176"/>
        <item x="129"/>
        <item x="143"/>
        <item x="46"/>
        <item x="145"/>
        <item x="153"/>
        <item x="159"/>
        <item x="184"/>
        <item x="128"/>
        <item x="123"/>
        <item x="63"/>
        <item x="59"/>
        <item x="180"/>
        <item x="155"/>
        <item x="182"/>
        <item x="156"/>
        <item x="168"/>
        <item x="75"/>
        <item x="118"/>
        <item x="138"/>
        <item x="178"/>
        <item x="183"/>
        <item x="170"/>
        <item x="125"/>
        <item x="85"/>
        <item x="167"/>
        <item x="69"/>
        <item x="172"/>
        <item x="110"/>
        <item x="126"/>
        <item x="149"/>
        <item x="120"/>
        <item x="113"/>
        <item x="115"/>
        <item x="112"/>
        <item x="131"/>
        <item x="116"/>
        <item x="142"/>
        <item x="44"/>
        <item x="150"/>
        <item x="45"/>
        <item x="137"/>
        <item x="166"/>
        <item x="37"/>
        <item x="105"/>
        <item x="119"/>
        <item x="117"/>
        <item x="174"/>
        <item x="81"/>
        <item x="136"/>
        <item x="80"/>
        <item x="158"/>
        <item x="68"/>
        <item x="175"/>
        <item x="162"/>
        <item x="141"/>
        <item x="157"/>
        <item x="177"/>
        <item x="104"/>
        <item x="161"/>
        <item x="51"/>
        <item x="86"/>
        <item x="58"/>
        <item x="154"/>
        <item x="160"/>
        <item x="103"/>
        <item x="67"/>
        <item x="84"/>
        <item x="62"/>
        <item x="181"/>
        <item x="165"/>
        <item x="127"/>
        <item x="114"/>
        <item x="173"/>
        <item x="57"/>
        <item x="134"/>
        <item x="147"/>
        <item x="135"/>
        <item x="179"/>
        <item x="107"/>
        <item x="74"/>
        <item x="163"/>
        <item x="148"/>
        <item x="169"/>
        <item x="146"/>
        <item x="171"/>
        <item x="130"/>
        <item t="default"/>
      </items>
    </pivotField>
    <pivotField dataField="1" showAll="0"/>
    <pivotField showAll="0">
      <items count="5">
        <item x="0"/>
        <item x="3"/>
        <item x="2"/>
        <item x="1"/>
        <item t="default"/>
      </items>
    </pivotField>
    <pivotField showAll="0"/>
    <pivotField showAll="0"/>
    <pivotField showAll="0">
      <items count="3">
        <item x="0"/>
        <item x="1"/>
        <item t="default"/>
      </items>
    </pivotField>
    <pivotField showAll="0">
      <items count="5">
        <item x="2"/>
        <item x="0"/>
        <item x="1"/>
        <item x="3"/>
        <item t="default"/>
      </items>
    </pivotField>
  </pivotFields>
  <rowFields count="1">
    <field x="5"/>
  </rowFields>
  <rowItems count="25">
    <i>
      <x/>
    </i>
    <i>
      <x v="1"/>
    </i>
    <i>
      <x v="2"/>
    </i>
    <i>
      <x v="3"/>
    </i>
    <i>
      <x v="4"/>
    </i>
    <i>
      <x v="5"/>
    </i>
    <i>
      <x v="6"/>
    </i>
    <i>
      <x v="7"/>
    </i>
    <i>
      <x v="8"/>
    </i>
    <i>
      <x v="9"/>
    </i>
    <i>
      <x v="10"/>
    </i>
    <i>
      <x v="11"/>
    </i>
    <i>
      <x v="12"/>
    </i>
    <i>
      <x v="13"/>
    </i>
    <i>
      <x v="14"/>
    </i>
    <i>
      <x v="15"/>
    </i>
    <i>
      <x v="16"/>
    </i>
    <i>
      <x v="17"/>
    </i>
    <i>
      <x v="18"/>
    </i>
    <i>
      <x v="19"/>
    </i>
    <i>
      <x v="20"/>
    </i>
    <i>
      <x v="21"/>
    </i>
    <i>
      <x v="22"/>
    </i>
    <i>
      <x v="23"/>
    </i>
    <i t="grand">
      <x/>
    </i>
  </rowItems>
  <colItems count="1">
    <i/>
  </colItems>
  <dataFields count="1">
    <dataField name="Average of cnt" fld="15" subtotal="average" baseField="5" baseItem="0"/>
  </dataFields>
  <chartFormats count="1">
    <chartFormat chart="17"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2.xml><?xml version="1.0" encoding="utf-8"?>
<pivotTableDefinition xmlns="http://schemas.openxmlformats.org/spreadsheetml/2006/main" xmlns:mc="http://schemas.openxmlformats.org/markup-compatibility/2006" xmlns:xr="http://schemas.microsoft.com/office/spreadsheetml/2014/revision" mc:Ignorable="xr" xr:uid="{158EE3B4-70DC-49B9-BEDB-00A7ABB47DEA}" name="PivotTable9"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17">
  <location ref="B29:D30" firstHeaderRow="0" firstDataRow="1" firstDataCol="0"/>
  <pivotFields count="21">
    <pivotField showAll="0"/>
    <pivotField numFmtId="14"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dataField="1" showAll="0">
      <items count="43">
        <item x="3"/>
        <item x="5"/>
        <item x="4"/>
        <item x="0"/>
        <item x="17"/>
        <item x="2"/>
        <item x="15"/>
        <item x="18"/>
        <item x="1"/>
        <item x="14"/>
        <item x="22"/>
        <item x="16"/>
        <item x="6"/>
        <item x="23"/>
        <item x="24"/>
        <item x="13"/>
        <item x="19"/>
        <item x="26"/>
        <item x="25"/>
        <item x="21"/>
        <item x="20"/>
        <item x="27"/>
        <item x="30"/>
        <item x="29"/>
        <item x="31"/>
        <item x="7"/>
        <item x="37"/>
        <item x="32"/>
        <item x="8"/>
        <item x="36"/>
        <item x="38"/>
        <item x="28"/>
        <item x="10"/>
        <item x="11"/>
        <item x="12"/>
        <item x="35"/>
        <item x="9"/>
        <item x="33"/>
        <item x="41"/>
        <item x="34"/>
        <item x="39"/>
        <item x="40"/>
        <item t="default"/>
      </items>
    </pivotField>
    <pivotField dataField="1" showAll="0">
      <items count="187">
        <item x="5"/>
        <item x="4"/>
        <item x="6"/>
        <item x="35"/>
        <item x="22"/>
        <item x="34"/>
        <item x="8"/>
        <item x="7"/>
        <item x="21"/>
        <item x="33"/>
        <item x="3"/>
        <item x="48"/>
        <item x="98"/>
        <item x="0"/>
        <item x="88"/>
        <item x="89"/>
        <item x="20"/>
        <item x="19"/>
        <item x="72"/>
        <item x="23"/>
        <item x="32"/>
        <item x="144"/>
        <item x="97"/>
        <item x="140"/>
        <item x="9"/>
        <item x="18"/>
        <item x="16"/>
        <item x="2"/>
        <item x="95"/>
        <item x="31"/>
        <item x="10"/>
        <item x="17"/>
        <item x="1"/>
        <item x="39"/>
        <item x="60"/>
        <item x="96"/>
        <item x="49"/>
        <item x="53"/>
        <item x="101"/>
        <item x="87"/>
        <item x="71"/>
        <item x="40"/>
        <item x="76"/>
        <item x="30"/>
        <item x="100"/>
        <item x="108"/>
        <item x="24"/>
        <item x="12"/>
        <item x="41"/>
        <item x="47"/>
        <item x="54"/>
        <item x="82"/>
        <item x="15"/>
        <item x="42"/>
        <item x="25"/>
        <item x="11"/>
        <item x="90"/>
        <item x="77"/>
        <item x="29"/>
        <item x="79"/>
        <item x="91"/>
        <item x="124"/>
        <item x="133"/>
        <item x="36"/>
        <item x="27"/>
        <item x="65"/>
        <item x="43"/>
        <item x="28"/>
        <item x="56"/>
        <item x="94"/>
        <item x="14"/>
        <item x="13"/>
        <item x="109"/>
        <item x="26"/>
        <item x="64"/>
        <item x="102"/>
        <item x="83"/>
        <item x="99"/>
        <item x="78"/>
        <item x="55"/>
        <item x="122"/>
        <item x="38"/>
        <item x="70"/>
        <item x="93"/>
        <item x="151"/>
        <item x="66"/>
        <item x="132"/>
        <item x="61"/>
        <item x="152"/>
        <item x="121"/>
        <item x="92"/>
        <item x="164"/>
        <item x="50"/>
        <item x="139"/>
        <item x="111"/>
        <item x="73"/>
        <item x="185"/>
        <item x="106"/>
        <item x="52"/>
        <item x="176"/>
        <item x="129"/>
        <item x="143"/>
        <item x="46"/>
        <item x="145"/>
        <item x="153"/>
        <item x="159"/>
        <item x="184"/>
        <item x="128"/>
        <item x="123"/>
        <item x="63"/>
        <item x="59"/>
        <item x="180"/>
        <item x="155"/>
        <item x="182"/>
        <item x="156"/>
        <item x="168"/>
        <item x="75"/>
        <item x="118"/>
        <item x="138"/>
        <item x="178"/>
        <item x="183"/>
        <item x="170"/>
        <item x="125"/>
        <item x="85"/>
        <item x="167"/>
        <item x="69"/>
        <item x="172"/>
        <item x="110"/>
        <item x="126"/>
        <item x="149"/>
        <item x="120"/>
        <item x="113"/>
        <item x="115"/>
        <item x="112"/>
        <item x="131"/>
        <item x="116"/>
        <item x="142"/>
        <item x="44"/>
        <item x="150"/>
        <item x="45"/>
        <item x="137"/>
        <item x="166"/>
        <item x="37"/>
        <item x="105"/>
        <item x="119"/>
        <item x="117"/>
        <item x="174"/>
        <item x="81"/>
        <item x="136"/>
        <item x="80"/>
        <item x="158"/>
        <item x="68"/>
        <item x="175"/>
        <item x="162"/>
        <item x="141"/>
        <item x="157"/>
        <item x="177"/>
        <item x="104"/>
        <item x="161"/>
        <item x="51"/>
        <item x="86"/>
        <item x="58"/>
        <item x="154"/>
        <item x="160"/>
        <item x="103"/>
        <item x="67"/>
        <item x="84"/>
        <item x="62"/>
        <item x="181"/>
        <item x="165"/>
        <item x="127"/>
        <item x="114"/>
        <item x="173"/>
        <item x="57"/>
        <item x="134"/>
        <item x="147"/>
        <item x="135"/>
        <item x="179"/>
        <item x="107"/>
        <item x="74"/>
        <item x="163"/>
        <item x="148"/>
        <item x="169"/>
        <item x="146"/>
        <item x="171"/>
        <item x="130"/>
        <item t="default"/>
      </items>
    </pivotField>
    <pivotField dataField="1" showAll="0"/>
    <pivotField showAll="0">
      <items count="5">
        <item x="0"/>
        <item x="3"/>
        <item x="2"/>
        <item x="1"/>
        <item t="default"/>
      </items>
    </pivotField>
    <pivotField showAll="0"/>
    <pivotField showAll="0"/>
    <pivotField showAll="0">
      <items count="3">
        <item x="0"/>
        <item x="1"/>
        <item t="default"/>
      </items>
    </pivotField>
    <pivotField showAll="0">
      <items count="5">
        <item x="2"/>
        <item x="0"/>
        <item x="1"/>
        <item x="3"/>
        <item t="default"/>
      </items>
    </pivotField>
  </pivotFields>
  <rowItems count="1">
    <i/>
  </rowItems>
  <colFields count="1">
    <field x="-2"/>
  </colFields>
  <colItems count="3">
    <i>
      <x/>
    </i>
    <i i="1">
      <x v="1"/>
    </i>
    <i i="2">
      <x v="2"/>
    </i>
  </colItems>
  <dataFields count="3">
    <dataField name="Sum of cnt" fld="15" baseField="0" baseItem="0"/>
    <dataField name="Sum of registered" fld="14" baseField="0" baseItem="0"/>
    <dataField name="Sum of casual" fld="13" baseField="0" baseItem="0"/>
  </dataFields>
  <chartFormats count="6">
    <chartFormat chart="13" format="0" series="1">
      <pivotArea type="data" outline="0" fieldPosition="0">
        <references count="1">
          <reference field="4294967294" count="1" selected="0">
            <x v="0"/>
          </reference>
        </references>
      </pivotArea>
    </chartFormat>
    <chartFormat chart="16" format="0" series="1">
      <pivotArea type="data" outline="0" fieldPosition="0">
        <references count="1">
          <reference field="4294967294" count="1" selected="0">
            <x v="0"/>
          </reference>
        </references>
      </pivotArea>
    </chartFormat>
    <chartFormat chart="16" format="1" series="1">
      <pivotArea type="data" outline="0" fieldPosition="0">
        <references count="1">
          <reference field="4294967294" count="1" selected="0">
            <x v="1"/>
          </reference>
        </references>
      </pivotArea>
    </chartFormat>
    <chartFormat chart="13" format="1" series="1">
      <pivotArea type="data" outline="0" fieldPosition="0">
        <references count="1">
          <reference field="4294967294" count="1" selected="0">
            <x v="1"/>
          </reference>
        </references>
      </pivotArea>
    </chartFormat>
    <chartFormat chart="16" format="2" series="1">
      <pivotArea type="data" outline="0" fieldPosition="0">
        <references count="1">
          <reference field="4294967294" count="1" selected="0">
            <x v="2"/>
          </reference>
        </references>
      </pivotArea>
    </chartFormat>
    <chartFormat chart="13" format="2" series="1">
      <pivotArea type="data" outline="0" fieldPosition="0">
        <references count="1">
          <reference field="4294967294" count="1" selected="0">
            <x v="2"/>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3.xml><?xml version="1.0" encoding="utf-8"?>
<pivotTableDefinition xmlns="http://schemas.openxmlformats.org/spreadsheetml/2006/main" xmlns:mc="http://schemas.openxmlformats.org/markup-compatibility/2006" xmlns:xr="http://schemas.microsoft.com/office/spreadsheetml/2014/revision" mc:Ignorable="xr" xr:uid="{64BCAB01-3E2B-43B1-97E6-009CFC8B625A}" name="PivotTable1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chartFormat="28">
  <location ref="F32:G40" firstHeaderRow="1" firstDataRow="1" firstDataCol="1"/>
  <pivotFields count="21">
    <pivotField showAll="0"/>
    <pivotField numFmtId="14" showAll="0"/>
    <pivotField showAll="0"/>
    <pivotField showAll="0"/>
    <pivotField showAll="0"/>
    <pivotField showAll="0"/>
    <pivotField showAll="0">
      <items count="3">
        <item x="0"/>
        <item x="1"/>
        <item t="default"/>
      </items>
    </pivotField>
    <pivotField showAll="0"/>
    <pivotField showAll="0"/>
    <pivotField showAll="0"/>
    <pivotField showAll="0"/>
    <pivotField showAll="0"/>
    <pivotField showAll="0"/>
    <pivotField showAll="0">
      <items count="43">
        <item x="3"/>
        <item x="5"/>
        <item x="4"/>
        <item x="0"/>
        <item x="17"/>
        <item x="2"/>
        <item x="15"/>
        <item x="18"/>
        <item x="1"/>
        <item x="14"/>
        <item x="22"/>
        <item x="16"/>
        <item x="6"/>
        <item x="23"/>
        <item x="24"/>
        <item x="13"/>
        <item x="19"/>
        <item x="26"/>
        <item x="25"/>
        <item x="21"/>
        <item x="20"/>
        <item x="27"/>
        <item x="30"/>
        <item x="29"/>
        <item x="31"/>
        <item x="7"/>
        <item x="37"/>
        <item x="32"/>
        <item x="8"/>
        <item x="36"/>
        <item x="38"/>
        <item x="28"/>
        <item x="10"/>
        <item x="11"/>
        <item x="12"/>
        <item x="35"/>
        <item x="9"/>
        <item x="33"/>
        <item x="41"/>
        <item x="34"/>
        <item x="39"/>
        <item x="40"/>
        <item t="default"/>
      </items>
    </pivotField>
    <pivotField showAll="0">
      <items count="187">
        <item x="5"/>
        <item x="4"/>
        <item x="6"/>
        <item x="35"/>
        <item x="22"/>
        <item x="34"/>
        <item x="8"/>
        <item x="7"/>
        <item x="21"/>
        <item x="33"/>
        <item x="3"/>
        <item x="48"/>
        <item x="98"/>
        <item x="0"/>
        <item x="88"/>
        <item x="89"/>
        <item x="20"/>
        <item x="19"/>
        <item x="72"/>
        <item x="23"/>
        <item x="32"/>
        <item x="144"/>
        <item x="97"/>
        <item x="140"/>
        <item x="9"/>
        <item x="18"/>
        <item x="16"/>
        <item x="2"/>
        <item x="95"/>
        <item x="31"/>
        <item x="10"/>
        <item x="17"/>
        <item x="1"/>
        <item x="39"/>
        <item x="60"/>
        <item x="96"/>
        <item x="49"/>
        <item x="53"/>
        <item x="101"/>
        <item x="87"/>
        <item x="71"/>
        <item x="40"/>
        <item x="76"/>
        <item x="30"/>
        <item x="100"/>
        <item x="108"/>
        <item x="24"/>
        <item x="12"/>
        <item x="41"/>
        <item x="47"/>
        <item x="54"/>
        <item x="82"/>
        <item x="15"/>
        <item x="42"/>
        <item x="25"/>
        <item x="11"/>
        <item x="90"/>
        <item x="77"/>
        <item x="29"/>
        <item x="79"/>
        <item x="91"/>
        <item x="124"/>
        <item x="133"/>
        <item x="36"/>
        <item x="27"/>
        <item x="65"/>
        <item x="43"/>
        <item x="28"/>
        <item x="56"/>
        <item x="94"/>
        <item x="14"/>
        <item x="13"/>
        <item x="109"/>
        <item x="26"/>
        <item x="64"/>
        <item x="102"/>
        <item x="83"/>
        <item x="99"/>
        <item x="78"/>
        <item x="55"/>
        <item x="122"/>
        <item x="38"/>
        <item x="70"/>
        <item x="93"/>
        <item x="151"/>
        <item x="66"/>
        <item x="132"/>
        <item x="61"/>
        <item x="152"/>
        <item x="121"/>
        <item x="92"/>
        <item x="164"/>
        <item x="50"/>
        <item x="139"/>
        <item x="111"/>
        <item x="73"/>
        <item x="185"/>
        <item x="106"/>
        <item x="52"/>
        <item x="176"/>
        <item x="129"/>
        <item x="143"/>
        <item x="46"/>
        <item x="145"/>
        <item x="153"/>
        <item x="159"/>
        <item x="184"/>
        <item x="128"/>
        <item x="123"/>
        <item x="63"/>
        <item x="59"/>
        <item x="180"/>
        <item x="155"/>
        <item x="182"/>
        <item x="156"/>
        <item x="168"/>
        <item x="75"/>
        <item x="118"/>
        <item x="138"/>
        <item x="178"/>
        <item x="183"/>
        <item x="170"/>
        <item x="125"/>
        <item x="85"/>
        <item x="167"/>
        <item x="69"/>
        <item x="172"/>
        <item x="110"/>
        <item x="126"/>
        <item x="149"/>
        <item x="120"/>
        <item x="113"/>
        <item x="115"/>
        <item x="112"/>
        <item x="131"/>
        <item x="116"/>
        <item x="142"/>
        <item x="44"/>
        <item x="150"/>
        <item x="45"/>
        <item x="137"/>
        <item x="166"/>
        <item x="37"/>
        <item x="105"/>
        <item x="119"/>
        <item x="117"/>
        <item x="174"/>
        <item x="81"/>
        <item x="136"/>
        <item x="80"/>
        <item x="158"/>
        <item x="68"/>
        <item x="175"/>
        <item x="162"/>
        <item x="141"/>
        <item x="157"/>
        <item x="177"/>
        <item x="104"/>
        <item x="161"/>
        <item x="51"/>
        <item x="86"/>
        <item x="58"/>
        <item x="154"/>
        <item x="160"/>
        <item x="103"/>
        <item x="67"/>
        <item x="84"/>
        <item x="62"/>
        <item x="181"/>
        <item x="165"/>
        <item x="127"/>
        <item x="114"/>
        <item x="173"/>
        <item x="57"/>
        <item x="134"/>
        <item x="147"/>
        <item x="135"/>
        <item x="179"/>
        <item x="107"/>
        <item x="74"/>
        <item x="163"/>
        <item x="148"/>
        <item x="169"/>
        <item x="146"/>
        <item x="171"/>
        <item x="130"/>
        <item t="default"/>
      </items>
    </pivotField>
    <pivotField dataField="1" showAll="0"/>
    <pivotField showAll="0">
      <items count="5">
        <item x="0"/>
        <item x="3"/>
        <item x="2"/>
        <item x="1"/>
        <item t="default"/>
      </items>
    </pivotField>
    <pivotField showAll="0"/>
    <pivotField axis="axisRow" showAll="0">
      <items count="8">
        <item x="2"/>
        <item x="3"/>
        <item x="4"/>
        <item x="5"/>
        <item x="6"/>
        <item x="0"/>
        <item x="1"/>
        <item t="default"/>
      </items>
    </pivotField>
    <pivotField showAll="0">
      <items count="3">
        <item x="0"/>
        <item x="1"/>
        <item t="default"/>
      </items>
    </pivotField>
    <pivotField showAll="0">
      <items count="5">
        <item x="2"/>
        <item x="0"/>
        <item x="1"/>
        <item x="3"/>
        <item t="default"/>
      </items>
    </pivotField>
  </pivotFields>
  <rowFields count="1">
    <field x="18"/>
  </rowFields>
  <rowItems count="8">
    <i>
      <x/>
    </i>
    <i>
      <x v="1"/>
    </i>
    <i>
      <x v="2"/>
    </i>
    <i>
      <x v="3"/>
    </i>
    <i>
      <x v="4"/>
    </i>
    <i>
      <x v="5"/>
    </i>
    <i>
      <x v="6"/>
    </i>
    <i t="grand">
      <x/>
    </i>
  </rowItems>
  <colItems count="1">
    <i/>
  </colItems>
  <dataFields count="1">
    <dataField name="Sum of cnt" fld="15" baseField="0" baseItem="0"/>
  </dataFields>
  <chartFormats count="1">
    <chartFormat chart="25" format="0" series="1">
      <pivotArea type="data" outline="0" fieldPosition="0">
        <references count="1">
          <reference field="4294967294" count="1" selected="0">
            <x v="0"/>
          </reference>
        </references>
      </pivotArea>
    </chartFormat>
  </chartFormat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4.xml><?xml version="1.0" encoding="utf-8"?>
<pivotTableDefinition xmlns="http://schemas.openxmlformats.org/spreadsheetml/2006/main" xmlns:mc="http://schemas.openxmlformats.org/markup-compatibility/2006" xmlns:xr="http://schemas.microsoft.com/office/spreadsheetml/2014/revision" mc:Ignorable="xr" xr:uid="{DF48CF35-F3F4-47B6-AE3E-30B3A7284075}" name="PivotTable10" cacheId="5"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13" firstHeaderRow="1" firstDataRow="1" firstDataCol="1"/>
  <pivotFields count="3">
    <pivotField axis="axisRow" allDrilled="1" subtotalTop="0" showAll="0" dataSourceSort="1" defaultSubtotal="0" defaultAttributeDrillState="1">
      <items count="2">
        <item x="0"/>
        <item x="1"/>
      </items>
    </pivotField>
    <pivotField axis="axisRow" allDrilled="1" subtotalTop="0" showAll="0" dataSourceSort="1" defaultSubtotal="0" defaultAttributeDrillState="1">
      <items count="4">
        <item x="0"/>
        <item x="1"/>
        <item x="2"/>
        <item x="3"/>
      </items>
    </pivotField>
    <pivotField dataField="1" subtotalTop="0" showAll="0" defaultSubtotal="0"/>
  </pivotFields>
  <rowFields count="2">
    <field x="0"/>
    <field x="1"/>
  </rowFields>
  <rowItems count="10">
    <i>
      <x/>
    </i>
    <i r="1">
      <x/>
    </i>
    <i r="1">
      <x v="1"/>
    </i>
    <i r="1">
      <x v="2"/>
    </i>
    <i>
      <x v="1"/>
    </i>
    <i r="1">
      <x/>
    </i>
    <i r="1">
      <x v="3"/>
    </i>
    <i r="1">
      <x v="1"/>
    </i>
    <i r="1">
      <x v="2"/>
    </i>
    <i t="grand">
      <x/>
    </i>
  </rowItems>
  <colItems count="1">
    <i/>
  </colItems>
  <dataFields count="1">
    <dataField name="Sum of cnt" fld="2" baseField="0" baseItem="0"/>
  </dataFields>
  <pivotHierarchies count="29">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Data="1"/>
    <pivotHierarchy dragToRow="0" dragToCol="0" dragToPage="0" dragToData="1"/>
    <pivotHierarchy dragToRow="0" dragToCol="0" dragToPage="0" dragToData="1"/>
    <pivotHierarchy dragToData="1"/>
    <pivotHierarchy dragToData="1"/>
    <pivotHierarchy dragToData="1"/>
    <pivotHierarchy dragToData="1"/>
    <pivotHierarchy dragToData="1" caption="Sum of cnt"/>
    <pivotHierarchy dragToData="1" caption="Average of cnt"/>
    <pivotHierarchy dragToData="1"/>
  </pivotHierarchies>
  <pivotTableStyleInfo name="PivotStyleLight16" showRowHeaders="1" showColHeaders="1" showRowStripes="0" showColStripes="0" showLastColumn="1"/>
  <rowHierarchiesUsage count="2">
    <rowHierarchyUsage hierarchyUsage="19"/>
    <rowHierarchyUsage hierarchyUsage="16"/>
  </rowHierarchiesUsage>
  <extLst>
    <ext xmlns:x14="http://schemas.microsoft.com/office/spreadsheetml/2009/9/main" uri="{962EF5D1-5CA2-4c93-8EF4-DBF5C05439D2}">
      <x14:pivotTableDefinition xmlns:xm="http://schemas.microsoft.com/office/excel/2006/main" calculatedMembersInFilters="1" hideValuesRow="1"/>
    </ext>
    <ext xmlns:x15="http://schemas.microsoft.com/office/spreadsheetml/2010/11/main" uri="{E67621CE-5B39-4880-91FE-76760E9C1902}">
      <x15:pivotTableUISettings sourceDataName="WorksheetConnection_dataset append.xlsx!Append1">
        <x15:activeTabTopLevelEntity name="[Append1]"/>
      </x15:pivotTableUISettings>
    </ext>
    <ext xmlns:xpdl="http://schemas.microsoft.com/office/spreadsheetml/2016/pivotdefaultlayout" uri="{747A6164-185A-40DC-8AA5-F01512510D54}">
      <xpdl:pivotTableDefinition16 EnabledSubtotalsDefault="0" SubtotalsOnTopDefault="0"/>
    </ext>
  </extLst>
</pivotTableDefinition>
</file>

<file path=xl/pivotTables/pivotTable5.xml><?xml version="1.0" encoding="utf-8"?>
<pivotTableDefinition xmlns="http://schemas.openxmlformats.org/spreadsheetml/2006/main" xmlns:mc="http://schemas.openxmlformats.org/markup-compatibility/2006" xmlns:xr="http://schemas.microsoft.com/office/spreadsheetml/2014/revision" mc:Ignorable="xr" xr:uid="{3CB6B53F-E3DF-43D5-8DEF-FABEE5B13506}" name="PivotTable8"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B6" firstHeaderRow="1" firstDataRow="1" firstDataCol="1"/>
  <pivotFields count="21">
    <pivotField showAll="0"/>
    <pivotField numFmtId="14" showAll="0"/>
    <pivotField showAll="0"/>
    <pivotField showAll="0"/>
    <pivotField showAll="0"/>
    <pivotField showAll="0"/>
    <pivotField axis="axisRow" showAll="0">
      <items count="3">
        <item x="0"/>
        <item x="1"/>
        <item t="default"/>
      </items>
    </pivotField>
    <pivotField showAll="0"/>
    <pivotField showAll="0"/>
    <pivotField showAll="0"/>
    <pivotField showAll="0"/>
    <pivotField showAll="0"/>
    <pivotField showAll="0"/>
    <pivotField showAll="0"/>
    <pivotField showAll="0"/>
    <pivotField dataField="1" showAll="0"/>
    <pivotField showAll="0"/>
    <pivotField showAll="0"/>
    <pivotField showAll="0"/>
    <pivotField showAll="0"/>
    <pivotField showAll="0"/>
  </pivotFields>
  <rowFields count="1">
    <field x="6"/>
  </rowFields>
  <rowItems count="3">
    <i>
      <x/>
    </i>
    <i>
      <x v="1"/>
    </i>
    <i t="grand">
      <x/>
    </i>
  </rowItems>
  <colItems count="1">
    <i/>
  </colItems>
  <dataFields count="1">
    <dataField name="Sum of cnt" fld="15"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pivotTables/pivotTable6.xml><?xml version="1.0" encoding="utf-8"?>
<pivotTableDefinition xmlns="http://schemas.openxmlformats.org/spreadsheetml/2006/main" xmlns:mc="http://schemas.openxmlformats.org/markup-compatibility/2006" xmlns:xr="http://schemas.microsoft.com/office/spreadsheetml/2014/revision" mc:Ignorable="xr" xr:uid="{B61F6ECB-1CB6-49F0-9EEA-9699C8FB7134}" name="PivotTable1" cacheId="4" applyNumberFormats="0" applyBorderFormats="0" applyFontFormats="0" applyPatternFormats="0" applyAlignmentFormats="0" applyWidthHeightFormats="1" dataCaption="Values" updatedVersion="8" minRefreshableVersion="3" useAutoFormatting="1" itemPrintTitles="1" createdVersion="8" indent="0" outline="1" outlineData="1" multipleFieldFilters="0">
  <location ref="A3:C11" firstHeaderRow="0" firstDataRow="1" firstDataCol="1"/>
  <pivotFields count="21">
    <pivotField showAll="0"/>
    <pivotField numFmtId="14" showAll="0"/>
    <pivotField showAll="0"/>
    <pivotField showAll="0"/>
    <pivotField showAll="0"/>
    <pivotField showAll="0"/>
    <pivotField showAll="0"/>
    <pivotField showAll="0"/>
    <pivotField showAll="0"/>
    <pivotField showAll="0"/>
    <pivotField showAll="0"/>
    <pivotField showAll="0"/>
    <pivotField showAll="0"/>
    <pivotField dataField="1" showAll="0"/>
    <pivotField dataField="1" showAll="0"/>
    <pivotField showAll="0"/>
    <pivotField showAll="0"/>
    <pivotField showAll="0"/>
    <pivotField axis="axisRow" showAll="0">
      <items count="8">
        <item x="2"/>
        <item x="3"/>
        <item x="4"/>
        <item x="5"/>
        <item x="6"/>
        <item x="0"/>
        <item x="1"/>
        <item t="default"/>
      </items>
    </pivotField>
    <pivotField showAll="0"/>
    <pivotField showAll="0"/>
  </pivotFields>
  <rowFields count="1">
    <field x="18"/>
  </rowFields>
  <rowItems count="8">
    <i>
      <x/>
    </i>
    <i>
      <x v="1"/>
    </i>
    <i>
      <x v="2"/>
    </i>
    <i>
      <x v="3"/>
    </i>
    <i>
      <x v="4"/>
    </i>
    <i>
      <x v="5"/>
    </i>
    <i>
      <x v="6"/>
    </i>
    <i t="grand">
      <x/>
    </i>
  </rowItems>
  <colFields count="1">
    <field x="-2"/>
  </colFields>
  <colItems count="2">
    <i>
      <x/>
    </i>
    <i i="1">
      <x v="1"/>
    </i>
  </colItems>
  <dataFields count="2">
    <dataField name="Sum of casual" fld="13" baseField="0" baseItem="0"/>
    <dataField name="Sum of registered" fld="14" baseField="0" baseItem="0"/>
  </dataFields>
  <pivotTableStyleInfo name="PivotStyleLight16" showRowHeaders="1" showColHeaders="1" showRowStripes="0" showColStripes="0" showLastColumn="1"/>
  <extLst>
    <ext xmlns:x14="http://schemas.microsoft.com/office/spreadsheetml/2009/9/main" uri="{962EF5D1-5CA2-4c93-8EF4-DBF5C05439D2}">
      <x14:pivotTableDefinition xmlns:xm="http://schemas.microsoft.com/office/excel/2006/main" hideValuesRow="1"/>
    </ext>
    <ext xmlns:xpdl="http://schemas.microsoft.com/office/spreadsheetml/2016/pivotdefaultlayout" uri="{747A6164-185A-40DC-8AA5-F01512510D54}">
      <xpdl:pivotTableDefinition16/>
    </ext>
  </extLst>
</pivotTableDefinition>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4" connectionId="2" xr16:uid="{3FA020C5-F42D-4819-809A-32602D8050F6}" autoFormatId="16" applyNumberFormats="0" applyBorderFormats="0" applyFontFormats="0" applyPatternFormats="0" applyAlignmentFormats="0" applyWidthHeightFormats="0">
  <queryTableRefresh nextId="38" unboundColumnsRight="5">
    <queryTableFields count="22">
      <queryTableField id="1" name="instant" tableColumnId="1"/>
      <queryTableField id="2" name="dteday" tableColumnId="2"/>
      <queryTableField id="3" name="season" tableColumnId="3"/>
      <queryTableField id="4" name="yr" tableColumnId="4"/>
      <queryTableField id="5" name="mnth" tableColumnId="5"/>
      <queryTableField id="6" name="hr" tableColumnId="6"/>
      <queryTableField id="7" name="holiday" tableColumnId="7"/>
      <queryTableField id="8" name="weekday" tableColumnId="8"/>
      <queryTableField id="9" name="weathersit" tableColumnId="9"/>
      <queryTableField id="10" name="temp" tableColumnId="10"/>
      <queryTableField id="29" dataBound="0" tableColumnId="18"/>
      <queryTableField id="12" name="atemp" tableColumnId="12"/>
      <queryTableField id="13" name="hum" tableColumnId="13"/>
      <queryTableField id="14" name="windspeed" tableColumnId="14"/>
      <queryTableField id="15" name="casual" tableColumnId="15"/>
      <queryTableField id="16" name="registered" tableColumnId="16"/>
      <queryTableField id="17" name="cnt" tableColumnId="17"/>
      <queryTableField id="21" dataBound="0" tableColumnId="20"/>
      <queryTableField id="22" dataBound="0" tableColumnId="21"/>
      <queryTableField id="25" dataBound="0" tableColumnId="24"/>
      <queryTableField id="26" dataBound="0" tableColumnId="25"/>
      <queryTableField id="27" dataBound="0" tableColumnId="11"/>
    </queryTableFields>
    <queryTableDeletedFields count="1">
      <deletedField name="Unnamed: 0"/>
    </queryTableDeleted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backgroundRefresh="0" connectionId="1" xr16:uid="{63482FD5-877A-46B8-9668-9BC5D542F629}" autoFormatId="16" applyNumberFormats="0" applyBorderFormats="0" applyFontFormats="0" applyPatternFormats="0" applyAlignmentFormats="0" applyWidthHeightFormats="0">
  <queryTableRefresh nextId="21">
    <queryTableFields count="20">
      <queryTableField id="1" name="Append1[instant]" tableColumnId="1"/>
      <queryTableField id="2" name="Append1[dteday]" tableColumnId="2"/>
      <queryTableField id="3" name="Append1[season]" tableColumnId="3"/>
      <queryTableField id="4" name="Append1[yr]" tableColumnId="4"/>
      <queryTableField id="5" name="Append1[mnth]" tableColumnId="5"/>
      <queryTableField id="6" name="Append1[hr]" tableColumnId="6"/>
      <queryTableField id="7" name="Append1[holiday]" tableColumnId="7"/>
      <queryTableField id="8" name="Append1[weekday]" tableColumnId="8"/>
      <queryTableField id="9" name="Append1[weathersit]" tableColumnId="9"/>
      <queryTableField id="10" name="Append1[temp]" tableColumnId="10"/>
      <queryTableField id="11" name="Append1[atemp]" tableColumnId="11"/>
      <queryTableField id="12" name="Append1[hum]" tableColumnId="12"/>
      <queryTableField id="13" name="Append1[windspeed]" tableColumnId="13"/>
      <queryTableField id="14" name="Append1[casual]" tableColumnId="14"/>
      <queryTableField id="15" name="Append1[registered]" tableColumnId="15"/>
      <queryTableField id="16" name="Append1[cnt]" tableColumnId="16"/>
      <queryTableField id="17" name="Append1[Weather_Desc]" tableColumnId="17"/>
      <queryTableField id="18" name="Append1[Season Name]" tableColumnId="18"/>
      <queryTableField id="19" name="Append1[Day Of Week]" tableColumnId="19"/>
      <queryTableField id="20" name="Append1[Month]" tableColumnId="20"/>
    </queryTableFields>
  </queryTableRefresh>
  <extLst>
    <ext xmlns:x15="http://schemas.microsoft.com/office/spreadsheetml/2010/11/main" uri="{883FBD77-0823-4a55-B5E3-86C4891E6966}">
      <x15:queryTable drillThrough="1"/>
    </ext>
  </extLst>
</queryTable>
</file>

<file path=xl/slicerCaches/slicerCache1.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_Desc" xr10:uid="{28084BB5-2657-401E-9C41-8F33F70114F6}" sourceName="Weather_Desc">
  <pivotTables>
    <pivotTable tabId="15" name="PivotTable10"/>
    <pivotTable tabId="15" name="PivotTable11"/>
    <pivotTable tabId="15" name="PivotTable9"/>
  </pivotTables>
  <data>
    <tabular pivotCacheId="691605705">
      <items count="4">
        <i x="0" s="1"/>
        <i x="3" s="1"/>
        <i x="2" s="1"/>
        <i x="1" s="1"/>
      </items>
    </tabular>
  </data>
</slicerCacheDefinition>
</file>

<file path=xl/slicerCaches/slicerCache2.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Month" xr10:uid="{1E70B27D-16A3-4D51-94CA-91078093E4C5}" sourceName="Month ">
  <pivotTables>
    <pivotTable tabId="15" name="PivotTable10"/>
    <pivotTable tabId="15" name="PivotTable11"/>
    <pivotTable tabId="15" name="PivotTable9"/>
  </pivotTables>
  <data>
    <tabular pivotCacheId="691605705">
      <items count="2">
        <i x="0" s="1"/>
        <i x="1" s="1"/>
      </items>
    </tabular>
  </data>
</slicerCacheDefinition>
</file>

<file path=xl/slicerCaches/slicerCache3.xml><?xml version="1.0" encoding="utf-8"?>
<slicerCacheDefinition xmlns="http://schemas.microsoft.com/office/spreadsheetml/2009/9/main" xmlns:mc="http://schemas.openxmlformats.org/markup-compatibility/2006" xmlns:x="http://schemas.openxmlformats.org/spreadsheetml/2006/main" xmlns:xr10="http://schemas.microsoft.com/office/spreadsheetml/2016/revision10" mc:Ignorable="x xr10" name="Slicer_Weathersit2" xr10:uid="{17E0169A-4466-434D-B0DD-D57DA6959CFF}" sourceName="Weathersit2">
  <pivotTables>
    <pivotTable tabId="15" name="PivotTable10"/>
    <pivotTable tabId="15" name="PivotTable11"/>
    <pivotTable tabId="15" name="PivotTable9"/>
  </pivotTables>
  <data>
    <tabular pivotCacheId="691605705">
      <items count="4">
        <i x="2" s="1"/>
        <i x="0" s="1"/>
        <i x="1" s="1"/>
        <i x="3" s="1"/>
      </items>
    </tabular>
  </data>
</slicerCacheDefinition>
</file>

<file path=xl/slicers/slicer1.xml><?xml version="1.0" encoding="utf-8"?>
<slicers xmlns="http://schemas.microsoft.com/office/spreadsheetml/2009/9/main" xmlns:mc="http://schemas.openxmlformats.org/markup-compatibility/2006" xmlns:x="http://schemas.openxmlformats.org/spreadsheetml/2006/main" xmlns:xr10="http://schemas.microsoft.com/office/spreadsheetml/2016/revision10" mc:Ignorable="x xr10">
  <slicer name="Weather_Desc" xr10:uid="{F18A3322-ABD8-4004-81B1-710A4D589BD3}" cache="Slicer_Weather_Desc" caption="Weather_Desc" rowHeight="234950"/>
  <slicer name="Month " xr10:uid="{5F6A60C3-6815-4F86-AF20-6952FE10317E}" cache="Slicer_Month" caption="Month " rowHeight="234950"/>
  <slicer name="Weathersit2" xr10:uid="{02B34086-883B-43C2-B182-E43EA1E02241}" cache="Slicer_Weathersit2" caption="Weathersit2" rowHeight="234950"/>
</slicers>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46822580-403B-4EC6-AB72-004A66929E0B}" name="Append1" displayName="Append1" ref="A1:V1002" tableType="queryTable" totalsRowCount="1">
  <autoFilter ref="A1:V1001" xr:uid="{46822580-403B-4EC6-AB72-004A66929E0B}"/>
  <tableColumns count="22">
    <tableColumn id="1" xr3:uid="{5DEAA0C6-21EB-476B-9A04-CA46B5C242B2}" uniqueName="1" name="instant" queryTableFieldId="1"/>
    <tableColumn id="2" xr3:uid="{5CE2E898-12F3-4C95-B157-487EB4F5A8A8}" uniqueName="2" name="dteday" queryTableFieldId="2" dataDxfId="9" totalsRowDxfId="0"/>
    <tableColumn id="3" xr3:uid="{2CF99E17-FFBB-41C0-8327-8B250018BFBE}" uniqueName="3" name="season" queryTableFieldId="3"/>
    <tableColumn id="4" xr3:uid="{130852E9-D13F-4962-A515-EA32B396463B}" uniqueName="4" name="yr" queryTableFieldId="4"/>
    <tableColumn id="5" xr3:uid="{11A6EF2F-2CF7-4AD0-8273-F0DB7C0ED8DB}" uniqueName="5" name="mnth" queryTableFieldId="5"/>
    <tableColumn id="6" xr3:uid="{CCB5EFAE-C717-4BD5-9BF3-4E02D004C0B6}" uniqueName="6" name="hr" queryTableFieldId="6"/>
    <tableColumn id="7" xr3:uid="{5BB4E0B5-6C03-448D-AE62-CF02CA949B34}" uniqueName="7" name="holiday" queryTableFieldId="7"/>
    <tableColumn id="8" xr3:uid="{7E902595-5DBC-4B6A-BE2B-867E3995895E}" uniqueName="8" name="weekday" queryTableFieldId="8"/>
    <tableColumn id="9" xr3:uid="{0C583F9B-BCA9-4A32-B4D1-878E63439EFE}" uniqueName="9" name="weathersit" queryTableFieldId="9"/>
    <tableColumn id="10" xr3:uid="{BDA82D00-697F-4788-B076-02E024D783BA}" uniqueName="10" name="temp" queryTableFieldId="10"/>
    <tableColumn id="18" xr3:uid="{242DFC66-7C1F-4F4F-8AAC-872E978DE218}" uniqueName="18" name="Temp." queryTableFieldId="29" dataDxfId="8">
      <calculatedColumnFormula>Append1[[#This Row],[temp]]*100</calculatedColumnFormula>
    </tableColumn>
    <tableColumn id="12" xr3:uid="{8C71FA99-F3B0-48A0-A3DE-E644AD64DA73}" uniqueName="12" name="atemp" queryTableFieldId="12"/>
    <tableColumn id="13" xr3:uid="{6DF2B1FA-7C90-4837-9734-8FE6D4E46687}" uniqueName="13" name="hum" queryTableFieldId="13"/>
    <tableColumn id="14" xr3:uid="{8E12B29D-4257-4911-BE6F-568864952755}" uniqueName="14" name="windspeed" queryTableFieldId="14"/>
    <tableColumn id="15" xr3:uid="{216D294C-EDE6-4F7D-AC6B-E999452F6803}" uniqueName="15" name="casual" queryTableFieldId="15"/>
    <tableColumn id="16" xr3:uid="{5D3639A5-F6C2-49E1-8E29-5F6F715CCA2D}" uniqueName="16" name="registered" queryTableFieldId="16"/>
    <tableColumn id="17" xr3:uid="{AA7435A5-930B-40E6-A5ED-0DDAAD8CD056}" uniqueName="17" name="cnt" queryTableFieldId="17"/>
    <tableColumn id="20" xr3:uid="{DBF3D6CD-FCEE-405B-BE3D-D61A50E031A8}" uniqueName="20" name="Weather_Desc" queryTableFieldId="21" dataDxfId="7">
      <calculatedColumnFormula>_xlfn.IFS(I2=1,"Clear/Few Clouds",I2=2,"Mist/Cloudy",I2=3,"Light Rain/Snow",I2=4,"Heavy Rain/Snow")</calculatedColumnFormula>
    </tableColumn>
    <tableColumn id="21" xr3:uid="{1E5E11A4-3054-4AE7-853D-CA3515391BFE}" uniqueName="21" name="Season Name" queryTableFieldId="22" dataDxfId="6">
      <calculatedColumnFormula>_xlfn.IFS(C2=1,"Winter",C2=2,"Spring",C2=3,"Summer",C2=4,"Autumn")</calculatedColumnFormula>
    </tableColumn>
    <tableColumn id="24" xr3:uid="{03B047DE-9D37-4CBA-AC12-D6FDF20E08CE}" uniqueName="24" name="Day Of Week" queryTableFieldId="25" dataDxfId="5">
      <calculatedColumnFormula>TEXT(B2,"dddd")</calculatedColumnFormula>
    </tableColumn>
    <tableColumn id="25" xr3:uid="{8AEC9616-36D6-4EAF-B214-B47002367B87}" uniqueName="25" name="Month " queryTableFieldId="26" dataDxfId="4">
      <calculatedColumnFormula>TEXT(B2,"mmmm")</calculatedColumnFormula>
    </tableColumn>
    <tableColumn id="11" xr3:uid="{69832EF5-1FA3-46A2-8BB1-D5C150450BA1}" uniqueName="11" name="Weather Status" queryTableFieldId="27" dataDxfId="3">
      <calculatedColumnFormula>_xlfn.IFS(I2=1,"GOOD",I2=2,"MODERATE",I2=3,"BAD",I2=4,"WORSE")</calculatedColumnFormula>
    </tableColumn>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428CA27-F9C1-4AA4-8ADE-626FF68F9DAF}" name="Table3" displayName="Table3" ref="A3:U1003" totalsRowShown="0">
  <autoFilter ref="A3:U1003" xr:uid="{C428CA27-F9C1-4AA4-8ADE-626FF68F9DAF}"/>
  <tableColumns count="21">
    <tableColumn id="1" xr3:uid="{74781746-8269-47D5-962E-2D2610018730}" name="instant"/>
    <tableColumn id="2" xr3:uid="{9F1792B7-D068-4AC7-9726-E1065BEEDFB0}" name="dteday" dataDxfId="2"/>
    <tableColumn id="3" xr3:uid="{5ADBE31E-6D4A-466A-856B-187491E8C237}" name="season"/>
    <tableColumn id="4" xr3:uid="{70E6C78E-4189-45D2-8477-FF8342F377F9}" name="yr"/>
    <tableColumn id="5" xr3:uid="{7D516697-3E4C-4016-B87F-2BDEB54A5161}" name="mnth"/>
    <tableColumn id="6" xr3:uid="{09F205C4-FAF8-4DC5-883A-E87BAB0152E5}" name="hr"/>
    <tableColumn id="7" xr3:uid="{57CABA88-BF1F-4D93-AC0A-99952FDF1036}" name="holiday"/>
    <tableColumn id="8" xr3:uid="{633FCCED-AAB9-45D6-8D9B-F649CB5A447A}" name="weekday"/>
    <tableColumn id="9" xr3:uid="{044584B2-FC2D-48C8-81EB-8A0C9277E93F}" name="weathersit"/>
    <tableColumn id="10" xr3:uid="{17E62314-C19D-4270-A32A-36A72D78E1B3}" name="temp"/>
    <tableColumn id="11" xr3:uid="{B5E49D8C-AD98-4725-B2AC-5F0CEE80F199}" name="atemp"/>
    <tableColumn id="12" xr3:uid="{F9FFB426-AB5F-4B09-9EBA-22CB3DE5AC55}" name="hum"/>
    <tableColumn id="13" xr3:uid="{4BB7A484-2DBA-4725-B8B2-D38A01196472}" name="windspeed"/>
    <tableColumn id="14" xr3:uid="{ADF0E3F5-B00E-4FB1-914A-E8576141BEC6}" name="casual"/>
    <tableColumn id="15" xr3:uid="{5165EE88-1D93-4A13-8560-35A53FFBFD38}" name="registered"/>
    <tableColumn id="16" xr3:uid="{687D8290-43AD-4299-981D-BACF941CA653}" name="cnt"/>
    <tableColumn id="17" xr3:uid="{C703910A-057D-41A9-9BD9-85243E7D23D1}" name="Weather_Desc"/>
    <tableColumn id="18" xr3:uid="{80087990-54A6-4A73-A0F0-2E0A61265AF2}" name="Season Name"/>
    <tableColumn id="19" xr3:uid="{CE1960EB-3E74-45AD-9099-ECDDCA259EC5}" name="Day Of Week"/>
    <tableColumn id="20" xr3:uid="{DEDA059C-6255-4942-BB70-10AB7F9222A6}" name="Month "/>
    <tableColumn id="21" xr3:uid="{6D62C752-7174-44BB-BE76-0A2F57E531D3}" name="Weathersit2"/>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11D86A9-AF27-4A50-B372-419587C13248}" name="Table_ExternalData_1" displayName="Table_ExternalData_1" ref="A3:T38" tableType="queryTable" totalsRowShown="0">
  <autoFilter ref="A3:T38" xr:uid="{D11D86A9-AF27-4A50-B372-419587C13248}"/>
  <tableColumns count="20">
    <tableColumn id="1" xr3:uid="{DA0110A8-DEE7-4526-90E1-1487409BFD2D}" uniqueName="1" name="Append1[instant]" queryTableFieldId="1"/>
    <tableColumn id="2" xr3:uid="{F9F92596-7E5D-45BC-86DF-50E01B33A5DE}" uniqueName="2" name="Append1[dteday]" queryTableFieldId="2" dataDxfId="1"/>
    <tableColumn id="3" xr3:uid="{236F3B04-FC12-4801-AFEA-E08A4E3E4A76}" uniqueName="3" name="Append1[season]" queryTableFieldId="3"/>
    <tableColumn id="4" xr3:uid="{9CA11570-7591-4482-AFF6-1772FD055B66}" uniqueName="4" name="Append1[yr]" queryTableFieldId="4"/>
    <tableColumn id="5" xr3:uid="{EE0C4E0E-EE41-4FD1-BAA9-C900F8B401CE}" uniqueName="5" name="Append1[mnth]" queryTableFieldId="5"/>
    <tableColumn id="6" xr3:uid="{2D3871E0-E0CC-4A01-B92F-F066A00E8536}" uniqueName="6" name="Append1[hr]" queryTableFieldId="6"/>
    <tableColumn id="7" xr3:uid="{7F1D82D7-F2B8-4556-831A-62BDA149060B}" uniqueName="7" name="Append1[holiday]" queryTableFieldId="7"/>
    <tableColumn id="8" xr3:uid="{B4644E78-04DE-4319-B508-387B2CA022CB}" uniqueName="8" name="Append1[weekday]" queryTableFieldId="8"/>
    <tableColumn id="9" xr3:uid="{FEE76F63-306D-4B59-B8F4-ECF5E20268D1}" uniqueName="9" name="Append1[weathersit]" queryTableFieldId="9"/>
    <tableColumn id="10" xr3:uid="{07272D89-0D28-42E3-9C98-0EA0C7BF41E1}" uniqueName="10" name="Append1[temp]" queryTableFieldId="10"/>
    <tableColumn id="11" xr3:uid="{B8BD16E2-3B81-4720-A418-92228212B215}" uniqueName="11" name="Append1[atemp]" queryTableFieldId="11"/>
    <tableColumn id="12" xr3:uid="{FEB8C3D9-5E1D-4009-A0C7-5F2C8F6AF942}" uniqueName="12" name="Append1[hum]" queryTableFieldId="12"/>
    <tableColumn id="13" xr3:uid="{B7140D56-6074-4186-89B2-408CF53872FE}" uniqueName="13" name="Append1[windspeed]" queryTableFieldId="13"/>
    <tableColumn id="14" xr3:uid="{6210A037-7622-4303-A7BF-DF51D2EB76E7}" uniqueName="14" name="Append1[casual]" queryTableFieldId="14"/>
    <tableColumn id="15" xr3:uid="{7D7C9494-4A14-4130-95F3-7B92CBB2325A}" uniqueName="15" name="Append1[registered]" queryTableFieldId="15"/>
    <tableColumn id="16" xr3:uid="{180458C8-3A13-4D0A-ACCB-C27B727E2E9B}" uniqueName="16" name="Append1[cnt]" queryTableFieldId="16"/>
    <tableColumn id="17" xr3:uid="{1CF195C8-8E4F-47DE-8CF8-442210C01C26}" uniqueName="17" name="Append1[Weather_Desc]" queryTableFieldId="17"/>
    <tableColumn id="18" xr3:uid="{F568132F-C2CA-4DCA-9BCB-3E26527D2D8D}" uniqueName="18" name="Append1[Season Name]" queryTableFieldId="18"/>
    <tableColumn id="19" xr3:uid="{07DCCAFD-E0EF-45D8-9E71-49C819D604B7}" uniqueName="19" name="Append1[Day Of Week]" queryTableFieldId="19"/>
    <tableColumn id="20" xr3:uid="{9E3D06A4-5EC3-40E1-925D-9410952C7CE4}" uniqueName="20" name="Append1[Month]" queryTableFieldId="20"/>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3" Type="http://schemas.openxmlformats.org/officeDocument/2006/relationships/pivotTable" Target="../pivotTables/pivotTable3.xml"/><Relationship Id="rId2" Type="http://schemas.openxmlformats.org/officeDocument/2006/relationships/pivotTable" Target="../pivotTables/pivotTable2.xml"/><Relationship Id="rId1" Type="http://schemas.openxmlformats.org/officeDocument/2006/relationships/pivotTable" Target="../pivotTables/pivotTable1.xml"/><Relationship Id="rId5" Type="http://schemas.microsoft.com/office/2007/relationships/slicer" Target="../slicers/slicer1.x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1" Type="http://schemas.openxmlformats.org/officeDocument/2006/relationships/pivotTable" Target="../pivotTables/pivotTable4.xml"/></Relationships>
</file>

<file path=xl/worksheets/_rels/sheet6.xml.rels><?xml version="1.0" encoding="UTF-8" standalone="yes"?>
<Relationships xmlns="http://schemas.openxmlformats.org/package/2006/relationships"><Relationship Id="rId1" Type="http://schemas.openxmlformats.org/officeDocument/2006/relationships/pivotTable" Target="../pivotTables/pivotTable5.xml"/></Relationships>
</file>

<file path=xl/worksheets/_rels/sheet7.xml.rels><?xml version="1.0" encoding="UTF-8" standalone="yes"?>
<Relationships xmlns="http://schemas.openxmlformats.org/package/2006/relationships"><Relationship Id="rId1" Type="http://schemas.openxmlformats.org/officeDocument/2006/relationships/pivotTable" Target="../pivotTables/pivot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2.xml"/></Relationships>
</file>

<file path=xl/worksheets/_rels/sheet9.xml.rels><?xml version="1.0" encoding="UTF-8" standalone="yes"?>
<Relationships xmlns="http://schemas.openxmlformats.org/package/2006/relationships"><Relationship Id="rId1" Type="http://schemas.openxmlformats.org/officeDocument/2006/relationships/table" Target="../tables/table3.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A3F647-0D2C-4F8F-8C15-C4B82F55292B}">
  <sheetPr codeName="Sheet9"/>
  <dimension ref="A1:AD1002"/>
  <sheetViews>
    <sheetView tabSelected="1" topLeftCell="E1" workbookViewId="0">
      <selection activeCell="V3" sqref="V3"/>
    </sheetView>
  </sheetViews>
  <sheetFormatPr defaultRowHeight="14.4" x14ac:dyDescent="0.3"/>
  <cols>
    <col min="1" max="1" width="9" bestFit="1" customWidth="1"/>
    <col min="2" max="2" width="10.33203125" bestFit="1" customWidth="1"/>
    <col min="3" max="3" width="9" bestFit="1" customWidth="1"/>
    <col min="5" max="5" width="7.77734375" bestFit="1" customWidth="1"/>
    <col min="7" max="7" width="11.44140625" customWidth="1"/>
    <col min="8" max="8" width="11" customWidth="1"/>
    <col min="9" max="9" width="12" bestFit="1" customWidth="1"/>
    <col min="10" max="10" width="7.6640625" bestFit="1" customWidth="1"/>
    <col min="11" max="11" width="7.6640625" customWidth="1"/>
    <col min="12" max="12" width="8.6640625" bestFit="1" customWidth="1"/>
    <col min="13" max="13" width="7.109375" bestFit="1" customWidth="1"/>
    <col min="14" max="14" width="12.33203125" bestFit="1" customWidth="1"/>
    <col min="15" max="15" width="8.44140625" bestFit="1" customWidth="1"/>
    <col min="16" max="16" width="11.5546875" bestFit="1" customWidth="1"/>
    <col min="17" max="17" width="6" bestFit="1" customWidth="1"/>
    <col min="18" max="18" width="15.33203125" bestFit="1" customWidth="1"/>
    <col min="19" max="19" width="12.44140625" bestFit="1" customWidth="1"/>
    <col min="20" max="20" width="11.88671875" bestFit="1" customWidth="1"/>
    <col min="22" max="22" width="15.5546875" customWidth="1"/>
    <col min="28" max="28" width="9.88671875" bestFit="1" customWidth="1"/>
  </cols>
  <sheetData>
    <row r="1" spans="1:30" ht="15" thickBot="1" x14ac:dyDescent="0.35">
      <c r="A1" t="s">
        <v>0</v>
      </c>
      <c r="B1" t="s">
        <v>1</v>
      </c>
      <c r="C1" t="s">
        <v>2</v>
      </c>
      <c r="D1" t="s">
        <v>3</v>
      </c>
      <c r="E1" t="s">
        <v>4</v>
      </c>
      <c r="F1" t="s">
        <v>5</v>
      </c>
      <c r="G1" t="s">
        <v>6</v>
      </c>
      <c r="H1" t="s">
        <v>7</v>
      </c>
      <c r="I1" t="s">
        <v>8</v>
      </c>
      <c r="J1" t="s">
        <v>9</v>
      </c>
      <c r="K1" t="s">
        <v>61</v>
      </c>
      <c r="L1" t="s">
        <v>10</v>
      </c>
      <c r="M1" t="s">
        <v>11</v>
      </c>
      <c r="N1" t="s">
        <v>12</v>
      </c>
      <c r="O1" t="s">
        <v>13</v>
      </c>
      <c r="P1" t="s">
        <v>14</v>
      </c>
      <c r="Q1" t="s">
        <v>15</v>
      </c>
      <c r="R1" s="13" t="s">
        <v>16</v>
      </c>
      <c r="S1" s="14" t="s">
        <v>19</v>
      </c>
      <c r="T1" s="15" t="s">
        <v>20</v>
      </c>
      <c r="U1" t="s">
        <v>21</v>
      </c>
      <c r="V1" s="16" t="s">
        <v>68</v>
      </c>
    </row>
    <row r="2" spans="1:30" ht="15" thickBot="1" x14ac:dyDescent="0.35">
      <c r="A2">
        <v>1</v>
      </c>
      <c r="B2" s="1">
        <v>40544</v>
      </c>
      <c r="C2">
        <v>1</v>
      </c>
      <c r="D2">
        <v>0</v>
      </c>
      <c r="E2">
        <v>1</v>
      </c>
      <c r="F2">
        <v>0</v>
      </c>
      <c r="G2" t="b">
        <f>IF(COUNTIF(AB$4:AB$20,Append1[[#This Row],[dteday]]) &gt; 0, TRUE, FALSE)</f>
        <v>1</v>
      </c>
      <c r="H2">
        <v>6</v>
      </c>
      <c r="I2">
        <v>1</v>
      </c>
      <c r="J2">
        <v>0.24</v>
      </c>
      <c r="K2">
        <f>Append1[[#This Row],[temp]]*100</f>
        <v>24</v>
      </c>
      <c r="L2">
        <v>0.28789999999999999</v>
      </c>
      <c r="M2">
        <v>0.81</v>
      </c>
      <c r="N2">
        <v>0</v>
      </c>
      <c r="O2">
        <v>3</v>
      </c>
      <c r="P2">
        <v>13</v>
      </c>
      <c r="Q2">
        <f>Append1[[#This Row],[registered]]+Append1[[#This Row],[casual]]</f>
        <v>16</v>
      </c>
      <c r="R2" s="12" t="str">
        <f t="shared" ref="R2:R65" si="0">_xlfn.IFS(I2=1,"Clear/Few Clouds",I2=2,"Mist/Cloudy",I2=3,"Light Rain/Snow",I2=4,"Heavy Rain/Snow")</f>
        <v>Clear/Few Clouds</v>
      </c>
      <c r="S2" s="14" t="str">
        <f t="shared" ref="S2:S65" si="1">_xlfn.IFS(C2=1,"Winter",C2=2,"Spring",C2=3,"Summer",C2=4,"Autumn")</f>
        <v>Winter</v>
      </c>
      <c r="T2" s="15" t="str">
        <f>TEXT(B2,"dddd")</f>
        <v>Saturday</v>
      </c>
      <c r="U2" t="str">
        <f>TEXT(B2,"mmmm")</f>
        <v>January</v>
      </c>
      <c r="V2" s="16" t="str">
        <f>_xlfn.IFS(I2=1,"GOOD",I2=2,"MODERATE",I2=3,"BAD",I2=4,"WORSE")</f>
        <v>GOOD</v>
      </c>
      <c r="AB2" s="24" t="s">
        <v>76</v>
      </c>
      <c r="AC2" s="25"/>
      <c r="AD2" s="26"/>
    </row>
    <row r="3" spans="1:30" ht="28.8" x14ac:dyDescent="0.3">
      <c r="A3">
        <v>2</v>
      </c>
      <c r="B3" s="1">
        <v>40544</v>
      </c>
      <c r="C3">
        <v>1</v>
      </c>
      <c r="D3">
        <v>0</v>
      </c>
      <c r="E3">
        <v>1</v>
      </c>
      <c r="F3">
        <v>1</v>
      </c>
      <c r="G3" t="b">
        <f>IF(COUNTIF(AB$4:AB$20,Append1[[#This Row],[dteday]]) &gt; 0, TRUE, FALSE)</f>
        <v>1</v>
      </c>
      <c r="H3">
        <v>6</v>
      </c>
      <c r="I3">
        <v>1</v>
      </c>
      <c r="J3">
        <v>0.22</v>
      </c>
      <c r="K3">
        <f>Append1[[#This Row],[temp]]*100</f>
        <v>22</v>
      </c>
      <c r="L3">
        <v>0.2727</v>
      </c>
      <c r="M3">
        <v>0.8</v>
      </c>
      <c r="N3">
        <v>0</v>
      </c>
      <c r="O3">
        <v>8</v>
      </c>
      <c r="P3">
        <v>32</v>
      </c>
      <c r="Q3">
        <v>40</v>
      </c>
      <c r="R3" s="12" t="str">
        <f>_xlfn.IFS(I3=1,"Clear/Few Clouds",I3=2,"Mist/Cloudy",I3=3,"Light Rain/Snow",I3=4,"Heavy Rain/Snow")</f>
        <v>Clear/Few Clouds</v>
      </c>
      <c r="S3" s="14" t="str">
        <f>_xlfn.IFS(C3=1,"Winter",C3=2,"Spring",C3=3,"Summer",C3=4,"Autumn")</f>
        <v>Winter</v>
      </c>
      <c r="T3" s="15" t="str">
        <f t="shared" ref="T3:T65" si="2">TEXT(B3,"dddd")</f>
        <v>Saturday</v>
      </c>
      <c r="U3" t="str">
        <f t="shared" ref="U3:U65" si="3">TEXT(B3,"mmmm")</f>
        <v>January</v>
      </c>
      <c r="V3" s="16" t="str">
        <f t="shared" ref="V3:V65" si="4">_xlfn.IFS(I3=1,"GOOD",I3=2,"MODERATE",I3=3,"BAD",I3=4,"WORSE")</f>
        <v>GOOD</v>
      </c>
      <c r="AB3" s="19" t="s">
        <v>77</v>
      </c>
      <c r="AC3" s="19" t="s">
        <v>55</v>
      </c>
      <c r="AD3" s="19" t="s">
        <v>78</v>
      </c>
    </row>
    <row r="4" spans="1:30" ht="43.2" x14ac:dyDescent="0.3">
      <c r="A4">
        <v>3</v>
      </c>
      <c r="B4" s="1">
        <v>40544</v>
      </c>
      <c r="C4">
        <v>1</v>
      </c>
      <c r="D4">
        <v>0</v>
      </c>
      <c r="E4">
        <v>1</v>
      </c>
      <c r="F4">
        <v>2</v>
      </c>
      <c r="G4" t="b">
        <f>IF(COUNTIF(AB$4:AB$20,Append1[[#This Row],[dteday]]) &gt; 0, TRUE, FALSE)</f>
        <v>1</v>
      </c>
      <c r="H4">
        <v>6</v>
      </c>
      <c r="I4">
        <v>1</v>
      </c>
      <c r="J4">
        <v>0.22</v>
      </c>
      <c r="K4">
        <f>Append1[[#This Row],[temp]]*100</f>
        <v>22</v>
      </c>
      <c r="L4">
        <v>0.2727</v>
      </c>
      <c r="M4">
        <v>0.8</v>
      </c>
      <c r="N4">
        <v>0</v>
      </c>
      <c r="O4">
        <v>5</v>
      </c>
      <c r="P4">
        <v>27</v>
      </c>
      <c r="Q4">
        <v>32</v>
      </c>
      <c r="R4" s="12" t="str">
        <f t="shared" si="0"/>
        <v>Clear/Few Clouds</v>
      </c>
      <c r="S4" s="14" t="str">
        <f t="shared" si="1"/>
        <v>Winter</v>
      </c>
      <c r="T4" s="15" t="str">
        <f t="shared" si="2"/>
        <v>Saturday</v>
      </c>
      <c r="U4" t="str">
        <f t="shared" si="3"/>
        <v>January</v>
      </c>
      <c r="V4" s="16" t="str">
        <f t="shared" si="4"/>
        <v>GOOD</v>
      </c>
      <c r="AB4" s="20">
        <v>40544</v>
      </c>
      <c r="AC4" s="21" t="s">
        <v>24</v>
      </c>
      <c r="AD4" s="21" t="s">
        <v>79</v>
      </c>
    </row>
    <row r="5" spans="1:30" ht="28.8" x14ac:dyDescent="0.3">
      <c r="A5">
        <v>4</v>
      </c>
      <c r="B5" s="1">
        <v>40544</v>
      </c>
      <c r="C5">
        <v>1</v>
      </c>
      <c r="D5">
        <v>0</v>
      </c>
      <c r="E5">
        <v>1</v>
      </c>
      <c r="F5">
        <v>3</v>
      </c>
      <c r="G5" t="b">
        <f>IF(COUNTIF(AB$4:AB$20,Append1[[#This Row],[dteday]]) &gt; 0, TRUE, FALSE)</f>
        <v>1</v>
      </c>
      <c r="H5">
        <v>6</v>
      </c>
      <c r="I5">
        <v>1</v>
      </c>
      <c r="J5">
        <v>0.24</v>
      </c>
      <c r="K5">
        <f>Append1[[#This Row],[temp]]*100</f>
        <v>24</v>
      </c>
      <c r="L5">
        <v>0.28789999999999999</v>
      </c>
      <c r="M5">
        <v>0.75</v>
      </c>
      <c r="N5">
        <v>0</v>
      </c>
      <c r="O5">
        <v>3</v>
      </c>
      <c r="P5">
        <v>10</v>
      </c>
      <c r="Q5">
        <v>13</v>
      </c>
      <c r="R5" s="12" t="str">
        <f t="shared" si="0"/>
        <v>Clear/Few Clouds</v>
      </c>
      <c r="S5" s="14" t="str">
        <f t="shared" si="1"/>
        <v>Winter</v>
      </c>
      <c r="T5" s="15" t="str">
        <f t="shared" si="2"/>
        <v>Saturday</v>
      </c>
      <c r="U5" t="str">
        <f t="shared" si="3"/>
        <v>January</v>
      </c>
      <c r="V5" s="16" t="str">
        <f t="shared" si="4"/>
        <v>GOOD</v>
      </c>
      <c r="AB5" s="20">
        <v>40569</v>
      </c>
      <c r="AC5" s="21" t="s">
        <v>28</v>
      </c>
      <c r="AD5" s="21" t="s">
        <v>80</v>
      </c>
    </row>
    <row r="6" spans="1:30" x14ac:dyDescent="0.3">
      <c r="A6">
        <v>5</v>
      </c>
      <c r="B6" s="1">
        <v>40544</v>
      </c>
      <c r="C6">
        <v>1</v>
      </c>
      <c r="D6">
        <v>0</v>
      </c>
      <c r="E6">
        <v>1</v>
      </c>
      <c r="F6">
        <v>4</v>
      </c>
      <c r="G6" t="b">
        <f>IF(COUNTIF(AB$4:AB$20,Append1[[#This Row],[dteday]]) &gt; 0, TRUE, FALSE)</f>
        <v>1</v>
      </c>
      <c r="H6">
        <v>6</v>
      </c>
      <c r="I6">
        <v>1</v>
      </c>
      <c r="J6">
        <v>0.24</v>
      </c>
      <c r="K6">
        <f>Append1[[#This Row],[temp]]*100</f>
        <v>24</v>
      </c>
      <c r="L6">
        <v>0.28789999999999999</v>
      </c>
      <c r="M6">
        <v>0.75</v>
      </c>
      <c r="N6">
        <v>0</v>
      </c>
      <c r="O6">
        <v>0</v>
      </c>
      <c r="P6">
        <v>1</v>
      </c>
      <c r="Q6">
        <v>1</v>
      </c>
      <c r="R6" s="12" t="str">
        <f t="shared" si="0"/>
        <v>Clear/Few Clouds</v>
      </c>
      <c r="S6" s="14" t="str">
        <f t="shared" si="1"/>
        <v>Winter</v>
      </c>
      <c r="T6" s="15" t="str">
        <f t="shared" si="2"/>
        <v>Saturday</v>
      </c>
      <c r="U6" t="str">
        <f t="shared" si="3"/>
        <v>January</v>
      </c>
      <c r="V6" s="16" t="str">
        <f t="shared" si="4"/>
        <v>GOOD</v>
      </c>
      <c r="AB6" s="20">
        <v>40617</v>
      </c>
      <c r="AC6" s="21" t="s">
        <v>27</v>
      </c>
      <c r="AD6" s="21" t="s">
        <v>81</v>
      </c>
    </row>
    <row r="7" spans="1:30" ht="28.8" x14ac:dyDescent="0.3">
      <c r="A7">
        <v>6</v>
      </c>
      <c r="B7" s="1">
        <v>40544</v>
      </c>
      <c r="C7">
        <v>1</v>
      </c>
      <c r="D7">
        <v>0</v>
      </c>
      <c r="E7">
        <v>1</v>
      </c>
      <c r="F7">
        <v>5</v>
      </c>
      <c r="G7" t="b">
        <f>IF(COUNTIF(AB$4:AB$20,Append1[[#This Row],[dteday]]) &gt; 0, TRUE, FALSE)</f>
        <v>1</v>
      </c>
      <c r="H7">
        <v>6</v>
      </c>
      <c r="I7">
        <v>2</v>
      </c>
      <c r="J7">
        <v>0.24</v>
      </c>
      <c r="K7">
        <f>Append1[[#This Row],[temp]]*100</f>
        <v>24</v>
      </c>
      <c r="L7">
        <v>0.2576</v>
      </c>
      <c r="M7">
        <v>0.75</v>
      </c>
      <c r="N7">
        <v>8.9599999999999999E-2</v>
      </c>
      <c r="O7">
        <v>0</v>
      </c>
      <c r="P7">
        <v>1</v>
      </c>
      <c r="Q7">
        <v>1</v>
      </c>
      <c r="R7" s="12" t="str">
        <f t="shared" si="0"/>
        <v>Mist/Cloudy</v>
      </c>
      <c r="S7" s="14" t="str">
        <f t="shared" si="1"/>
        <v>Winter</v>
      </c>
      <c r="T7" s="15" t="str">
        <f t="shared" si="2"/>
        <v>Saturday</v>
      </c>
      <c r="U7" t="str">
        <f t="shared" si="3"/>
        <v>January</v>
      </c>
      <c r="V7" s="16" t="str">
        <f t="shared" si="4"/>
        <v>MODERATE</v>
      </c>
      <c r="AB7" s="20">
        <v>40641</v>
      </c>
      <c r="AC7" s="21" t="s">
        <v>22</v>
      </c>
      <c r="AD7" s="21" t="s">
        <v>82</v>
      </c>
    </row>
    <row r="8" spans="1:30" ht="28.8" x14ac:dyDescent="0.3">
      <c r="A8">
        <v>7</v>
      </c>
      <c r="B8" s="1">
        <v>40544</v>
      </c>
      <c r="C8">
        <v>1</v>
      </c>
      <c r="D8">
        <v>0</v>
      </c>
      <c r="E8">
        <v>1</v>
      </c>
      <c r="F8">
        <v>6</v>
      </c>
      <c r="G8" t="b">
        <f>IF(COUNTIF(AB$4:AB$20,Append1[[#This Row],[dteday]]) &gt; 0, TRUE, FALSE)</f>
        <v>1</v>
      </c>
      <c r="H8">
        <v>6</v>
      </c>
      <c r="I8">
        <v>1</v>
      </c>
      <c r="J8">
        <v>0.22</v>
      </c>
      <c r="K8">
        <f>Append1[[#This Row],[temp]]*100</f>
        <v>22</v>
      </c>
      <c r="L8">
        <v>0.2727</v>
      </c>
      <c r="M8">
        <v>0.8</v>
      </c>
      <c r="N8">
        <v>0</v>
      </c>
      <c r="O8">
        <v>2</v>
      </c>
      <c r="P8">
        <v>0</v>
      </c>
      <c r="Q8">
        <v>2</v>
      </c>
      <c r="R8" s="12" t="str">
        <f t="shared" si="0"/>
        <v>Clear/Few Clouds</v>
      </c>
      <c r="S8" s="14" t="str">
        <f t="shared" si="1"/>
        <v>Winter</v>
      </c>
      <c r="T8" s="15" t="str">
        <f t="shared" si="2"/>
        <v>Saturday</v>
      </c>
      <c r="U8" t="str">
        <f t="shared" si="3"/>
        <v>January</v>
      </c>
      <c r="V8" s="16" t="str">
        <f t="shared" si="4"/>
        <v>GOOD</v>
      </c>
      <c r="AB8" s="20">
        <v>40650</v>
      </c>
      <c r="AC8" s="21" t="s">
        <v>25</v>
      </c>
      <c r="AD8" s="21" t="s">
        <v>83</v>
      </c>
    </row>
    <row r="9" spans="1:30" ht="28.8" x14ac:dyDescent="0.3">
      <c r="A9">
        <v>8</v>
      </c>
      <c r="B9" s="1">
        <v>40544</v>
      </c>
      <c r="C9">
        <v>1</v>
      </c>
      <c r="D9">
        <v>0</v>
      </c>
      <c r="E9">
        <v>1</v>
      </c>
      <c r="F9">
        <v>7</v>
      </c>
      <c r="G9" t="b">
        <f>IF(COUNTIF(AB$4:AB$20,Append1[[#This Row],[dteday]]) &gt; 0, TRUE, FALSE)</f>
        <v>1</v>
      </c>
      <c r="H9">
        <v>6</v>
      </c>
      <c r="I9">
        <v>1</v>
      </c>
      <c r="J9">
        <v>0.2</v>
      </c>
      <c r="K9">
        <f>Append1[[#This Row],[temp]]*100</f>
        <v>20</v>
      </c>
      <c r="L9">
        <v>0.2576</v>
      </c>
      <c r="M9">
        <v>0.86</v>
      </c>
      <c r="N9">
        <v>0</v>
      </c>
      <c r="O9">
        <v>1</v>
      </c>
      <c r="P9">
        <v>2</v>
      </c>
      <c r="Q9">
        <v>3</v>
      </c>
      <c r="R9" s="12" t="str">
        <f t="shared" si="0"/>
        <v>Clear/Few Clouds</v>
      </c>
      <c r="S9" s="14" t="str">
        <f t="shared" si="1"/>
        <v>Winter</v>
      </c>
      <c r="T9" s="15" t="str">
        <f t="shared" si="2"/>
        <v>Saturday</v>
      </c>
      <c r="U9" t="str">
        <f t="shared" si="3"/>
        <v>January</v>
      </c>
      <c r="V9" s="16" t="str">
        <f t="shared" si="4"/>
        <v>GOOD</v>
      </c>
      <c r="AB9" s="20">
        <v>40655</v>
      </c>
      <c r="AC9" s="21" t="s">
        <v>22</v>
      </c>
      <c r="AD9" s="21" t="s">
        <v>84</v>
      </c>
    </row>
    <row r="10" spans="1:30" ht="43.2" x14ac:dyDescent="0.3">
      <c r="A10">
        <v>9</v>
      </c>
      <c r="B10" s="1">
        <v>40544</v>
      </c>
      <c r="C10">
        <v>1</v>
      </c>
      <c r="D10">
        <v>0</v>
      </c>
      <c r="E10">
        <v>1</v>
      </c>
      <c r="F10">
        <v>8</v>
      </c>
      <c r="G10" t="b">
        <f>IF(COUNTIF(AB$4:AB$20,Append1[[#This Row],[dteday]]) &gt; 0, TRUE, FALSE)</f>
        <v>1</v>
      </c>
      <c r="H10">
        <v>6</v>
      </c>
      <c r="I10">
        <v>1</v>
      </c>
      <c r="J10">
        <v>0.24</v>
      </c>
      <c r="K10">
        <f>Append1[[#This Row],[temp]]*100</f>
        <v>24</v>
      </c>
      <c r="M10">
        <v>0.75</v>
      </c>
      <c r="N10">
        <v>0</v>
      </c>
      <c r="O10">
        <v>1</v>
      </c>
      <c r="P10">
        <v>7</v>
      </c>
      <c r="Q10">
        <v>8</v>
      </c>
      <c r="R10" s="12" t="str">
        <f t="shared" si="0"/>
        <v>Clear/Few Clouds</v>
      </c>
      <c r="S10" s="14" t="str">
        <f t="shared" si="1"/>
        <v>Winter</v>
      </c>
      <c r="T10" s="15" t="str">
        <f t="shared" si="2"/>
        <v>Saturday</v>
      </c>
      <c r="U10" t="str">
        <f t="shared" si="3"/>
        <v>January</v>
      </c>
      <c r="V10" s="16" t="str">
        <f t="shared" si="4"/>
        <v>GOOD</v>
      </c>
      <c r="AB10" s="20">
        <v>40664</v>
      </c>
      <c r="AC10" s="21" t="s">
        <v>25</v>
      </c>
      <c r="AD10" s="21" t="s">
        <v>85</v>
      </c>
    </row>
    <row r="11" spans="1:30" ht="28.8" x14ac:dyDescent="0.3">
      <c r="A11">
        <v>10</v>
      </c>
      <c r="B11" s="1">
        <v>40544</v>
      </c>
      <c r="C11">
        <v>1</v>
      </c>
      <c r="D11">
        <v>0</v>
      </c>
      <c r="E11">
        <v>1</v>
      </c>
      <c r="F11">
        <v>9</v>
      </c>
      <c r="G11" t="b">
        <f>IF(COUNTIF(AB$4:AB$20,Append1[[#This Row],[dteday]]) &gt; 0, TRUE, FALSE)</f>
        <v>1</v>
      </c>
      <c r="H11">
        <v>6</v>
      </c>
      <c r="I11">
        <v>1</v>
      </c>
      <c r="J11">
        <v>0.32</v>
      </c>
      <c r="K11">
        <f>Append1[[#This Row],[temp]]*100</f>
        <v>32</v>
      </c>
      <c r="L11">
        <v>0.34849999999999998</v>
      </c>
      <c r="M11">
        <v>0.76</v>
      </c>
      <c r="N11">
        <v>0</v>
      </c>
      <c r="O11">
        <v>8</v>
      </c>
      <c r="P11">
        <v>6</v>
      </c>
      <c r="Q11">
        <v>14</v>
      </c>
      <c r="R11" s="12" t="str">
        <f t="shared" si="0"/>
        <v>Clear/Few Clouds</v>
      </c>
      <c r="S11" s="14" t="str">
        <f t="shared" si="1"/>
        <v>Winter</v>
      </c>
      <c r="T11" s="15" t="str">
        <f t="shared" si="2"/>
        <v>Saturday</v>
      </c>
      <c r="U11" t="str">
        <f t="shared" si="3"/>
        <v>January</v>
      </c>
      <c r="V11" s="16" t="str">
        <f t="shared" si="4"/>
        <v>GOOD</v>
      </c>
      <c r="AB11" s="20">
        <v>40770</v>
      </c>
      <c r="AC11" s="21" t="s">
        <v>23</v>
      </c>
      <c r="AD11" s="21" t="s">
        <v>86</v>
      </c>
    </row>
    <row r="12" spans="1:30" ht="28.8" x14ac:dyDescent="0.3">
      <c r="A12">
        <v>11</v>
      </c>
      <c r="B12" s="1">
        <v>40544</v>
      </c>
      <c r="C12">
        <v>1</v>
      </c>
      <c r="D12">
        <v>0</v>
      </c>
      <c r="E12">
        <v>1</v>
      </c>
      <c r="F12">
        <v>10</v>
      </c>
      <c r="G12" t="b">
        <f>IF(COUNTIF(AB$4:AB$20,Append1[[#This Row],[dteday]]) &gt; 0, TRUE, FALSE)</f>
        <v>1</v>
      </c>
      <c r="H12">
        <v>6</v>
      </c>
      <c r="I12">
        <v>1</v>
      </c>
      <c r="J12">
        <v>0.38</v>
      </c>
      <c r="K12">
        <f>Append1[[#This Row],[temp]]*100</f>
        <v>38</v>
      </c>
      <c r="L12">
        <v>0.39389999999999997</v>
      </c>
      <c r="M12">
        <v>0.76</v>
      </c>
      <c r="N12">
        <v>0.25369999999999998</v>
      </c>
      <c r="O12">
        <v>12</v>
      </c>
      <c r="P12">
        <v>24</v>
      </c>
      <c r="Q12">
        <v>36</v>
      </c>
      <c r="R12" s="12" t="str">
        <f t="shared" si="0"/>
        <v>Clear/Few Clouds</v>
      </c>
      <c r="S12" s="14" t="str">
        <f t="shared" si="1"/>
        <v>Winter</v>
      </c>
      <c r="T12" s="15" t="str">
        <f t="shared" si="2"/>
        <v>Saturday</v>
      </c>
      <c r="U12" t="str">
        <f t="shared" si="3"/>
        <v>January</v>
      </c>
      <c r="V12" s="16" t="str">
        <f t="shared" si="4"/>
        <v>GOOD</v>
      </c>
      <c r="AB12" s="20">
        <v>40777</v>
      </c>
      <c r="AC12" s="21" t="s">
        <v>23</v>
      </c>
      <c r="AD12" s="21" t="s">
        <v>87</v>
      </c>
    </row>
    <row r="13" spans="1:30" ht="43.2" x14ac:dyDescent="0.3">
      <c r="A13">
        <v>12</v>
      </c>
      <c r="B13" s="1">
        <v>40544</v>
      </c>
      <c r="C13">
        <v>1</v>
      </c>
      <c r="D13">
        <v>0</v>
      </c>
      <c r="E13">
        <v>1</v>
      </c>
      <c r="F13">
        <v>11</v>
      </c>
      <c r="G13" t="b">
        <f>IF(COUNTIF(AB$4:AB$20,Append1[[#This Row],[dteday]]) &gt; 0, TRUE, FALSE)</f>
        <v>1</v>
      </c>
      <c r="H13">
        <v>6</v>
      </c>
      <c r="I13">
        <v>1</v>
      </c>
      <c r="J13">
        <v>0.36</v>
      </c>
      <c r="K13">
        <f>Append1[[#This Row],[temp]]*100</f>
        <v>36</v>
      </c>
      <c r="L13">
        <v>0.33329999999999999</v>
      </c>
      <c r="M13">
        <v>0.81</v>
      </c>
      <c r="N13">
        <v>0.28360000000000002</v>
      </c>
      <c r="O13">
        <v>26</v>
      </c>
      <c r="P13">
        <v>30</v>
      </c>
      <c r="Q13">
        <v>56</v>
      </c>
      <c r="R13" s="12" t="str">
        <f t="shared" si="0"/>
        <v>Clear/Few Clouds</v>
      </c>
      <c r="S13" s="14" t="str">
        <f t="shared" si="1"/>
        <v>Winter</v>
      </c>
      <c r="T13" s="15" t="str">
        <f t="shared" si="2"/>
        <v>Saturday</v>
      </c>
      <c r="U13" t="str">
        <f t="shared" si="3"/>
        <v>January</v>
      </c>
      <c r="V13" s="16" t="str">
        <f t="shared" si="4"/>
        <v>GOOD</v>
      </c>
      <c r="AB13" s="20">
        <v>40786</v>
      </c>
      <c r="AC13" s="21" t="s">
        <v>28</v>
      </c>
      <c r="AD13" s="21" t="s">
        <v>88</v>
      </c>
    </row>
    <row r="14" spans="1:30" ht="28.8" x14ac:dyDescent="0.3">
      <c r="A14">
        <v>13</v>
      </c>
      <c r="B14" s="1">
        <v>40544</v>
      </c>
      <c r="C14">
        <v>1</v>
      </c>
      <c r="D14">
        <v>0</v>
      </c>
      <c r="E14">
        <v>1</v>
      </c>
      <c r="F14">
        <v>12</v>
      </c>
      <c r="G14" t="b">
        <f>IF(COUNTIF(AB$4:AB$20,Append1[[#This Row],[dteday]]) &gt; 0, TRUE, FALSE)</f>
        <v>1</v>
      </c>
      <c r="H14">
        <v>6</v>
      </c>
      <c r="I14">
        <v>1</v>
      </c>
      <c r="J14">
        <v>0.42</v>
      </c>
      <c r="K14">
        <f>Append1[[#This Row],[temp]]*100</f>
        <v>42</v>
      </c>
      <c r="L14">
        <v>0.42420000000000002</v>
      </c>
      <c r="M14">
        <v>0.77</v>
      </c>
      <c r="N14">
        <v>0.28360000000000002</v>
      </c>
      <c r="O14">
        <v>29</v>
      </c>
      <c r="P14">
        <v>55</v>
      </c>
      <c r="Q14">
        <v>84</v>
      </c>
      <c r="R14" s="12" t="str">
        <f t="shared" si="0"/>
        <v>Clear/Few Clouds</v>
      </c>
      <c r="S14" s="14" t="str">
        <f t="shared" si="1"/>
        <v>Winter</v>
      </c>
      <c r="T14" s="15" t="str">
        <f t="shared" si="2"/>
        <v>Saturday</v>
      </c>
      <c r="U14" t="str">
        <f t="shared" si="3"/>
        <v>January</v>
      </c>
      <c r="V14" s="16" t="str">
        <f t="shared" si="4"/>
        <v>GOOD</v>
      </c>
      <c r="AB14" s="20">
        <v>40818</v>
      </c>
      <c r="AC14" s="21" t="s">
        <v>25</v>
      </c>
      <c r="AD14" s="21" t="s">
        <v>89</v>
      </c>
    </row>
    <row r="15" spans="1:30" ht="43.2" x14ac:dyDescent="0.3">
      <c r="A15">
        <v>14</v>
      </c>
      <c r="B15" s="1">
        <v>40544</v>
      </c>
      <c r="C15">
        <v>1</v>
      </c>
      <c r="D15">
        <v>0</v>
      </c>
      <c r="E15">
        <v>1</v>
      </c>
      <c r="F15">
        <v>13</v>
      </c>
      <c r="G15" t="b">
        <f>IF(COUNTIF(AB$4:AB$20,Append1[[#This Row],[dteday]]) &gt; 0, TRUE, FALSE)</f>
        <v>1</v>
      </c>
      <c r="H15">
        <v>6</v>
      </c>
      <c r="I15">
        <v>2</v>
      </c>
      <c r="J15">
        <v>0.46</v>
      </c>
      <c r="K15">
        <f>Append1[[#This Row],[temp]]*100</f>
        <v>46</v>
      </c>
      <c r="L15">
        <v>0.45450000000000002</v>
      </c>
      <c r="M15">
        <v>0.72</v>
      </c>
      <c r="N15">
        <v>0.29849999999999999</v>
      </c>
      <c r="O15">
        <v>47</v>
      </c>
      <c r="P15">
        <v>47</v>
      </c>
      <c r="Q15">
        <v>94</v>
      </c>
      <c r="R15" s="12" t="str">
        <f t="shared" si="0"/>
        <v>Mist/Cloudy</v>
      </c>
      <c r="S15" s="14" t="str">
        <f t="shared" si="1"/>
        <v>Winter</v>
      </c>
      <c r="T15" s="15" t="str">
        <f t="shared" si="2"/>
        <v>Saturday</v>
      </c>
      <c r="U15" t="str">
        <f t="shared" si="3"/>
        <v>January</v>
      </c>
      <c r="V15" s="16" t="str">
        <f t="shared" si="4"/>
        <v>MODERATE</v>
      </c>
      <c r="AB15" s="20">
        <v>40822</v>
      </c>
      <c r="AC15" s="21" t="s">
        <v>26</v>
      </c>
      <c r="AD15" s="21" t="s">
        <v>90</v>
      </c>
    </row>
    <row r="16" spans="1:30" ht="43.2" x14ac:dyDescent="0.3">
      <c r="A16">
        <v>15</v>
      </c>
      <c r="B16" s="1">
        <v>40544</v>
      </c>
      <c r="C16">
        <v>1</v>
      </c>
      <c r="D16">
        <v>0</v>
      </c>
      <c r="E16">
        <v>1</v>
      </c>
      <c r="F16">
        <v>14</v>
      </c>
      <c r="G16" t="b">
        <f>IF(COUNTIF(AB$4:AB$20,Append1[[#This Row],[dteday]]) &gt; 0, TRUE, FALSE)</f>
        <v>1</v>
      </c>
      <c r="H16">
        <v>6</v>
      </c>
      <c r="I16">
        <v>2</v>
      </c>
      <c r="J16">
        <v>0.46</v>
      </c>
      <c r="K16">
        <f>Append1[[#This Row],[temp]]*100</f>
        <v>46</v>
      </c>
      <c r="L16">
        <v>0.45450000000000002</v>
      </c>
      <c r="M16">
        <v>0.72</v>
      </c>
      <c r="N16">
        <v>0.28360000000000002</v>
      </c>
      <c r="O16">
        <v>35</v>
      </c>
      <c r="P16">
        <v>71</v>
      </c>
      <c r="Q16">
        <v>106</v>
      </c>
      <c r="R16" s="12" t="str">
        <f t="shared" si="0"/>
        <v>Mist/Cloudy</v>
      </c>
      <c r="S16" s="14" t="str">
        <f t="shared" si="1"/>
        <v>Winter</v>
      </c>
      <c r="T16" s="15" t="str">
        <f t="shared" si="2"/>
        <v>Saturday</v>
      </c>
      <c r="U16" t="str">
        <f t="shared" si="3"/>
        <v>January</v>
      </c>
      <c r="V16" s="16" t="str">
        <f t="shared" si="4"/>
        <v>MODERATE</v>
      </c>
      <c r="AB16" s="20">
        <v>40842</v>
      </c>
      <c r="AC16" s="21" t="s">
        <v>28</v>
      </c>
      <c r="AD16" s="21" t="s">
        <v>91</v>
      </c>
    </row>
    <row r="17" spans="1:30" ht="43.2" x14ac:dyDescent="0.3">
      <c r="A17">
        <v>16</v>
      </c>
      <c r="B17" s="1">
        <v>40544</v>
      </c>
      <c r="C17">
        <v>1</v>
      </c>
      <c r="D17">
        <v>0</v>
      </c>
      <c r="E17">
        <v>1</v>
      </c>
      <c r="F17">
        <v>15</v>
      </c>
      <c r="G17" t="b">
        <f>IF(COUNTIF(AB$4:AB$20,Append1[[#This Row],[dteday]]) &gt; 0, TRUE, FALSE)</f>
        <v>1</v>
      </c>
      <c r="H17">
        <v>6</v>
      </c>
      <c r="I17">
        <v>2</v>
      </c>
      <c r="J17">
        <v>0.44</v>
      </c>
      <c r="K17">
        <f>Append1[[#This Row],[temp]]*100</f>
        <v>44</v>
      </c>
      <c r="L17">
        <v>0.43940000000000001</v>
      </c>
      <c r="M17">
        <v>0.77</v>
      </c>
      <c r="N17">
        <v>0.29849999999999999</v>
      </c>
      <c r="O17">
        <v>40</v>
      </c>
      <c r="P17">
        <v>70</v>
      </c>
      <c r="Q17">
        <v>110</v>
      </c>
      <c r="R17" s="12" t="str">
        <f t="shared" si="0"/>
        <v>Mist/Cloudy</v>
      </c>
      <c r="S17" s="14" t="str">
        <f t="shared" si="1"/>
        <v>Winter</v>
      </c>
      <c r="T17" s="15" t="str">
        <f t="shared" si="2"/>
        <v>Saturday</v>
      </c>
      <c r="U17" t="str">
        <f t="shared" si="3"/>
        <v>January</v>
      </c>
      <c r="V17" s="16" t="str">
        <f t="shared" si="4"/>
        <v>MODERATE</v>
      </c>
      <c r="AB17" s="20">
        <v>40854</v>
      </c>
      <c r="AC17" s="21" t="s">
        <v>23</v>
      </c>
      <c r="AD17" s="21" t="s">
        <v>92</v>
      </c>
    </row>
    <row r="18" spans="1:30" ht="43.2" x14ac:dyDescent="0.3">
      <c r="A18">
        <v>17</v>
      </c>
      <c r="B18" s="1">
        <v>40544</v>
      </c>
      <c r="C18">
        <v>1</v>
      </c>
      <c r="D18">
        <v>0</v>
      </c>
      <c r="E18">
        <v>1</v>
      </c>
      <c r="F18">
        <v>16</v>
      </c>
      <c r="G18" t="b">
        <f>IF(COUNTIF(AB$4:AB$20,Append1[[#This Row],[dteday]]) &gt; 0, TRUE, FALSE)</f>
        <v>1</v>
      </c>
      <c r="H18">
        <v>6</v>
      </c>
      <c r="I18">
        <v>2</v>
      </c>
      <c r="J18">
        <v>0.42</v>
      </c>
      <c r="K18">
        <f>Append1[[#This Row],[temp]]*100</f>
        <v>42</v>
      </c>
      <c r="L18">
        <v>0.42420000000000002</v>
      </c>
      <c r="M18">
        <v>0.82</v>
      </c>
      <c r="N18">
        <v>0.29849999999999999</v>
      </c>
      <c r="O18">
        <v>41</v>
      </c>
      <c r="P18">
        <v>52</v>
      </c>
      <c r="Q18">
        <v>93</v>
      </c>
      <c r="R18" s="12" t="str">
        <f t="shared" si="0"/>
        <v>Mist/Cloudy</v>
      </c>
      <c r="S18" s="14" t="str">
        <f t="shared" si="1"/>
        <v>Winter</v>
      </c>
      <c r="T18" s="15" t="str">
        <f t="shared" si="2"/>
        <v>Saturday</v>
      </c>
      <c r="U18" t="str">
        <f t="shared" si="3"/>
        <v>January</v>
      </c>
      <c r="V18" s="16" t="str">
        <f t="shared" si="4"/>
        <v>MODERATE</v>
      </c>
      <c r="AB18" s="20">
        <v>40857</v>
      </c>
      <c r="AC18" s="21" t="s">
        <v>26</v>
      </c>
      <c r="AD18" s="21" t="s">
        <v>93</v>
      </c>
    </row>
    <row r="19" spans="1:30" ht="28.8" x14ac:dyDescent="0.3">
      <c r="A19">
        <v>18</v>
      </c>
      <c r="B19" s="1">
        <v>40544</v>
      </c>
      <c r="C19">
        <v>1</v>
      </c>
      <c r="D19">
        <v>0</v>
      </c>
      <c r="E19">
        <v>1</v>
      </c>
      <c r="F19">
        <v>17</v>
      </c>
      <c r="G19" t="b">
        <f>IF(COUNTIF(AB$4:AB$20,Append1[[#This Row],[dteday]]) &gt; 0, TRUE, FALSE)</f>
        <v>1</v>
      </c>
      <c r="H19">
        <v>6</v>
      </c>
      <c r="I19">
        <v>2</v>
      </c>
      <c r="J19">
        <v>0.44</v>
      </c>
      <c r="K19">
        <f>Append1[[#This Row],[temp]]*100</f>
        <v>44</v>
      </c>
      <c r="M19">
        <v>0.82</v>
      </c>
      <c r="N19">
        <v>0.28360000000000002</v>
      </c>
      <c r="O19">
        <v>15</v>
      </c>
      <c r="P19">
        <v>52</v>
      </c>
      <c r="Q19">
        <v>67</v>
      </c>
      <c r="R19" s="12" t="str">
        <f t="shared" si="0"/>
        <v>Mist/Cloudy</v>
      </c>
      <c r="S19" s="14" t="str">
        <f t="shared" si="1"/>
        <v>Winter</v>
      </c>
      <c r="T19" s="15" t="str">
        <f t="shared" si="2"/>
        <v>Saturday</v>
      </c>
      <c r="U19" t="str">
        <f t="shared" si="3"/>
        <v>January</v>
      </c>
      <c r="V19" s="16" t="str">
        <f t="shared" si="4"/>
        <v>MODERATE</v>
      </c>
      <c r="AB19" s="20">
        <v>40883</v>
      </c>
      <c r="AC19" s="21" t="s">
        <v>27</v>
      </c>
      <c r="AD19" s="21" t="s">
        <v>94</v>
      </c>
    </row>
    <row r="20" spans="1:30" ht="28.8" x14ac:dyDescent="0.3">
      <c r="A20">
        <v>19</v>
      </c>
      <c r="B20" s="1">
        <v>40544</v>
      </c>
      <c r="C20">
        <v>1</v>
      </c>
      <c r="D20">
        <v>0</v>
      </c>
      <c r="E20">
        <v>1</v>
      </c>
      <c r="F20">
        <v>18</v>
      </c>
      <c r="G20" t="b">
        <f>IF(COUNTIF(AB$4:AB$20,Append1[[#This Row],[dteday]]) &gt; 0, TRUE, FALSE)</f>
        <v>1</v>
      </c>
      <c r="H20">
        <v>6</v>
      </c>
      <c r="I20">
        <v>3</v>
      </c>
      <c r="J20">
        <v>0.42</v>
      </c>
      <c r="K20">
        <f>Append1[[#This Row],[temp]]*100</f>
        <v>42</v>
      </c>
      <c r="L20">
        <v>0.42420000000000002</v>
      </c>
      <c r="M20">
        <v>0.88</v>
      </c>
      <c r="N20">
        <v>0.25369999999999998</v>
      </c>
      <c r="O20">
        <v>9</v>
      </c>
      <c r="P20">
        <v>26</v>
      </c>
      <c r="Q20">
        <v>35</v>
      </c>
      <c r="R20" s="12" t="str">
        <f t="shared" si="0"/>
        <v>Light Rain/Snow</v>
      </c>
      <c r="S20" s="14" t="str">
        <f t="shared" si="1"/>
        <v>Winter</v>
      </c>
      <c r="T20" s="15" t="str">
        <f t="shared" si="2"/>
        <v>Saturday</v>
      </c>
      <c r="U20" t="str">
        <f t="shared" si="3"/>
        <v>January</v>
      </c>
      <c r="V20" s="16" t="str">
        <f t="shared" si="4"/>
        <v>BAD</v>
      </c>
      <c r="AB20" s="20">
        <v>40902</v>
      </c>
      <c r="AC20" s="21" t="s">
        <v>25</v>
      </c>
      <c r="AD20" s="21" t="s">
        <v>95</v>
      </c>
    </row>
    <row r="21" spans="1:30" x14ac:dyDescent="0.3">
      <c r="A21">
        <v>20</v>
      </c>
      <c r="B21" s="1">
        <v>40544</v>
      </c>
      <c r="C21">
        <v>1</v>
      </c>
      <c r="D21">
        <v>0</v>
      </c>
      <c r="E21">
        <v>1</v>
      </c>
      <c r="F21">
        <v>19</v>
      </c>
      <c r="G21" t="b">
        <f>IF(COUNTIF(AB$4:AB$20,Append1[[#This Row],[dteday]]) &gt; 0, TRUE, FALSE)</f>
        <v>1</v>
      </c>
      <c r="H21">
        <v>6</v>
      </c>
      <c r="I21">
        <v>3</v>
      </c>
      <c r="J21">
        <v>0.42</v>
      </c>
      <c r="K21">
        <f>Append1[[#This Row],[temp]]*100</f>
        <v>42</v>
      </c>
      <c r="L21">
        <v>0.42420000000000002</v>
      </c>
      <c r="M21">
        <v>0.88</v>
      </c>
      <c r="N21">
        <v>0.25369999999999998</v>
      </c>
      <c r="O21">
        <v>6</v>
      </c>
      <c r="P21">
        <v>31</v>
      </c>
      <c r="Q21">
        <v>37</v>
      </c>
      <c r="R21" s="12" t="str">
        <f t="shared" si="0"/>
        <v>Light Rain/Snow</v>
      </c>
      <c r="S21" s="14" t="str">
        <f t="shared" si="1"/>
        <v>Winter</v>
      </c>
      <c r="T21" s="15" t="str">
        <f t="shared" si="2"/>
        <v>Saturday</v>
      </c>
      <c r="U21" t="str">
        <f t="shared" si="3"/>
        <v>January</v>
      </c>
      <c r="V21" s="16" t="str">
        <f t="shared" si="4"/>
        <v>BAD</v>
      </c>
    </row>
    <row r="22" spans="1:30" x14ac:dyDescent="0.3">
      <c r="A22">
        <v>21</v>
      </c>
      <c r="B22" s="1">
        <v>40544</v>
      </c>
      <c r="C22">
        <v>1</v>
      </c>
      <c r="D22">
        <v>0</v>
      </c>
      <c r="E22">
        <v>1</v>
      </c>
      <c r="F22">
        <v>20</v>
      </c>
      <c r="G22" t="b">
        <f>IF(COUNTIF(AB$4:AB$20,Append1[[#This Row],[dteday]]) &gt; 0, TRUE, FALSE)</f>
        <v>1</v>
      </c>
      <c r="H22">
        <v>6</v>
      </c>
      <c r="I22">
        <v>2</v>
      </c>
      <c r="J22">
        <v>0.4</v>
      </c>
      <c r="K22">
        <f>Append1[[#This Row],[temp]]*100</f>
        <v>40</v>
      </c>
      <c r="L22">
        <v>0.40910000000000002</v>
      </c>
      <c r="M22">
        <v>0.87</v>
      </c>
      <c r="N22">
        <v>0.25369999999999998</v>
      </c>
      <c r="O22">
        <v>11</v>
      </c>
      <c r="P22">
        <v>25</v>
      </c>
      <c r="Q22">
        <v>36</v>
      </c>
      <c r="R22" s="12" t="str">
        <f t="shared" si="0"/>
        <v>Mist/Cloudy</v>
      </c>
      <c r="S22" s="14" t="str">
        <f t="shared" si="1"/>
        <v>Winter</v>
      </c>
      <c r="T22" s="15" t="str">
        <f t="shared" si="2"/>
        <v>Saturday</v>
      </c>
      <c r="U22" t="str">
        <f t="shared" si="3"/>
        <v>January</v>
      </c>
      <c r="V22" s="16" t="str">
        <f t="shared" si="4"/>
        <v>MODERATE</v>
      </c>
    </row>
    <row r="23" spans="1:30" x14ac:dyDescent="0.3">
      <c r="A23">
        <v>22</v>
      </c>
      <c r="B23" s="1">
        <v>40544</v>
      </c>
      <c r="C23">
        <v>1</v>
      </c>
      <c r="D23">
        <v>0</v>
      </c>
      <c r="E23">
        <v>1</v>
      </c>
      <c r="F23">
        <v>21</v>
      </c>
      <c r="G23" t="b">
        <f>IF(COUNTIF(AB$4:AB$20,Append1[[#This Row],[dteday]]) &gt; 0, TRUE, FALSE)</f>
        <v>1</v>
      </c>
      <c r="H23">
        <v>6</v>
      </c>
      <c r="I23">
        <v>2</v>
      </c>
      <c r="J23">
        <v>0.4</v>
      </c>
      <c r="K23">
        <f>Append1[[#This Row],[temp]]*100</f>
        <v>40</v>
      </c>
      <c r="L23">
        <v>0.40910000000000002</v>
      </c>
      <c r="M23">
        <v>0.87</v>
      </c>
      <c r="N23">
        <v>0.19400000000000001</v>
      </c>
      <c r="O23">
        <v>3</v>
      </c>
      <c r="P23">
        <v>31</v>
      </c>
      <c r="Q23">
        <v>34</v>
      </c>
      <c r="R23" s="12" t="str">
        <f t="shared" si="0"/>
        <v>Mist/Cloudy</v>
      </c>
      <c r="S23" s="14" t="str">
        <f t="shared" si="1"/>
        <v>Winter</v>
      </c>
      <c r="T23" s="15" t="str">
        <f t="shared" si="2"/>
        <v>Saturday</v>
      </c>
      <c r="U23" t="str">
        <f t="shared" si="3"/>
        <v>January</v>
      </c>
      <c r="V23" s="16" t="str">
        <f t="shared" si="4"/>
        <v>MODERATE</v>
      </c>
    </row>
    <row r="24" spans="1:30" x14ac:dyDescent="0.3">
      <c r="A24">
        <v>23</v>
      </c>
      <c r="B24" s="1">
        <v>40544</v>
      </c>
      <c r="C24">
        <v>1</v>
      </c>
      <c r="D24">
        <v>0</v>
      </c>
      <c r="E24">
        <v>1</v>
      </c>
      <c r="F24">
        <v>22</v>
      </c>
      <c r="G24" t="b">
        <f>IF(COUNTIF(AB$4:AB$20,Append1[[#This Row],[dteday]]) &gt; 0, TRUE, FALSE)</f>
        <v>1</v>
      </c>
      <c r="H24">
        <v>6</v>
      </c>
      <c r="I24">
        <v>2</v>
      </c>
      <c r="J24">
        <v>0.4</v>
      </c>
      <c r="K24">
        <f>Append1[[#This Row],[temp]]*100</f>
        <v>40</v>
      </c>
      <c r="L24">
        <v>0.40910000000000002</v>
      </c>
      <c r="M24">
        <v>0.94</v>
      </c>
      <c r="N24">
        <v>0.22389999999999999</v>
      </c>
      <c r="O24">
        <v>11</v>
      </c>
      <c r="P24">
        <v>17</v>
      </c>
      <c r="Q24">
        <v>28</v>
      </c>
      <c r="R24" s="12" t="str">
        <f t="shared" si="0"/>
        <v>Mist/Cloudy</v>
      </c>
      <c r="S24" s="14" t="str">
        <f t="shared" si="1"/>
        <v>Winter</v>
      </c>
      <c r="T24" s="15" t="str">
        <f t="shared" si="2"/>
        <v>Saturday</v>
      </c>
      <c r="U24" t="str">
        <f t="shared" si="3"/>
        <v>January</v>
      </c>
      <c r="V24" s="16" t="str">
        <f t="shared" si="4"/>
        <v>MODERATE</v>
      </c>
    </row>
    <row r="25" spans="1:30" x14ac:dyDescent="0.3">
      <c r="A25">
        <v>24</v>
      </c>
      <c r="B25" s="1">
        <v>40544</v>
      </c>
      <c r="C25">
        <v>1</v>
      </c>
      <c r="D25">
        <v>0</v>
      </c>
      <c r="E25">
        <v>1</v>
      </c>
      <c r="F25">
        <v>23</v>
      </c>
      <c r="G25" t="b">
        <f>IF(COUNTIF(AB$4:AB$20,Append1[[#This Row],[dteday]]) &gt; 0, TRUE, FALSE)</f>
        <v>1</v>
      </c>
      <c r="H25">
        <v>6</v>
      </c>
      <c r="I25">
        <v>2</v>
      </c>
      <c r="J25">
        <v>0.46</v>
      </c>
      <c r="K25">
        <f>Append1[[#This Row],[temp]]*100</f>
        <v>46</v>
      </c>
      <c r="M25">
        <v>0.88</v>
      </c>
      <c r="N25">
        <v>0.29849999999999999</v>
      </c>
      <c r="O25">
        <v>15</v>
      </c>
      <c r="P25">
        <v>24</v>
      </c>
      <c r="Q25">
        <v>39</v>
      </c>
      <c r="R25" s="12" t="str">
        <f t="shared" si="0"/>
        <v>Mist/Cloudy</v>
      </c>
      <c r="S25" s="14" t="str">
        <f t="shared" si="1"/>
        <v>Winter</v>
      </c>
      <c r="T25" s="15" t="str">
        <f t="shared" si="2"/>
        <v>Saturday</v>
      </c>
      <c r="U25" t="str">
        <f t="shared" si="3"/>
        <v>January</v>
      </c>
      <c r="V25" s="16" t="str">
        <f t="shared" si="4"/>
        <v>MODERATE</v>
      </c>
    </row>
    <row r="26" spans="1:30" x14ac:dyDescent="0.3">
      <c r="A26">
        <v>25</v>
      </c>
      <c r="B26" s="1">
        <v>40545</v>
      </c>
      <c r="C26">
        <v>1</v>
      </c>
      <c r="D26">
        <v>0</v>
      </c>
      <c r="E26">
        <v>1</v>
      </c>
      <c r="F26">
        <v>0</v>
      </c>
      <c r="G26" t="b">
        <f>IF(COUNTIF(AB$4:AB$20,Append1[[#This Row],[dteday]]) &gt; 0, TRUE, FALSE)</f>
        <v>0</v>
      </c>
      <c r="H26">
        <v>0</v>
      </c>
      <c r="I26">
        <v>2</v>
      </c>
      <c r="J26">
        <v>0.46</v>
      </c>
      <c r="K26">
        <f>Append1[[#This Row],[temp]]*100</f>
        <v>46</v>
      </c>
      <c r="L26">
        <v>0.45450000000000002</v>
      </c>
      <c r="M26">
        <v>0.88</v>
      </c>
      <c r="N26">
        <v>0.29849999999999999</v>
      </c>
      <c r="O26">
        <v>4</v>
      </c>
      <c r="P26">
        <v>13</v>
      </c>
      <c r="Q26">
        <v>17</v>
      </c>
      <c r="R26" s="12" t="str">
        <f t="shared" si="0"/>
        <v>Mist/Cloudy</v>
      </c>
      <c r="S26" s="14" t="str">
        <f t="shared" si="1"/>
        <v>Winter</v>
      </c>
      <c r="T26" s="15" t="str">
        <f t="shared" si="2"/>
        <v>Sunday</v>
      </c>
      <c r="U26" t="str">
        <f t="shared" si="3"/>
        <v>January</v>
      </c>
      <c r="V26" s="16" t="str">
        <f t="shared" si="4"/>
        <v>MODERATE</v>
      </c>
    </row>
    <row r="27" spans="1:30" x14ac:dyDescent="0.3">
      <c r="A27">
        <v>26</v>
      </c>
      <c r="B27" s="1">
        <v>40545</v>
      </c>
      <c r="C27">
        <v>1</v>
      </c>
      <c r="D27">
        <v>0</v>
      </c>
      <c r="E27">
        <v>1</v>
      </c>
      <c r="F27">
        <v>1</v>
      </c>
      <c r="G27" t="b">
        <f>IF(COUNTIF(AB$4:AB$20,Append1[[#This Row],[dteday]]) &gt; 0, TRUE, FALSE)</f>
        <v>0</v>
      </c>
      <c r="H27">
        <v>0</v>
      </c>
      <c r="I27">
        <v>2</v>
      </c>
      <c r="J27">
        <v>0.44</v>
      </c>
      <c r="K27">
        <f>Append1[[#This Row],[temp]]*100</f>
        <v>44</v>
      </c>
      <c r="L27">
        <v>0.43940000000000001</v>
      </c>
      <c r="M27">
        <v>0.94</v>
      </c>
      <c r="N27">
        <v>0.25369999999999998</v>
      </c>
      <c r="O27">
        <v>1</v>
      </c>
      <c r="P27">
        <v>16</v>
      </c>
      <c r="Q27">
        <v>17</v>
      </c>
      <c r="R27" s="12" t="str">
        <f t="shared" si="0"/>
        <v>Mist/Cloudy</v>
      </c>
      <c r="S27" s="14" t="str">
        <f t="shared" si="1"/>
        <v>Winter</v>
      </c>
      <c r="T27" s="15" t="str">
        <f t="shared" si="2"/>
        <v>Sunday</v>
      </c>
      <c r="U27" t="str">
        <f t="shared" si="3"/>
        <v>January</v>
      </c>
      <c r="V27" s="16" t="str">
        <f t="shared" si="4"/>
        <v>MODERATE</v>
      </c>
    </row>
    <row r="28" spans="1:30" x14ac:dyDescent="0.3">
      <c r="A28">
        <v>27</v>
      </c>
      <c r="B28" s="1">
        <v>40545</v>
      </c>
      <c r="C28">
        <v>1</v>
      </c>
      <c r="D28">
        <v>0</v>
      </c>
      <c r="E28">
        <v>1</v>
      </c>
      <c r="F28">
        <v>2</v>
      </c>
      <c r="G28" t="b">
        <f>IF(COUNTIF(AB$4:AB$20,Append1[[#This Row],[dteday]]) &gt; 0, TRUE, FALSE)</f>
        <v>0</v>
      </c>
      <c r="H28">
        <v>0</v>
      </c>
      <c r="I28">
        <v>2</v>
      </c>
      <c r="J28">
        <v>0.42</v>
      </c>
      <c r="K28">
        <f>Append1[[#This Row],[temp]]*100</f>
        <v>42</v>
      </c>
      <c r="L28">
        <v>0.42420000000000002</v>
      </c>
      <c r="M28">
        <v>1</v>
      </c>
      <c r="N28">
        <v>0.28360000000000002</v>
      </c>
      <c r="O28">
        <v>1</v>
      </c>
      <c r="P28">
        <v>8</v>
      </c>
      <c r="Q28">
        <v>9</v>
      </c>
      <c r="R28" s="12" t="str">
        <f t="shared" si="0"/>
        <v>Mist/Cloudy</v>
      </c>
      <c r="S28" s="14" t="str">
        <f t="shared" si="1"/>
        <v>Winter</v>
      </c>
      <c r="T28" s="15" t="str">
        <f t="shared" si="2"/>
        <v>Sunday</v>
      </c>
      <c r="U28" t="str">
        <f t="shared" si="3"/>
        <v>January</v>
      </c>
      <c r="V28" s="16" t="str">
        <f t="shared" si="4"/>
        <v>MODERATE</v>
      </c>
    </row>
    <row r="29" spans="1:30" x14ac:dyDescent="0.3">
      <c r="A29">
        <v>28</v>
      </c>
      <c r="B29" s="1">
        <v>40545</v>
      </c>
      <c r="C29">
        <v>1</v>
      </c>
      <c r="D29">
        <v>0</v>
      </c>
      <c r="E29">
        <v>1</v>
      </c>
      <c r="F29">
        <v>3</v>
      </c>
      <c r="G29" t="b">
        <f>IF(COUNTIF(AB$4:AB$20,Append1[[#This Row],[dteday]]) &gt; 0, TRUE, FALSE)</f>
        <v>0</v>
      </c>
      <c r="H29">
        <v>0</v>
      </c>
      <c r="I29">
        <v>2</v>
      </c>
      <c r="J29">
        <v>0.46</v>
      </c>
      <c r="K29">
        <f>Append1[[#This Row],[temp]]*100</f>
        <v>46</v>
      </c>
      <c r="L29">
        <v>0.45450000000000002</v>
      </c>
      <c r="M29">
        <v>0.94</v>
      </c>
      <c r="N29">
        <v>0.19400000000000001</v>
      </c>
      <c r="O29">
        <v>2</v>
      </c>
      <c r="P29">
        <v>4</v>
      </c>
      <c r="Q29">
        <v>6</v>
      </c>
      <c r="R29" s="12" t="str">
        <f t="shared" si="0"/>
        <v>Mist/Cloudy</v>
      </c>
      <c r="S29" s="14" t="str">
        <f t="shared" si="1"/>
        <v>Winter</v>
      </c>
      <c r="T29" s="15" t="str">
        <f t="shared" si="2"/>
        <v>Sunday</v>
      </c>
      <c r="U29" t="str">
        <f t="shared" si="3"/>
        <v>January</v>
      </c>
      <c r="V29" s="16" t="str">
        <f t="shared" si="4"/>
        <v>MODERATE</v>
      </c>
    </row>
    <row r="30" spans="1:30" x14ac:dyDescent="0.3">
      <c r="A30">
        <v>29</v>
      </c>
      <c r="B30" s="1">
        <v>40545</v>
      </c>
      <c r="C30">
        <v>1</v>
      </c>
      <c r="D30">
        <v>0</v>
      </c>
      <c r="E30">
        <v>1</v>
      </c>
      <c r="F30">
        <v>4</v>
      </c>
      <c r="G30" t="b">
        <f>IF(COUNTIF(AB$4:AB$20,Append1[[#This Row],[dteday]]) &gt; 0, TRUE, FALSE)</f>
        <v>0</v>
      </c>
      <c r="H30">
        <v>0</v>
      </c>
      <c r="I30">
        <v>2</v>
      </c>
      <c r="J30">
        <v>0.46</v>
      </c>
      <c r="K30">
        <f>Append1[[#This Row],[temp]]*100</f>
        <v>46</v>
      </c>
      <c r="M30">
        <v>0.94</v>
      </c>
      <c r="N30">
        <v>0.19400000000000001</v>
      </c>
      <c r="O30">
        <v>2</v>
      </c>
      <c r="P30">
        <v>1</v>
      </c>
      <c r="Q30">
        <v>3</v>
      </c>
      <c r="R30" s="12" t="str">
        <f t="shared" si="0"/>
        <v>Mist/Cloudy</v>
      </c>
      <c r="S30" s="14" t="str">
        <f t="shared" si="1"/>
        <v>Winter</v>
      </c>
      <c r="T30" s="15" t="str">
        <f t="shared" si="2"/>
        <v>Sunday</v>
      </c>
      <c r="U30" t="str">
        <f t="shared" si="3"/>
        <v>January</v>
      </c>
      <c r="V30" s="16" t="str">
        <f t="shared" si="4"/>
        <v>MODERATE</v>
      </c>
    </row>
    <row r="31" spans="1:30" x14ac:dyDescent="0.3">
      <c r="A31">
        <v>30</v>
      </c>
      <c r="B31" s="1">
        <v>40545</v>
      </c>
      <c r="C31">
        <v>1</v>
      </c>
      <c r="D31">
        <v>0</v>
      </c>
      <c r="E31">
        <v>1</v>
      </c>
      <c r="F31">
        <v>6</v>
      </c>
      <c r="G31" t="b">
        <f>IF(COUNTIF(AB$4:AB$20,Append1[[#This Row],[dteday]]) &gt; 0, TRUE, FALSE)</f>
        <v>0</v>
      </c>
      <c r="H31">
        <v>0</v>
      </c>
      <c r="I31">
        <v>3</v>
      </c>
      <c r="J31">
        <v>0.42</v>
      </c>
      <c r="K31">
        <f>Append1[[#This Row],[temp]]*100</f>
        <v>42</v>
      </c>
      <c r="L31">
        <v>0.42420000000000002</v>
      </c>
      <c r="M31">
        <v>0.77</v>
      </c>
      <c r="N31">
        <v>0.29849999999999999</v>
      </c>
      <c r="O31">
        <v>0</v>
      </c>
      <c r="P31">
        <v>2</v>
      </c>
      <c r="Q31">
        <v>2</v>
      </c>
      <c r="R31" s="12" t="str">
        <f t="shared" si="0"/>
        <v>Light Rain/Snow</v>
      </c>
      <c r="S31" s="14" t="str">
        <f t="shared" si="1"/>
        <v>Winter</v>
      </c>
      <c r="T31" s="15" t="str">
        <f t="shared" si="2"/>
        <v>Sunday</v>
      </c>
      <c r="U31" t="str">
        <f t="shared" si="3"/>
        <v>January</v>
      </c>
      <c r="V31" s="16" t="str">
        <f t="shared" si="4"/>
        <v>BAD</v>
      </c>
    </row>
    <row r="32" spans="1:30" x14ac:dyDescent="0.3">
      <c r="A32">
        <v>31</v>
      </c>
      <c r="B32" s="1">
        <v>40545</v>
      </c>
      <c r="C32">
        <v>1</v>
      </c>
      <c r="D32">
        <v>0</v>
      </c>
      <c r="E32">
        <v>1</v>
      </c>
      <c r="F32">
        <v>7</v>
      </c>
      <c r="G32" t="b">
        <f>IF(COUNTIF(AB$4:AB$20,Append1[[#This Row],[dteday]]) &gt; 0, TRUE, FALSE)</f>
        <v>0</v>
      </c>
      <c r="H32">
        <v>0</v>
      </c>
      <c r="I32">
        <v>2</v>
      </c>
      <c r="J32">
        <v>0.4</v>
      </c>
      <c r="K32">
        <f>Append1[[#This Row],[temp]]*100</f>
        <v>40</v>
      </c>
      <c r="L32">
        <v>0.40910000000000002</v>
      </c>
      <c r="M32">
        <v>0.76</v>
      </c>
      <c r="N32">
        <v>0.19400000000000001</v>
      </c>
      <c r="O32">
        <v>0</v>
      </c>
      <c r="P32">
        <v>1</v>
      </c>
      <c r="Q32">
        <v>1</v>
      </c>
      <c r="R32" s="12" t="str">
        <f t="shared" si="0"/>
        <v>Mist/Cloudy</v>
      </c>
      <c r="S32" s="14" t="str">
        <f t="shared" si="1"/>
        <v>Winter</v>
      </c>
      <c r="T32" s="15" t="str">
        <f t="shared" si="2"/>
        <v>Sunday</v>
      </c>
      <c r="U32" t="str">
        <f t="shared" si="3"/>
        <v>January</v>
      </c>
      <c r="V32" s="16" t="str">
        <f t="shared" si="4"/>
        <v>MODERATE</v>
      </c>
    </row>
    <row r="33" spans="1:22" x14ac:dyDescent="0.3">
      <c r="A33">
        <v>32</v>
      </c>
      <c r="B33" s="1">
        <v>40545</v>
      </c>
      <c r="C33">
        <v>1</v>
      </c>
      <c r="D33">
        <v>0</v>
      </c>
      <c r="E33">
        <v>1</v>
      </c>
      <c r="F33">
        <v>8</v>
      </c>
      <c r="G33" t="b">
        <f>IF(COUNTIF(AB$4:AB$20,Append1[[#This Row],[dteday]]) &gt; 0, TRUE, FALSE)</f>
        <v>0</v>
      </c>
      <c r="H33">
        <v>0</v>
      </c>
      <c r="I33">
        <v>3</v>
      </c>
      <c r="J33">
        <v>0.4</v>
      </c>
      <c r="K33">
        <f>Append1[[#This Row],[temp]]*100</f>
        <v>40</v>
      </c>
      <c r="L33">
        <v>0.40910000000000002</v>
      </c>
      <c r="M33">
        <v>0.71</v>
      </c>
      <c r="N33">
        <v>0.22389999999999999</v>
      </c>
      <c r="O33">
        <v>0</v>
      </c>
      <c r="P33">
        <v>8</v>
      </c>
      <c r="Q33">
        <v>8</v>
      </c>
      <c r="R33" s="12" t="str">
        <f t="shared" si="0"/>
        <v>Light Rain/Snow</v>
      </c>
      <c r="S33" s="14" t="str">
        <f t="shared" si="1"/>
        <v>Winter</v>
      </c>
      <c r="T33" s="15" t="str">
        <f t="shared" si="2"/>
        <v>Sunday</v>
      </c>
      <c r="U33" t="str">
        <f t="shared" si="3"/>
        <v>January</v>
      </c>
      <c r="V33" s="16" t="str">
        <f t="shared" si="4"/>
        <v>BAD</v>
      </c>
    </row>
    <row r="34" spans="1:22" x14ac:dyDescent="0.3">
      <c r="A34">
        <v>33</v>
      </c>
      <c r="B34" s="1">
        <v>40545</v>
      </c>
      <c r="C34">
        <v>1</v>
      </c>
      <c r="D34">
        <v>0</v>
      </c>
      <c r="E34">
        <v>1</v>
      </c>
      <c r="F34">
        <v>9</v>
      </c>
      <c r="G34" t="b">
        <f>IF(COUNTIF(AB$4:AB$20,Append1[[#This Row],[dteday]]) &gt; 0, TRUE, FALSE)</f>
        <v>0</v>
      </c>
      <c r="H34">
        <v>0</v>
      </c>
      <c r="I34">
        <v>2</v>
      </c>
      <c r="J34">
        <v>0.38</v>
      </c>
      <c r="K34">
        <f>Append1[[#This Row],[temp]]*100</f>
        <v>38</v>
      </c>
      <c r="M34">
        <v>0.76</v>
      </c>
      <c r="N34">
        <v>0.22389999999999999</v>
      </c>
      <c r="O34">
        <v>1</v>
      </c>
      <c r="P34">
        <v>19</v>
      </c>
      <c r="Q34">
        <v>20</v>
      </c>
      <c r="R34" s="12" t="str">
        <f t="shared" si="0"/>
        <v>Mist/Cloudy</v>
      </c>
      <c r="S34" s="14" t="str">
        <f t="shared" si="1"/>
        <v>Winter</v>
      </c>
      <c r="T34" s="15" t="str">
        <f t="shared" si="2"/>
        <v>Sunday</v>
      </c>
      <c r="U34" t="str">
        <f t="shared" si="3"/>
        <v>January</v>
      </c>
      <c r="V34" s="16" t="str">
        <f t="shared" si="4"/>
        <v>MODERATE</v>
      </c>
    </row>
    <row r="35" spans="1:22" x14ac:dyDescent="0.3">
      <c r="A35">
        <v>34</v>
      </c>
      <c r="B35" s="1">
        <v>40545</v>
      </c>
      <c r="C35">
        <v>1</v>
      </c>
      <c r="D35">
        <v>0</v>
      </c>
      <c r="E35">
        <v>1</v>
      </c>
      <c r="F35">
        <v>10</v>
      </c>
      <c r="G35" t="b">
        <f>IF(COUNTIF(AB$4:AB$20,Append1[[#This Row],[dteday]]) &gt; 0, TRUE, FALSE)</f>
        <v>0</v>
      </c>
      <c r="H35">
        <v>0</v>
      </c>
      <c r="I35">
        <v>2</v>
      </c>
      <c r="J35">
        <v>0.36</v>
      </c>
      <c r="K35">
        <f>Append1[[#This Row],[temp]]*100</f>
        <v>36</v>
      </c>
      <c r="L35">
        <v>0.34849999999999998</v>
      </c>
      <c r="M35">
        <v>0.81</v>
      </c>
      <c r="N35">
        <v>0.22389999999999999</v>
      </c>
      <c r="O35">
        <v>7</v>
      </c>
      <c r="P35">
        <v>46</v>
      </c>
      <c r="Q35">
        <v>53</v>
      </c>
      <c r="R35" s="12" t="str">
        <f t="shared" si="0"/>
        <v>Mist/Cloudy</v>
      </c>
      <c r="S35" s="14" t="str">
        <f t="shared" si="1"/>
        <v>Winter</v>
      </c>
      <c r="T35" s="15" t="str">
        <f t="shared" si="2"/>
        <v>Sunday</v>
      </c>
      <c r="U35" t="str">
        <f t="shared" si="3"/>
        <v>January</v>
      </c>
      <c r="V35" s="16" t="str">
        <f t="shared" si="4"/>
        <v>MODERATE</v>
      </c>
    </row>
    <row r="36" spans="1:22" x14ac:dyDescent="0.3">
      <c r="A36">
        <v>35</v>
      </c>
      <c r="B36" s="1">
        <v>40545</v>
      </c>
      <c r="C36">
        <v>1</v>
      </c>
      <c r="D36">
        <v>0</v>
      </c>
      <c r="E36">
        <v>1</v>
      </c>
      <c r="F36">
        <v>11</v>
      </c>
      <c r="G36" t="b">
        <f>IF(COUNTIF(AB$4:AB$20,Append1[[#This Row],[dteday]]) &gt; 0, TRUE, FALSE)</f>
        <v>0</v>
      </c>
      <c r="H36">
        <v>0</v>
      </c>
      <c r="I36">
        <v>2</v>
      </c>
      <c r="J36">
        <v>0.36</v>
      </c>
      <c r="K36">
        <f>Append1[[#This Row],[temp]]*100</f>
        <v>36</v>
      </c>
      <c r="L36">
        <v>0.33329999999999999</v>
      </c>
      <c r="M36">
        <v>0.71</v>
      </c>
      <c r="N36">
        <v>0.25369999999999998</v>
      </c>
      <c r="O36">
        <v>16</v>
      </c>
      <c r="P36">
        <v>54</v>
      </c>
      <c r="Q36">
        <v>70</v>
      </c>
      <c r="R36" s="12" t="str">
        <f t="shared" si="0"/>
        <v>Mist/Cloudy</v>
      </c>
      <c r="S36" s="14" t="str">
        <f t="shared" si="1"/>
        <v>Winter</v>
      </c>
      <c r="T36" s="15" t="str">
        <f t="shared" si="2"/>
        <v>Sunday</v>
      </c>
      <c r="U36" t="str">
        <f t="shared" si="3"/>
        <v>January</v>
      </c>
      <c r="V36" s="16" t="str">
        <f t="shared" si="4"/>
        <v>MODERATE</v>
      </c>
    </row>
    <row r="37" spans="1:22" x14ac:dyDescent="0.3">
      <c r="A37">
        <v>36</v>
      </c>
      <c r="B37" s="1">
        <v>40545</v>
      </c>
      <c r="C37">
        <v>1</v>
      </c>
      <c r="D37">
        <v>0</v>
      </c>
      <c r="E37">
        <v>1</v>
      </c>
      <c r="F37">
        <v>12</v>
      </c>
      <c r="G37" t="b">
        <f>IF(COUNTIF(AB$4:AB$20,Append1[[#This Row],[dteday]]) &gt; 0, TRUE, FALSE)</f>
        <v>0</v>
      </c>
      <c r="H37">
        <v>0</v>
      </c>
      <c r="I37">
        <v>2</v>
      </c>
      <c r="J37">
        <v>0.36</v>
      </c>
      <c r="K37">
        <f>Append1[[#This Row],[temp]]*100</f>
        <v>36</v>
      </c>
      <c r="L37">
        <v>0.33329999999999999</v>
      </c>
      <c r="M37">
        <v>0.66</v>
      </c>
      <c r="N37">
        <v>0.29849999999999999</v>
      </c>
      <c r="O37">
        <v>20</v>
      </c>
      <c r="P37">
        <v>73</v>
      </c>
      <c r="Q37">
        <v>93</v>
      </c>
      <c r="R37" s="12" t="str">
        <f t="shared" si="0"/>
        <v>Mist/Cloudy</v>
      </c>
      <c r="S37" s="14" t="str">
        <f t="shared" si="1"/>
        <v>Winter</v>
      </c>
      <c r="T37" s="15" t="str">
        <f t="shared" si="2"/>
        <v>Sunday</v>
      </c>
      <c r="U37" t="str">
        <f t="shared" si="3"/>
        <v>January</v>
      </c>
      <c r="V37" s="16" t="str">
        <f t="shared" si="4"/>
        <v>MODERATE</v>
      </c>
    </row>
    <row r="38" spans="1:22" x14ac:dyDescent="0.3">
      <c r="A38">
        <v>37</v>
      </c>
      <c r="B38" s="1">
        <v>40545</v>
      </c>
      <c r="C38">
        <v>1</v>
      </c>
      <c r="D38">
        <v>0</v>
      </c>
      <c r="E38">
        <v>1</v>
      </c>
      <c r="F38">
        <v>13</v>
      </c>
      <c r="G38" t="b">
        <f>IF(COUNTIF(AB$4:AB$20,Append1[[#This Row],[dteday]]) &gt; 0, TRUE, FALSE)</f>
        <v>0</v>
      </c>
      <c r="H38">
        <v>0</v>
      </c>
      <c r="I38">
        <v>2</v>
      </c>
      <c r="J38">
        <v>0.36</v>
      </c>
      <c r="K38">
        <f>Append1[[#This Row],[temp]]*100</f>
        <v>36</v>
      </c>
      <c r="L38">
        <v>0.34849999999999998</v>
      </c>
      <c r="M38">
        <v>0.66</v>
      </c>
      <c r="N38">
        <v>0.1343</v>
      </c>
      <c r="O38">
        <v>11</v>
      </c>
      <c r="P38">
        <v>64</v>
      </c>
      <c r="Q38">
        <v>75</v>
      </c>
      <c r="R38" s="12" t="str">
        <f t="shared" si="0"/>
        <v>Mist/Cloudy</v>
      </c>
      <c r="S38" s="14" t="str">
        <f t="shared" si="1"/>
        <v>Winter</v>
      </c>
      <c r="T38" s="15" t="str">
        <f t="shared" si="2"/>
        <v>Sunday</v>
      </c>
      <c r="U38" t="str">
        <f t="shared" si="3"/>
        <v>January</v>
      </c>
      <c r="V38" s="16" t="str">
        <f t="shared" si="4"/>
        <v>MODERATE</v>
      </c>
    </row>
    <row r="39" spans="1:22" x14ac:dyDescent="0.3">
      <c r="A39">
        <v>38</v>
      </c>
      <c r="B39" s="1">
        <v>40545</v>
      </c>
      <c r="C39">
        <v>1</v>
      </c>
      <c r="D39">
        <v>0</v>
      </c>
      <c r="E39">
        <v>1</v>
      </c>
      <c r="F39">
        <v>14</v>
      </c>
      <c r="G39" t="b">
        <f>IF(COUNTIF(AB$4:AB$20,Append1[[#This Row],[dteday]]) &gt; 0, TRUE, FALSE)</f>
        <v>0</v>
      </c>
      <c r="H39">
        <v>0</v>
      </c>
      <c r="I39">
        <v>3</v>
      </c>
      <c r="J39">
        <v>0.36</v>
      </c>
      <c r="K39">
        <f>Append1[[#This Row],[temp]]*100</f>
        <v>36</v>
      </c>
      <c r="M39">
        <v>0.76</v>
      </c>
      <c r="N39">
        <v>0.19400000000000001</v>
      </c>
      <c r="O39">
        <v>4</v>
      </c>
      <c r="P39">
        <v>55</v>
      </c>
      <c r="Q39">
        <v>59</v>
      </c>
      <c r="R39" s="12" t="str">
        <f t="shared" si="0"/>
        <v>Light Rain/Snow</v>
      </c>
      <c r="S39" s="14" t="str">
        <f t="shared" si="1"/>
        <v>Winter</v>
      </c>
      <c r="T39" s="15" t="str">
        <f t="shared" si="2"/>
        <v>Sunday</v>
      </c>
      <c r="U39" t="str">
        <f t="shared" si="3"/>
        <v>January</v>
      </c>
      <c r="V39" s="16" t="str">
        <f t="shared" si="4"/>
        <v>BAD</v>
      </c>
    </row>
    <row r="40" spans="1:22" x14ac:dyDescent="0.3">
      <c r="A40">
        <v>39</v>
      </c>
      <c r="B40" s="1">
        <v>40545</v>
      </c>
      <c r="C40">
        <v>1</v>
      </c>
      <c r="D40">
        <v>0</v>
      </c>
      <c r="E40">
        <v>1</v>
      </c>
      <c r="F40">
        <v>15</v>
      </c>
      <c r="G40" t="b">
        <f>IF(COUNTIF(AB$4:AB$20,Append1[[#This Row],[dteday]]) &gt; 0, TRUE, FALSE)</f>
        <v>0</v>
      </c>
      <c r="H40">
        <v>0</v>
      </c>
      <c r="I40">
        <v>3</v>
      </c>
      <c r="J40">
        <v>0.34</v>
      </c>
      <c r="K40">
        <f>Append1[[#This Row],[temp]]*100</f>
        <v>34</v>
      </c>
      <c r="L40">
        <v>0.33329999999999999</v>
      </c>
      <c r="M40">
        <v>0.81</v>
      </c>
      <c r="N40">
        <v>0.16420000000000001</v>
      </c>
      <c r="O40">
        <v>19</v>
      </c>
      <c r="P40">
        <v>55</v>
      </c>
      <c r="Q40">
        <v>74</v>
      </c>
      <c r="R40" s="12" t="str">
        <f t="shared" si="0"/>
        <v>Light Rain/Snow</v>
      </c>
      <c r="S40" s="14" t="str">
        <f t="shared" si="1"/>
        <v>Winter</v>
      </c>
      <c r="T40" s="15" t="str">
        <f t="shared" si="2"/>
        <v>Sunday</v>
      </c>
      <c r="U40" t="str">
        <f t="shared" si="3"/>
        <v>January</v>
      </c>
      <c r="V40" s="16" t="str">
        <f t="shared" si="4"/>
        <v>BAD</v>
      </c>
    </row>
    <row r="41" spans="1:22" x14ac:dyDescent="0.3">
      <c r="A41">
        <v>40</v>
      </c>
      <c r="B41" s="1">
        <v>40545</v>
      </c>
      <c r="C41">
        <v>1</v>
      </c>
      <c r="D41">
        <v>0</v>
      </c>
      <c r="E41">
        <v>1</v>
      </c>
      <c r="F41">
        <v>16</v>
      </c>
      <c r="G41" t="b">
        <f>IF(COUNTIF(AB$4:AB$20,Append1[[#This Row],[dteday]]) &gt; 0, TRUE, FALSE)</f>
        <v>0</v>
      </c>
      <c r="H41">
        <v>0</v>
      </c>
      <c r="I41">
        <v>3</v>
      </c>
      <c r="J41">
        <v>0.34</v>
      </c>
      <c r="K41">
        <f>Append1[[#This Row],[temp]]*100</f>
        <v>34</v>
      </c>
      <c r="L41">
        <v>0.33329999999999999</v>
      </c>
      <c r="M41">
        <v>0.71</v>
      </c>
      <c r="N41">
        <v>0.16420000000000001</v>
      </c>
      <c r="O41">
        <v>9</v>
      </c>
      <c r="P41">
        <v>67</v>
      </c>
      <c r="Q41">
        <v>76</v>
      </c>
      <c r="R41" s="12" t="str">
        <f t="shared" si="0"/>
        <v>Light Rain/Snow</v>
      </c>
      <c r="S41" s="14" t="str">
        <f t="shared" si="1"/>
        <v>Winter</v>
      </c>
      <c r="T41" s="15" t="str">
        <f t="shared" si="2"/>
        <v>Sunday</v>
      </c>
      <c r="U41" t="str">
        <f t="shared" si="3"/>
        <v>January</v>
      </c>
      <c r="V41" s="16" t="str">
        <f t="shared" si="4"/>
        <v>BAD</v>
      </c>
    </row>
    <row r="42" spans="1:22" x14ac:dyDescent="0.3">
      <c r="A42">
        <v>41</v>
      </c>
      <c r="B42" s="1">
        <v>40545</v>
      </c>
      <c r="C42">
        <v>1</v>
      </c>
      <c r="D42">
        <v>0</v>
      </c>
      <c r="E42">
        <v>1</v>
      </c>
      <c r="F42">
        <v>17</v>
      </c>
      <c r="G42" t="b">
        <f>IF(COUNTIF(AB$4:AB$20,Append1[[#This Row],[dteday]]) &gt; 0, TRUE, FALSE)</f>
        <v>0</v>
      </c>
      <c r="H42">
        <v>0</v>
      </c>
      <c r="I42">
        <v>1</v>
      </c>
      <c r="J42">
        <v>0.34</v>
      </c>
      <c r="K42">
        <f>Append1[[#This Row],[temp]]*100</f>
        <v>34</v>
      </c>
      <c r="L42">
        <v>0.33329999999999999</v>
      </c>
      <c r="M42">
        <v>0.56999999999999995</v>
      </c>
      <c r="N42">
        <v>0.19400000000000001</v>
      </c>
      <c r="O42">
        <v>7</v>
      </c>
      <c r="P42">
        <v>58</v>
      </c>
      <c r="Q42">
        <v>65</v>
      </c>
      <c r="R42" s="12" t="str">
        <f t="shared" si="0"/>
        <v>Clear/Few Clouds</v>
      </c>
      <c r="S42" s="14" t="str">
        <f t="shared" si="1"/>
        <v>Winter</v>
      </c>
      <c r="T42" s="15" t="str">
        <f t="shared" si="2"/>
        <v>Sunday</v>
      </c>
      <c r="U42" t="str">
        <f t="shared" si="3"/>
        <v>January</v>
      </c>
      <c r="V42" s="16" t="str">
        <f t="shared" si="4"/>
        <v>GOOD</v>
      </c>
    </row>
    <row r="43" spans="1:22" x14ac:dyDescent="0.3">
      <c r="A43">
        <v>42</v>
      </c>
      <c r="B43" s="1">
        <v>40545</v>
      </c>
      <c r="C43">
        <v>1</v>
      </c>
      <c r="D43">
        <v>0</v>
      </c>
      <c r="E43">
        <v>1</v>
      </c>
      <c r="F43">
        <v>18</v>
      </c>
      <c r="G43" t="b">
        <f>IF(COUNTIF(AB$4:AB$20,Append1[[#This Row],[dteday]]) &gt; 0, TRUE, FALSE)</f>
        <v>0</v>
      </c>
      <c r="H43">
        <v>0</v>
      </c>
      <c r="I43">
        <v>2</v>
      </c>
      <c r="J43">
        <v>0.36</v>
      </c>
      <c r="K43">
        <f>Append1[[#This Row],[temp]]*100</f>
        <v>36</v>
      </c>
      <c r="L43">
        <v>0.33329999999999999</v>
      </c>
      <c r="M43">
        <v>0.46</v>
      </c>
      <c r="N43">
        <v>0.32840000000000003</v>
      </c>
      <c r="O43">
        <v>10</v>
      </c>
      <c r="P43">
        <v>43</v>
      </c>
      <c r="Q43">
        <v>53</v>
      </c>
      <c r="R43" s="12" t="str">
        <f t="shared" si="0"/>
        <v>Mist/Cloudy</v>
      </c>
      <c r="S43" s="14" t="str">
        <f t="shared" si="1"/>
        <v>Winter</v>
      </c>
      <c r="T43" s="15" t="str">
        <f t="shared" si="2"/>
        <v>Sunday</v>
      </c>
      <c r="U43" t="str">
        <f t="shared" si="3"/>
        <v>January</v>
      </c>
      <c r="V43" s="16" t="str">
        <f t="shared" si="4"/>
        <v>MODERATE</v>
      </c>
    </row>
    <row r="44" spans="1:22" x14ac:dyDescent="0.3">
      <c r="A44">
        <v>43</v>
      </c>
      <c r="B44" s="1">
        <v>40545</v>
      </c>
      <c r="C44">
        <v>1</v>
      </c>
      <c r="D44">
        <v>0</v>
      </c>
      <c r="E44">
        <v>1</v>
      </c>
      <c r="F44">
        <v>19</v>
      </c>
      <c r="G44" t="b">
        <f>IF(COUNTIF(AB$4:AB$20,Append1[[#This Row],[dteday]]) &gt; 0, TRUE, FALSE)</f>
        <v>0</v>
      </c>
      <c r="H44">
        <v>0</v>
      </c>
      <c r="I44">
        <v>1</v>
      </c>
      <c r="J44">
        <v>0.32</v>
      </c>
      <c r="K44">
        <f>Append1[[#This Row],[temp]]*100</f>
        <v>32</v>
      </c>
      <c r="L44">
        <v>0.28789999999999999</v>
      </c>
      <c r="M44">
        <v>0.42</v>
      </c>
      <c r="N44">
        <v>0.44779999999999998</v>
      </c>
      <c r="O44">
        <v>1</v>
      </c>
      <c r="P44">
        <v>29</v>
      </c>
      <c r="Q44">
        <v>30</v>
      </c>
      <c r="R44" s="12" t="str">
        <f t="shared" si="0"/>
        <v>Clear/Few Clouds</v>
      </c>
      <c r="S44" s="14" t="str">
        <f t="shared" si="1"/>
        <v>Winter</v>
      </c>
      <c r="T44" s="15" t="str">
        <f t="shared" si="2"/>
        <v>Sunday</v>
      </c>
      <c r="U44" t="str">
        <f t="shared" si="3"/>
        <v>January</v>
      </c>
      <c r="V44" s="16" t="str">
        <f t="shared" si="4"/>
        <v>GOOD</v>
      </c>
    </row>
    <row r="45" spans="1:22" x14ac:dyDescent="0.3">
      <c r="A45">
        <v>44</v>
      </c>
      <c r="B45" s="1">
        <v>40545</v>
      </c>
      <c r="C45">
        <v>1</v>
      </c>
      <c r="D45">
        <v>0</v>
      </c>
      <c r="E45">
        <v>1</v>
      </c>
      <c r="F45">
        <v>20</v>
      </c>
      <c r="G45" t="b">
        <f>IF(COUNTIF(AB$4:AB$20,Append1[[#This Row],[dteday]]) &gt; 0, TRUE, FALSE)</f>
        <v>0</v>
      </c>
      <c r="H45">
        <v>0</v>
      </c>
      <c r="I45">
        <v>1</v>
      </c>
      <c r="J45">
        <v>0.3</v>
      </c>
      <c r="K45">
        <f>Append1[[#This Row],[temp]]*100</f>
        <v>30</v>
      </c>
      <c r="M45">
        <v>0.39</v>
      </c>
      <c r="N45">
        <v>0.35820000000000002</v>
      </c>
      <c r="O45">
        <v>5</v>
      </c>
      <c r="P45">
        <v>17</v>
      </c>
      <c r="Q45">
        <v>22</v>
      </c>
      <c r="R45" s="12" t="str">
        <f t="shared" si="0"/>
        <v>Clear/Few Clouds</v>
      </c>
      <c r="S45" s="14" t="str">
        <f t="shared" si="1"/>
        <v>Winter</v>
      </c>
      <c r="T45" s="15" t="str">
        <f t="shared" si="2"/>
        <v>Sunday</v>
      </c>
      <c r="U45" t="str">
        <f t="shared" si="3"/>
        <v>January</v>
      </c>
      <c r="V45" s="16" t="str">
        <f t="shared" si="4"/>
        <v>GOOD</v>
      </c>
    </row>
    <row r="46" spans="1:22" x14ac:dyDescent="0.3">
      <c r="A46">
        <v>45</v>
      </c>
      <c r="B46" s="1">
        <v>40545</v>
      </c>
      <c r="C46">
        <v>1</v>
      </c>
      <c r="D46">
        <v>0</v>
      </c>
      <c r="E46">
        <v>1</v>
      </c>
      <c r="F46">
        <v>21</v>
      </c>
      <c r="G46" t="b">
        <f>IF(COUNTIF(AB$4:AB$20,Append1[[#This Row],[dteday]]) &gt; 0, TRUE, FALSE)</f>
        <v>0</v>
      </c>
      <c r="H46">
        <v>0</v>
      </c>
      <c r="I46">
        <v>1</v>
      </c>
      <c r="J46">
        <v>0.26</v>
      </c>
      <c r="K46">
        <f>Append1[[#This Row],[temp]]*100</f>
        <v>26</v>
      </c>
      <c r="L46">
        <v>0.2273</v>
      </c>
      <c r="M46">
        <v>0.44</v>
      </c>
      <c r="N46">
        <v>0.32840000000000003</v>
      </c>
      <c r="O46">
        <v>11</v>
      </c>
      <c r="P46">
        <v>20</v>
      </c>
      <c r="Q46">
        <v>31</v>
      </c>
      <c r="R46" s="12" t="str">
        <f t="shared" si="0"/>
        <v>Clear/Few Clouds</v>
      </c>
      <c r="S46" s="14" t="str">
        <f t="shared" si="1"/>
        <v>Winter</v>
      </c>
      <c r="T46" s="15" t="str">
        <f t="shared" si="2"/>
        <v>Sunday</v>
      </c>
      <c r="U46" t="str">
        <f t="shared" si="3"/>
        <v>January</v>
      </c>
      <c r="V46" s="16" t="str">
        <f t="shared" si="4"/>
        <v>GOOD</v>
      </c>
    </row>
    <row r="47" spans="1:22" x14ac:dyDescent="0.3">
      <c r="A47">
        <v>46</v>
      </c>
      <c r="B47" s="1">
        <v>40545</v>
      </c>
      <c r="C47">
        <v>1</v>
      </c>
      <c r="D47">
        <v>0</v>
      </c>
      <c r="E47">
        <v>1</v>
      </c>
      <c r="F47">
        <v>22</v>
      </c>
      <c r="G47" t="b">
        <f>IF(COUNTIF(AB$4:AB$20,Append1[[#This Row],[dteday]]) &gt; 0, TRUE, FALSE)</f>
        <v>0</v>
      </c>
      <c r="H47">
        <v>0</v>
      </c>
      <c r="I47">
        <v>1</v>
      </c>
      <c r="J47">
        <v>0.24</v>
      </c>
      <c r="K47">
        <f>Append1[[#This Row],[temp]]*100</f>
        <v>24</v>
      </c>
      <c r="L47">
        <v>0.21210000000000001</v>
      </c>
      <c r="M47">
        <v>0.44</v>
      </c>
      <c r="N47">
        <v>0.29849999999999999</v>
      </c>
      <c r="O47">
        <v>0</v>
      </c>
      <c r="P47">
        <v>9</v>
      </c>
      <c r="Q47">
        <v>9</v>
      </c>
      <c r="R47" s="12" t="str">
        <f t="shared" si="0"/>
        <v>Clear/Few Clouds</v>
      </c>
      <c r="S47" s="14" t="str">
        <f t="shared" si="1"/>
        <v>Winter</v>
      </c>
      <c r="T47" s="15" t="str">
        <f t="shared" si="2"/>
        <v>Sunday</v>
      </c>
      <c r="U47" t="str">
        <f t="shared" si="3"/>
        <v>January</v>
      </c>
      <c r="V47" s="16" t="str">
        <f t="shared" si="4"/>
        <v>GOOD</v>
      </c>
    </row>
    <row r="48" spans="1:22" x14ac:dyDescent="0.3">
      <c r="A48">
        <v>47</v>
      </c>
      <c r="B48" s="1">
        <v>40545</v>
      </c>
      <c r="C48">
        <v>1</v>
      </c>
      <c r="D48">
        <v>0</v>
      </c>
      <c r="E48">
        <v>1</v>
      </c>
      <c r="F48">
        <v>23</v>
      </c>
      <c r="G48" t="b">
        <f>IF(COUNTIF(AB$4:AB$20,Append1[[#This Row],[dteday]]) &gt; 0, TRUE, FALSE)</f>
        <v>0</v>
      </c>
      <c r="H48">
        <v>0</v>
      </c>
      <c r="I48">
        <v>1</v>
      </c>
      <c r="J48">
        <v>0.22</v>
      </c>
      <c r="K48">
        <f>Append1[[#This Row],[temp]]*100</f>
        <v>22</v>
      </c>
      <c r="L48">
        <v>0.2273</v>
      </c>
      <c r="M48">
        <v>0.47</v>
      </c>
      <c r="N48">
        <v>0.16420000000000001</v>
      </c>
      <c r="O48">
        <v>0</v>
      </c>
      <c r="P48">
        <v>8</v>
      </c>
      <c r="Q48">
        <v>8</v>
      </c>
      <c r="R48" s="12" t="str">
        <f t="shared" si="0"/>
        <v>Clear/Few Clouds</v>
      </c>
      <c r="S48" s="14" t="str">
        <f t="shared" si="1"/>
        <v>Winter</v>
      </c>
      <c r="T48" s="15" t="str">
        <f t="shared" si="2"/>
        <v>Sunday</v>
      </c>
      <c r="U48" t="str">
        <f t="shared" si="3"/>
        <v>January</v>
      </c>
      <c r="V48" s="16" t="str">
        <f t="shared" si="4"/>
        <v>GOOD</v>
      </c>
    </row>
    <row r="49" spans="1:22" x14ac:dyDescent="0.3">
      <c r="A49">
        <v>48</v>
      </c>
      <c r="B49" s="1">
        <v>40546</v>
      </c>
      <c r="C49">
        <v>1</v>
      </c>
      <c r="D49">
        <v>0</v>
      </c>
      <c r="E49">
        <v>1</v>
      </c>
      <c r="F49">
        <v>0</v>
      </c>
      <c r="G49" t="b">
        <f>IF(COUNTIF(AB$4:AB$20,Append1[[#This Row],[dteday]]) &gt; 0, TRUE, FALSE)</f>
        <v>0</v>
      </c>
      <c r="H49">
        <v>1</v>
      </c>
      <c r="I49">
        <v>1</v>
      </c>
      <c r="J49">
        <v>0.22</v>
      </c>
      <c r="K49">
        <f>Append1[[#This Row],[temp]]*100</f>
        <v>22</v>
      </c>
      <c r="L49">
        <v>0.19700000000000001</v>
      </c>
      <c r="M49">
        <v>0.44</v>
      </c>
      <c r="N49">
        <v>0.35820000000000002</v>
      </c>
      <c r="O49">
        <v>0</v>
      </c>
      <c r="P49">
        <v>5</v>
      </c>
      <c r="Q49">
        <v>5</v>
      </c>
      <c r="R49" s="12" t="str">
        <f t="shared" si="0"/>
        <v>Clear/Few Clouds</v>
      </c>
      <c r="S49" s="14" t="str">
        <f t="shared" si="1"/>
        <v>Winter</v>
      </c>
      <c r="T49" s="15" t="str">
        <f t="shared" si="2"/>
        <v>Monday</v>
      </c>
      <c r="U49" t="str">
        <f t="shared" si="3"/>
        <v>January</v>
      </c>
      <c r="V49" s="16" t="str">
        <f t="shared" si="4"/>
        <v>GOOD</v>
      </c>
    </row>
    <row r="50" spans="1:22" x14ac:dyDescent="0.3">
      <c r="A50">
        <v>49</v>
      </c>
      <c r="B50" s="1">
        <v>40546</v>
      </c>
      <c r="C50">
        <v>1</v>
      </c>
      <c r="D50">
        <v>0</v>
      </c>
      <c r="E50">
        <v>1</v>
      </c>
      <c r="F50">
        <v>1</v>
      </c>
      <c r="G50" t="b">
        <f>IF(COUNTIF(AB$4:AB$20,Append1[[#This Row],[dteday]]) &gt; 0, TRUE, FALSE)</f>
        <v>0</v>
      </c>
      <c r="H50">
        <v>1</v>
      </c>
      <c r="I50">
        <v>1</v>
      </c>
      <c r="J50">
        <v>0.2</v>
      </c>
      <c r="K50">
        <f>Append1[[#This Row],[temp]]*100</f>
        <v>20</v>
      </c>
      <c r="M50">
        <v>0.44</v>
      </c>
      <c r="N50">
        <v>0.41789999999999999</v>
      </c>
      <c r="O50">
        <v>0</v>
      </c>
      <c r="P50">
        <v>2</v>
      </c>
      <c r="Q50">
        <v>2</v>
      </c>
      <c r="R50" s="12" t="str">
        <f t="shared" si="0"/>
        <v>Clear/Few Clouds</v>
      </c>
      <c r="S50" s="14" t="str">
        <f t="shared" si="1"/>
        <v>Winter</v>
      </c>
      <c r="T50" s="15" t="str">
        <f t="shared" si="2"/>
        <v>Monday</v>
      </c>
      <c r="U50" t="str">
        <f t="shared" si="3"/>
        <v>January</v>
      </c>
      <c r="V50" s="16" t="str">
        <f t="shared" si="4"/>
        <v>GOOD</v>
      </c>
    </row>
    <row r="51" spans="1:22" x14ac:dyDescent="0.3">
      <c r="A51">
        <v>50</v>
      </c>
      <c r="B51" s="1">
        <v>40546</v>
      </c>
      <c r="C51">
        <v>1</v>
      </c>
      <c r="D51">
        <v>0</v>
      </c>
      <c r="E51">
        <v>1</v>
      </c>
      <c r="F51">
        <v>4</v>
      </c>
      <c r="G51" t="b">
        <f>IF(COUNTIF(AB$4:AB$20,Append1[[#This Row],[dteday]]) &gt; 0, TRUE, FALSE)</f>
        <v>0</v>
      </c>
      <c r="H51">
        <v>1</v>
      </c>
      <c r="I51">
        <v>1</v>
      </c>
      <c r="J51">
        <v>0.16</v>
      </c>
      <c r="K51">
        <f>Append1[[#This Row],[temp]]*100</f>
        <v>16</v>
      </c>
      <c r="L51">
        <v>0.13639999999999999</v>
      </c>
      <c r="M51">
        <v>0.47</v>
      </c>
      <c r="N51">
        <v>0.3881</v>
      </c>
      <c r="O51">
        <v>0</v>
      </c>
      <c r="P51">
        <v>1</v>
      </c>
      <c r="Q51">
        <v>1</v>
      </c>
      <c r="R51" s="12" t="str">
        <f t="shared" si="0"/>
        <v>Clear/Few Clouds</v>
      </c>
      <c r="S51" s="14" t="str">
        <f t="shared" si="1"/>
        <v>Winter</v>
      </c>
      <c r="T51" s="15" t="str">
        <f t="shared" si="2"/>
        <v>Monday</v>
      </c>
      <c r="U51" t="str">
        <f t="shared" si="3"/>
        <v>January</v>
      </c>
      <c r="V51" s="16" t="str">
        <f t="shared" si="4"/>
        <v>GOOD</v>
      </c>
    </row>
    <row r="52" spans="1:22" x14ac:dyDescent="0.3">
      <c r="A52">
        <v>51</v>
      </c>
      <c r="B52" s="1">
        <v>40546</v>
      </c>
      <c r="C52">
        <v>1</v>
      </c>
      <c r="D52">
        <v>0</v>
      </c>
      <c r="E52">
        <v>1</v>
      </c>
      <c r="F52">
        <v>5</v>
      </c>
      <c r="G52" t="b">
        <f>IF(COUNTIF(AB$4:AB$20,Append1[[#This Row],[dteday]]) &gt; 0, TRUE, FALSE)</f>
        <v>0</v>
      </c>
      <c r="H52">
        <v>1</v>
      </c>
      <c r="I52">
        <v>1</v>
      </c>
      <c r="J52">
        <v>0.16</v>
      </c>
      <c r="K52">
        <f>Append1[[#This Row],[temp]]*100</f>
        <v>16</v>
      </c>
      <c r="L52">
        <v>0.13639999999999999</v>
      </c>
      <c r="M52">
        <v>0.47</v>
      </c>
      <c r="N52">
        <v>0.28360000000000002</v>
      </c>
      <c r="O52">
        <v>0</v>
      </c>
      <c r="P52">
        <v>3</v>
      </c>
      <c r="Q52">
        <v>3</v>
      </c>
      <c r="R52" s="12" t="str">
        <f t="shared" si="0"/>
        <v>Clear/Few Clouds</v>
      </c>
      <c r="S52" s="14" t="str">
        <f t="shared" si="1"/>
        <v>Winter</v>
      </c>
      <c r="T52" s="15" t="str">
        <f t="shared" si="2"/>
        <v>Monday</v>
      </c>
      <c r="U52" t="str">
        <f t="shared" si="3"/>
        <v>January</v>
      </c>
      <c r="V52" s="16" t="str">
        <f t="shared" si="4"/>
        <v>GOOD</v>
      </c>
    </row>
    <row r="53" spans="1:22" x14ac:dyDescent="0.3">
      <c r="A53">
        <v>52</v>
      </c>
      <c r="B53" s="1">
        <v>40546</v>
      </c>
      <c r="C53">
        <v>1</v>
      </c>
      <c r="D53">
        <v>0</v>
      </c>
      <c r="E53">
        <v>1</v>
      </c>
      <c r="F53">
        <v>6</v>
      </c>
      <c r="G53" t="b">
        <f>IF(COUNTIF(AB$4:AB$20,Append1[[#This Row],[dteday]]) &gt; 0, TRUE, FALSE)</f>
        <v>0</v>
      </c>
      <c r="H53">
        <v>1</v>
      </c>
      <c r="I53">
        <v>1</v>
      </c>
      <c r="J53">
        <v>0.14000000000000001</v>
      </c>
      <c r="K53">
        <f>Append1[[#This Row],[temp]]*100</f>
        <v>14.000000000000002</v>
      </c>
      <c r="L53">
        <v>0.1061</v>
      </c>
      <c r="M53">
        <v>0.5</v>
      </c>
      <c r="N53">
        <v>0.3881</v>
      </c>
      <c r="O53">
        <v>0</v>
      </c>
      <c r="P53">
        <v>30</v>
      </c>
      <c r="Q53">
        <v>30</v>
      </c>
      <c r="R53" s="12" t="str">
        <f t="shared" si="0"/>
        <v>Clear/Few Clouds</v>
      </c>
      <c r="S53" s="14" t="str">
        <f t="shared" si="1"/>
        <v>Winter</v>
      </c>
      <c r="T53" s="15" t="str">
        <f t="shared" si="2"/>
        <v>Monday</v>
      </c>
      <c r="U53" t="str">
        <f t="shared" si="3"/>
        <v>January</v>
      </c>
      <c r="V53" s="16" t="str">
        <f t="shared" si="4"/>
        <v>GOOD</v>
      </c>
    </row>
    <row r="54" spans="1:22" x14ac:dyDescent="0.3">
      <c r="A54">
        <v>53</v>
      </c>
      <c r="B54" s="1">
        <v>40546</v>
      </c>
      <c r="C54">
        <v>1</v>
      </c>
      <c r="D54">
        <v>0</v>
      </c>
      <c r="E54">
        <v>1</v>
      </c>
      <c r="F54">
        <v>7</v>
      </c>
      <c r="G54" t="b">
        <f>IF(COUNTIF(AB$4:AB$20,Append1[[#This Row],[dteday]]) &gt; 0, TRUE, FALSE)</f>
        <v>0</v>
      </c>
      <c r="H54">
        <v>1</v>
      </c>
      <c r="I54">
        <v>1</v>
      </c>
      <c r="J54">
        <v>0.14000000000000001</v>
      </c>
      <c r="K54">
        <f>Append1[[#This Row],[temp]]*100</f>
        <v>14.000000000000002</v>
      </c>
      <c r="L54">
        <v>0.13639999999999999</v>
      </c>
      <c r="M54">
        <v>0.5</v>
      </c>
      <c r="N54">
        <v>0.19400000000000001</v>
      </c>
      <c r="O54">
        <v>1</v>
      </c>
      <c r="P54">
        <v>63</v>
      </c>
      <c r="Q54">
        <v>64</v>
      </c>
      <c r="R54" s="12" t="str">
        <f t="shared" si="0"/>
        <v>Clear/Few Clouds</v>
      </c>
      <c r="S54" s="14" t="str">
        <f t="shared" si="1"/>
        <v>Winter</v>
      </c>
      <c r="T54" s="15" t="str">
        <f t="shared" si="2"/>
        <v>Monday</v>
      </c>
      <c r="U54" t="str">
        <f t="shared" si="3"/>
        <v>January</v>
      </c>
      <c r="V54" s="16" t="str">
        <f t="shared" si="4"/>
        <v>GOOD</v>
      </c>
    </row>
    <row r="55" spans="1:22" x14ac:dyDescent="0.3">
      <c r="A55">
        <v>54</v>
      </c>
      <c r="B55" s="1">
        <v>40546</v>
      </c>
      <c r="C55">
        <v>1</v>
      </c>
      <c r="D55">
        <v>0</v>
      </c>
      <c r="E55">
        <v>1</v>
      </c>
      <c r="F55">
        <v>8</v>
      </c>
      <c r="G55" t="b">
        <f>IF(COUNTIF(AB$4:AB$20,Append1[[#This Row],[dteday]]) &gt; 0, TRUE, FALSE)</f>
        <v>0</v>
      </c>
      <c r="H55">
        <v>1</v>
      </c>
      <c r="I55">
        <v>1</v>
      </c>
      <c r="J55">
        <v>0.14000000000000001</v>
      </c>
      <c r="K55">
        <f>Append1[[#This Row],[temp]]*100</f>
        <v>14.000000000000002</v>
      </c>
      <c r="L55">
        <v>0.1212</v>
      </c>
      <c r="M55">
        <v>0.5</v>
      </c>
      <c r="N55">
        <v>0.28360000000000002</v>
      </c>
      <c r="O55">
        <v>1</v>
      </c>
      <c r="P55">
        <v>153</v>
      </c>
      <c r="Q55">
        <v>154</v>
      </c>
      <c r="R55" s="12" t="str">
        <f t="shared" si="0"/>
        <v>Clear/Few Clouds</v>
      </c>
      <c r="S55" s="14" t="str">
        <f t="shared" si="1"/>
        <v>Winter</v>
      </c>
      <c r="T55" s="15" t="str">
        <f t="shared" si="2"/>
        <v>Monday</v>
      </c>
      <c r="U55" t="str">
        <f t="shared" si="3"/>
        <v>January</v>
      </c>
      <c r="V55" s="16" t="str">
        <f t="shared" si="4"/>
        <v>GOOD</v>
      </c>
    </row>
    <row r="56" spans="1:22" x14ac:dyDescent="0.3">
      <c r="A56">
        <v>55</v>
      </c>
      <c r="B56" s="1">
        <v>40546</v>
      </c>
      <c r="C56">
        <v>1</v>
      </c>
      <c r="D56">
        <v>0</v>
      </c>
      <c r="E56">
        <v>1</v>
      </c>
      <c r="F56">
        <v>9</v>
      </c>
      <c r="G56" t="b">
        <f>IF(COUNTIF(AB$4:AB$20,Append1[[#This Row],[dteday]]) &gt; 0, TRUE, FALSE)</f>
        <v>0</v>
      </c>
      <c r="H56">
        <v>1</v>
      </c>
      <c r="I56">
        <v>1</v>
      </c>
      <c r="J56">
        <v>0.16</v>
      </c>
      <c r="K56">
        <f>Append1[[#This Row],[temp]]*100</f>
        <v>16</v>
      </c>
      <c r="L56">
        <v>0.13639999999999999</v>
      </c>
      <c r="M56">
        <v>0.43</v>
      </c>
      <c r="N56">
        <v>0.3881</v>
      </c>
      <c r="O56">
        <v>7</v>
      </c>
      <c r="P56">
        <v>81</v>
      </c>
      <c r="Q56">
        <v>88</v>
      </c>
      <c r="R56" s="12" t="str">
        <f t="shared" si="0"/>
        <v>Clear/Few Clouds</v>
      </c>
      <c r="S56" s="14" t="str">
        <f t="shared" si="1"/>
        <v>Winter</v>
      </c>
      <c r="T56" s="15" t="str">
        <f t="shared" si="2"/>
        <v>Monday</v>
      </c>
      <c r="U56" t="str">
        <f t="shared" si="3"/>
        <v>January</v>
      </c>
      <c r="V56" s="16" t="str">
        <f t="shared" si="4"/>
        <v>GOOD</v>
      </c>
    </row>
    <row r="57" spans="1:22" x14ac:dyDescent="0.3">
      <c r="A57">
        <v>56</v>
      </c>
      <c r="B57" s="1">
        <v>40546</v>
      </c>
      <c r="C57">
        <v>1</v>
      </c>
      <c r="D57">
        <v>0</v>
      </c>
      <c r="E57">
        <v>1</v>
      </c>
      <c r="F57">
        <v>10</v>
      </c>
      <c r="G57" t="b">
        <f>IF(COUNTIF(AB$4:AB$20,Append1[[#This Row],[dteday]]) &gt; 0, TRUE, FALSE)</f>
        <v>0</v>
      </c>
      <c r="H57">
        <v>1</v>
      </c>
      <c r="I57">
        <v>1</v>
      </c>
      <c r="J57">
        <v>0.18</v>
      </c>
      <c r="K57">
        <f>Append1[[#This Row],[temp]]*100</f>
        <v>18</v>
      </c>
      <c r="L57">
        <v>0.16669999999999999</v>
      </c>
      <c r="M57">
        <v>0.43</v>
      </c>
      <c r="N57">
        <v>0.25369999999999998</v>
      </c>
      <c r="O57">
        <v>11</v>
      </c>
      <c r="P57">
        <v>33</v>
      </c>
      <c r="Q57">
        <v>44</v>
      </c>
      <c r="R57" s="12" t="str">
        <f t="shared" si="0"/>
        <v>Clear/Few Clouds</v>
      </c>
      <c r="S57" s="14" t="str">
        <f t="shared" si="1"/>
        <v>Winter</v>
      </c>
      <c r="T57" s="15" t="str">
        <f t="shared" si="2"/>
        <v>Monday</v>
      </c>
      <c r="U57" t="str">
        <f t="shared" si="3"/>
        <v>January</v>
      </c>
      <c r="V57" s="16" t="str">
        <f t="shared" si="4"/>
        <v>GOOD</v>
      </c>
    </row>
    <row r="58" spans="1:22" x14ac:dyDescent="0.3">
      <c r="A58">
        <v>57</v>
      </c>
      <c r="B58" s="1">
        <v>40546</v>
      </c>
      <c r="C58">
        <v>1</v>
      </c>
      <c r="D58">
        <v>0</v>
      </c>
      <c r="E58">
        <v>1</v>
      </c>
      <c r="F58">
        <v>11</v>
      </c>
      <c r="G58" t="b">
        <f>IF(COUNTIF(AB$4:AB$20,Append1[[#This Row],[dteday]]) &gt; 0, TRUE, FALSE)</f>
        <v>0</v>
      </c>
      <c r="H58">
        <v>1</v>
      </c>
      <c r="I58">
        <v>1</v>
      </c>
      <c r="J58">
        <v>0.2</v>
      </c>
      <c r="K58">
        <f>Append1[[#This Row],[temp]]*100</f>
        <v>20</v>
      </c>
      <c r="L58">
        <v>0.18179999999999999</v>
      </c>
      <c r="M58">
        <v>0.4</v>
      </c>
      <c r="N58">
        <v>0.32840000000000003</v>
      </c>
      <c r="O58">
        <v>10</v>
      </c>
      <c r="P58">
        <v>41</v>
      </c>
      <c r="Q58">
        <v>51</v>
      </c>
      <c r="R58" s="12" t="str">
        <f t="shared" si="0"/>
        <v>Clear/Few Clouds</v>
      </c>
      <c r="S58" s="14" t="str">
        <f t="shared" si="1"/>
        <v>Winter</v>
      </c>
      <c r="T58" s="15" t="str">
        <f t="shared" si="2"/>
        <v>Monday</v>
      </c>
      <c r="U58" t="str">
        <f t="shared" si="3"/>
        <v>January</v>
      </c>
      <c r="V58" s="16" t="str">
        <f t="shared" si="4"/>
        <v>GOOD</v>
      </c>
    </row>
    <row r="59" spans="1:22" x14ac:dyDescent="0.3">
      <c r="A59">
        <v>58</v>
      </c>
      <c r="B59" s="1">
        <v>40546</v>
      </c>
      <c r="C59">
        <v>1</v>
      </c>
      <c r="D59">
        <v>0</v>
      </c>
      <c r="E59">
        <v>1</v>
      </c>
      <c r="F59">
        <v>12</v>
      </c>
      <c r="G59" t="b">
        <f>IF(COUNTIF(AB$4:AB$20,Append1[[#This Row],[dteday]]) &gt; 0, TRUE, FALSE)</f>
        <v>0</v>
      </c>
      <c r="H59">
        <v>1</v>
      </c>
      <c r="I59">
        <v>1</v>
      </c>
      <c r="J59">
        <v>0.22</v>
      </c>
      <c r="K59">
        <f>Append1[[#This Row],[temp]]*100</f>
        <v>22</v>
      </c>
      <c r="L59">
        <v>0.21210000000000001</v>
      </c>
      <c r="M59">
        <v>0.35</v>
      </c>
      <c r="N59">
        <v>0.29849999999999999</v>
      </c>
      <c r="O59">
        <v>13</v>
      </c>
      <c r="P59">
        <v>48</v>
      </c>
      <c r="Q59">
        <v>61</v>
      </c>
      <c r="R59" s="12" t="str">
        <f t="shared" si="0"/>
        <v>Clear/Few Clouds</v>
      </c>
      <c r="S59" s="14" t="str">
        <f t="shared" si="1"/>
        <v>Winter</v>
      </c>
      <c r="T59" s="15" t="str">
        <f t="shared" si="2"/>
        <v>Monday</v>
      </c>
      <c r="U59" t="str">
        <f t="shared" si="3"/>
        <v>January</v>
      </c>
      <c r="V59" s="16" t="str">
        <f t="shared" si="4"/>
        <v>GOOD</v>
      </c>
    </row>
    <row r="60" spans="1:22" x14ac:dyDescent="0.3">
      <c r="A60">
        <v>59</v>
      </c>
      <c r="B60" s="1">
        <v>40546</v>
      </c>
      <c r="C60">
        <v>1</v>
      </c>
      <c r="D60">
        <v>0</v>
      </c>
      <c r="E60">
        <v>1</v>
      </c>
      <c r="F60">
        <v>13</v>
      </c>
      <c r="G60" t="b">
        <f>IF(COUNTIF(AB$4:AB$20,Append1[[#This Row],[dteday]]) &gt; 0, TRUE, FALSE)</f>
        <v>0</v>
      </c>
      <c r="H60">
        <v>1</v>
      </c>
      <c r="I60">
        <v>1</v>
      </c>
      <c r="J60">
        <v>0.24</v>
      </c>
      <c r="K60">
        <f>Append1[[#This Row],[temp]]*100</f>
        <v>24</v>
      </c>
      <c r="M60">
        <v>0.35</v>
      </c>
      <c r="N60">
        <v>0.28360000000000002</v>
      </c>
      <c r="O60">
        <v>8</v>
      </c>
      <c r="P60">
        <v>53</v>
      </c>
      <c r="Q60">
        <v>61</v>
      </c>
      <c r="R60" s="12" t="str">
        <f t="shared" si="0"/>
        <v>Clear/Few Clouds</v>
      </c>
      <c r="S60" s="14" t="str">
        <f t="shared" si="1"/>
        <v>Winter</v>
      </c>
      <c r="T60" s="15" t="str">
        <f t="shared" si="2"/>
        <v>Monday</v>
      </c>
      <c r="U60" t="str">
        <f t="shared" si="3"/>
        <v>January</v>
      </c>
      <c r="V60" s="16" t="str">
        <f t="shared" si="4"/>
        <v>GOOD</v>
      </c>
    </row>
    <row r="61" spans="1:22" x14ac:dyDescent="0.3">
      <c r="A61">
        <v>60</v>
      </c>
      <c r="B61" s="1">
        <v>40546</v>
      </c>
      <c r="C61">
        <v>1</v>
      </c>
      <c r="D61">
        <v>0</v>
      </c>
      <c r="E61">
        <v>1</v>
      </c>
      <c r="F61">
        <v>14</v>
      </c>
      <c r="G61" t="b">
        <f>IF(COUNTIF(AB$4:AB$20,Append1[[#This Row],[dteday]]) &gt; 0, TRUE, FALSE)</f>
        <v>0</v>
      </c>
      <c r="H61">
        <v>1</v>
      </c>
      <c r="I61">
        <v>1</v>
      </c>
      <c r="J61">
        <v>0.26</v>
      </c>
      <c r="K61">
        <f>Append1[[#This Row],[temp]]*100</f>
        <v>26</v>
      </c>
      <c r="L61">
        <v>0.2424</v>
      </c>
      <c r="M61">
        <v>0.3</v>
      </c>
      <c r="N61">
        <v>0.28360000000000002</v>
      </c>
      <c r="O61">
        <v>11</v>
      </c>
      <c r="P61">
        <v>66</v>
      </c>
      <c r="Q61">
        <v>77</v>
      </c>
      <c r="R61" s="12" t="str">
        <f t="shared" si="0"/>
        <v>Clear/Few Clouds</v>
      </c>
      <c r="S61" s="14" t="str">
        <f t="shared" si="1"/>
        <v>Winter</v>
      </c>
      <c r="T61" s="15" t="str">
        <f t="shared" si="2"/>
        <v>Monday</v>
      </c>
      <c r="U61" t="str">
        <f t="shared" si="3"/>
        <v>January</v>
      </c>
      <c r="V61" s="16" t="str">
        <f t="shared" si="4"/>
        <v>GOOD</v>
      </c>
    </row>
    <row r="62" spans="1:22" x14ac:dyDescent="0.3">
      <c r="A62">
        <v>61</v>
      </c>
      <c r="B62" s="1">
        <v>40546</v>
      </c>
      <c r="C62">
        <v>1</v>
      </c>
      <c r="D62">
        <v>0</v>
      </c>
      <c r="E62">
        <v>1</v>
      </c>
      <c r="F62">
        <v>15</v>
      </c>
      <c r="G62" t="b">
        <f>IF(COUNTIF(AB$4:AB$20,Append1[[#This Row],[dteday]]) &gt; 0, TRUE, FALSE)</f>
        <v>0</v>
      </c>
      <c r="H62">
        <v>1</v>
      </c>
      <c r="I62">
        <v>1</v>
      </c>
      <c r="J62">
        <v>0.26</v>
      </c>
      <c r="K62">
        <f>Append1[[#This Row],[temp]]*100</f>
        <v>26</v>
      </c>
      <c r="L62">
        <v>0.2424</v>
      </c>
      <c r="M62">
        <v>0.3</v>
      </c>
      <c r="N62">
        <v>0.25369999999999998</v>
      </c>
      <c r="O62">
        <v>14</v>
      </c>
      <c r="P62">
        <v>58</v>
      </c>
      <c r="Q62">
        <v>72</v>
      </c>
      <c r="R62" s="12" t="str">
        <f t="shared" si="0"/>
        <v>Clear/Few Clouds</v>
      </c>
      <c r="S62" s="14" t="str">
        <f t="shared" si="1"/>
        <v>Winter</v>
      </c>
      <c r="T62" s="15" t="str">
        <f t="shared" si="2"/>
        <v>Monday</v>
      </c>
      <c r="U62" t="str">
        <f t="shared" si="3"/>
        <v>January</v>
      </c>
      <c r="V62" s="16" t="str">
        <f t="shared" si="4"/>
        <v>GOOD</v>
      </c>
    </row>
    <row r="63" spans="1:22" x14ac:dyDescent="0.3">
      <c r="A63">
        <v>62</v>
      </c>
      <c r="B63" s="1">
        <v>40546</v>
      </c>
      <c r="C63">
        <v>1</v>
      </c>
      <c r="D63">
        <v>0</v>
      </c>
      <c r="E63">
        <v>1</v>
      </c>
      <c r="F63">
        <v>16</v>
      </c>
      <c r="G63" t="b">
        <f>IF(COUNTIF(AB$4:AB$20,Append1[[#This Row],[dteday]]) &gt; 0, TRUE, FALSE)</f>
        <v>0</v>
      </c>
      <c r="H63">
        <v>1</v>
      </c>
      <c r="I63">
        <v>1</v>
      </c>
      <c r="J63">
        <v>0.26</v>
      </c>
      <c r="K63">
        <f>Append1[[#This Row],[temp]]*100</f>
        <v>26</v>
      </c>
      <c r="L63">
        <v>0.2424</v>
      </c>
      <c r="M63">
        <v>0.3</v>
      </c>
      <c r="N63">
        <v>0.25369999999999998</v>
      </c>
      <c r="O63">
        <v>9</v>
      </c>
      <c r="P63">
        <v>67</v>
      </c>
      <c r="Q63">
        <v>76</v>
      </c>
      <c r="R63" s="12" t="str">
        <f t="shared" si="0"/>
        <v>Clear/Few Clouds</v>
      </c>
      <c r="S63" s="14" t="str">
        <f t="shared" si="1"/>
        <v>Winter</v>
      </c>
      <c r="T63" s="15" t="str">
        <f t="shared" si="2"/>
        <v>Monday</v>
      </c>
      <c r="U63" t="str">
        <f t="shared" si="3"/>
        <v>January</v>
      </c>
      <c r="V63" s="16" t="str">
        <f t="shared" si="4"/>
        <v>GOOD</v>
      </c>
    </row>
    <row r="64" spans="1:22" x14ac:dyDescent="0.3">
      <c r="A64">
        <v>63</v>
      </c>
      <c r="B64" s="1">
        <v>40546</v>
      </c>
      <c r="C64">
        <v>1</v>
      </c>
      <c r="D64">
        <v>0</v>
      </c>
      <c r="E64">
        <v>1</v>
      </c>
      <c r="F64">
        <v>17</v>
      </c>
      <c r="G64" t="b">
        <f>IF(COUNTIF(AB$4:AB$20,Append1[[#This Row],[dteday]]) &gt; 0, TRUE, FALSE)</f>
        <v>0</v>
      </c>
      <c r="H64">
        <v>1</v>
      </c>
      <c r="I64">
        <v>1</v>
      </c>
      <c r="J64">
        <v>0.24</v>
      </c>
      <c r="K64">
        <f>Append1[[#This Row],[temp]]*100</f>
        <v>24</v>
      </c>
      <c r="L64">
        <v>0.2273</v>
      </c>
      <c r="M64">
        <v>0.3</v>
      </c>
      <c r="N64">
        <v>0.22389999999999999</v>
      </c>
      <c r="O64">
        <v>11</v>
      </c>
      <c r="P64">
        <v>146</v>
      </c>
      <c r="Q64">
        <v>157</v>
      </c>
      <c r="R64" s="12" t="str">
        <f t="shared" si="0"/>
        <v>Clear/Few Clouds</v>
      </c>
      <c r="S64" s="14" t="str">
        <f t="shared" si="1"/>
        <v>Winter</v>
      </c>
      <c r="T64" s="15" t="str">
        <f t="shared" si="2"/>
        <v>Monday</v>
      </c>
      <c r="U64" t="str">
        <f t="shared" si="3"/>
        <v>January</v>
      </c>
      <c r="V64" s="16" t="str">
        <f t="shared" si="4"/>
        <v>GOOD</v>
      </c>
    </row>
    <row r="65" spans="1:22" x14ac:dyDescent="0.3">
      <c r="A65">
        <v>64</v>
      </c>
      <c r="B65" s="1">
        <v>40546</v>
      </c>
      <c r="C65">
        <v>1</v>
      </c>
      <c r="D65">
        <v>0</v>
      </c>
      <c r="E65">
        <v>1</v>
      </c>
      <c r="F65">
        <v>18</v>
      </c>
      <c r="G65" t="b">
        <f>IF(COUNTIF(AB$4:AB$20,Append1[[#This Row],[dteday]]) &gt; 0, TRUE, FALSE)</f>
        <v>0</v>
      </c>
      <c r="H65">
        <v>1</v>
      </c>
      <c r="I65">
        <v>1</v>
      </c>
      <c r="J65">
        <v>0.24</v>
      </c>
      <c r="K65">
        <f>Append1[[#This Row],[temp]]*100</f>
        <v>24</v>
      </c>
      <c r="L65">
        <v>0.2576</v>
      </c>
      <c r="M65">
        <v>0.32</v>
      </c>
      <c r="N65">
        <v>0.1045</v>
      </c>
      <c r="O65">
        <v>9</v>
      </c>
      <c r="P65">
        <v>148</v>
      </c>
      <c r="Q65">
        <v>157</v>
      </c>
      <c r="R65" s="12" t="str">
        <f t="shared" si="0"/>
        <v>Clear/Few Clouds</v>
      </c>
      <c r="S65" s="14" t="str">
        <f t="shared" si="1"/>
        <v>Winter</v>
      </c>
      <c r="T65" s="15" t="str">
        <f t="shared" si="2"/>
        <v>Monday</v>
      </c>
      <c r="U65" t="str">
        <f t="shared" si="3"/>
        <v>January</v>
      </c>
      <c r="V65" s="16" t="str">
        <f t="shared" si="4"/>
        <v>GOOD</v>
      </c>
    </row>
    <row r="66" spans="1:22" x14ac:dyDescent="0.3">
      <c r="A66">
        <v>65</v>
      </c>
      <c r="B66" s="1">
        <v>40546</v>
      </c>
      <c r="C66">
        <v>1</v>
      </c>
      <c r="D66">
        <v>0</v>
      </c>
      <c r="E66">
        <v>1</v>
      </c>
      <c r="F66">
        <v>19</v>
      </c>
      <c r="G66" t="b">
        <f>IF(COUNTIF(AB$4:AB$20,Append1[[#This Row],[dteday]]) &gt; 0, TRUE, FALSE)</f>
        <v>0</v>
      </c>
      <c r="H66">
        <v>1</v>
      </c>
      <c r="I66">
        <v>1</v>
      </c>
      <c r="J66">
        <v>0.2</v>
      </c>
      <c r="K66">
        <f>Append1[[#This Row],[temp]]*100</f>
        <v>20</v>
      </c>
      <c r="L66">
        <v>0.2576</v>
      </c>
      <c r="M66">
        <v>0.47</v>
      </c>
      <c r="N66">
        <v>0</v>
      </c>
      <c r="O66">
        <v>8</v>
      </c>
      <c r="P66">
        <v>102</v>
      </c>
      <c r="Q66">
        <v>110</v>
      </c>
      <c r="R66" s="12" t="str">
        <f t="shared" ref="R66:R129" si="5">_xlfn.IFS(I66=1,"Clear/Few Clouds",I66=2,"Mist/Cloudy",I66=3,"Light Rain/Snow",I66=4,"Heavy Rain/Snow")</f>
        <v>Clear/Few Clouds</v>
      </c>
      <c r="S66" s="14" t="str">
        <f t="shared" ref="S66:S129" si="6">_xlfn.IFS(C66=1,"Winter",C66=2,"Spring",C66=3,"Summer",C66=4,"Autumn")</f>
        <v>Winter</v>
      </c>
      <c r="T66" s="15" t="str">
        <f t="shared" ref="T66:T129" si="7">TEXT(B66,"dddd")</f>
        <v>Monday</v>
      </c>
      <c r="U66" t="str">
        <f t="shared" ref="U66:U129" si="8">TEXT(B66,"mmmm")</f>
        <v>January</v>
      </c>
      <c r="V66" s="16" t="str">
        <f t="shared" ref="V66:V129" si="9">_xlfn.IFS(I66=1,"GOOD",I66=2,"MODERATE",I66=3,"BAD",I66=4,"WORSE")</f>
        <v>GOOD</v>
      </c>
    </row>
    <row r="67" spans="1:22" x14ac:dyDescent="0.3">
      <c r="A67">
        <v>66</v>
      </c>
      <c r="B67" s="1">
        <v>40546</v>
      </c>
      <c r="C67">
        <v>1</v>
      </c>
      <c r="D67">
        <v>0</v>
      </c>
      <c r="E67">
        <v>1</v>
      </c>
      <c r="F67">
        <v>20</v>
      </c>
      <c r="G67" t="b">
        <f>IF(COUNTIF(AB$4:AB$20,Append1[[#This Row],[dteday]]) &gt; 0, TRUE, FALSE)</f>
        <v>0</v>
      </c>
      <c r="H67">
        <v>1</v>
      </c>
      <c r="I67">
        <v>1</v>
      </c>
      <c r="J67">
        <v>0.2</v>
      </c>
      <c r="K67">
        <f>Append1[[#This Row],[temp]]*100</f>
        <v>20</v>
      </c>
      <c r="M67">
        <v>0.47</v>
      </c>
      <c r="N67">
        <v>0.1045</v>
      </c>
      <c r="O67">
        <v>3</v>
      </c>
      <c r="P67">
        <v>49</v>
      </c>
      <c r="Q67">
        <v>52</v>
      </c>
      <c r="R67" s="12" t="str">
        <f t="shared" si="5"/>
        <v>Clear/Few Clouds</v>
      </c>
      <c r="S67" s="14" t="str">
        <f t="shared" si="6"/>
        <v>Winter</v>
      </c>
      <c r="T67" s="15" t="str">
        <f t="shared" si="7"/>
        <v>Monday</v>
      </c>
      <c r="U67" t="str">
        <f t="shared" si="8"/>
        <v>January</v>
      </c>
      <c r="V67" s="16" t="str">
        <f t="shared" si="9"/>
        <v>GOOD</v>
      </c>
    </row>
    <row r="68" spans="1:22" x14ac:dyDescent="0.3">
      <c r="A68">
        <v>67</v>
      </c>
      <c r="B68" s="1">
        <v>40546</v>
      </c>
      <c r="C68">
        <v>1</v>
      </c>
      <c r="D68">
        <v>0</v>
      </c>
      <c r="E68">
        <v>1</v>
      </c>
      <c r="F68">
        <v>21</v>
      </c>
      <c r="G68" t="b">
        <f>IF(COUNTIF(AB$4:AB$20,Append1[[#This Row],[dteday]]) &gt; 0, TRUE, FALSE)</f>
        <v>0</v>
      </c>
      <c r="H68">
        <v>1</v>
      </c>
      <c r="I68">
        <v>1</v>
      </c>
      <c r="J68">
        <v>0.18</v>
      </c>
      <c r="K68">
        <f>Append1[[#This Row],[temp]]*100</f>
        <v>18</v>
      </c>
      <c r="L68">
        <v>0.19700000000000001</v>
      </c>
      <c r="M68">
        <v>0.64</v>
      </c>
      <c r="N68">
        <v>0.1343</v>
      </c>
      <c r="O68">
        <v>3</v>
      </c>
      <c r="P68">
        <v>49</v>
      </c>
      <c r="Q68">
        <v>52</v>
      </c>
      <c r="R68" s="12" t="str">
        <f t="shared" si="5"/>
        <v>Clear/Few Clouds</v>
      </c>
      <c r="S68" s="14" t="str">
        <f t="shared" si="6"/>
        <v>Winter</v>
      </c>
      <c r="T68" s="15" t="str">
        <f t="shared" si="7"/>
        <v>Monday</v>
      </c>
      <c r="U68" t="str">
        <f t="shared" si="8"/>
        <v>January</v>
      </c>
      <c r="V68" s="16" t="str">
        <f t="shared" si="9"/>
        <v>GOOD</v>
      </c>
    </row>
    <row r="69" spans="1:22" x14ac:dyDescent="0.3">
      <c r="A69">
        <v>68</v>
      </c>
      <c r="B69" s="1">
        <v>40546</v>
      </c>
      <c r="C69">
        <v>1</v>
      </c>
      <c r="D69">
        <v>0</v>
      </c>
      <c r="E69">
        <v>1</v>
      </c>
      <c r="F69">
        <v>22</v>
      </c>
      <c r="G69" t="b">
        <f>IF(COUNTIF(AB$4:AB$20,Append1[[#This Row],[dteday]]) &gt; 0, TRUE, FALSE)</f>
        <v>0</v>
      </c>
      <c r="H69">
        <v>1</v>
      </c>
      <c r="I69">
        <v>1</v>
      </c>
      <c r="J69">
        <v>0.14000000000000001</v>
      </c>
      <c r="K69">
        <f>Append1[[#This Row],[temp]]*100</f>
        <v>14.000000000000002</v>
      </c>
      <c r="L69">
        <v>0.1515</v>
      </c>
      <c r="M69">
        <v>0.69</v>
      </c>
      <c r="N69">
        <v>0.1343</v>
      </c>
      <c r="O69">
        <v>0</v>
      </c>
      <c r="P69">
        <v>20</v>
      </c>
      <c r="Q69">
        <v>20</v>
      </c>
      <c r="R69" s="12" t="str">
        <f t="shared" si="5"/>
        <v>Clear/Few Clouds</v>
      </c>
      <c r="S69" s="14" t="str">
        <f t="shared" si="6"/>
        <v>Winter</v>
      </c>
      <c r="T69" s="15" t="str">
        <f t="shared" si="7"/>
        <v>Monday</v>
      </c>
      <c r="U69" t="str">
        <f t="shared" si="8"/>
        <v>January</v>
      </c>
      <c r="V69" s="16" t="str">
        <f t="shared" si="9"/>
        <v>GOOD</v>
      </c>
    </row>
    <row r="70" spans="1:22" x14ac:dyDescent="0.3">
      <c r="A70">
        <v>69</v>
      </c>
      <c r="B70" s="1">
        <v>40546</v>
      </c>
      <c r="C70">
        <v>1</v>
      </c>
      <c r="D70">
        <v>0</v>
      </c>
      <c r="E70">
        <v>1</v>
      </c>
      <c r="F70">
        <v>23</v>
      </c>
      <c r="G70" t="b">
        <f>IF(COUNTIF(AB$4:AB$20,Append1[[#This Row],[dteday]]) &gt; 0, TRUE, FALSE)</f>
        <v>0</v>
      </c>
      <c r="H70">
        <v>1</v>
      </c>
      <c r="I70">
        <v>1</v>
      </c>
      <c r="J70">
        <v>0.18</v>
      </c>
      <c r="K70">
        <f>Append1[[#This Row],[temp]]*100</f>
        <v>18</v>
      </c>
      <c r="L70">
        <v>0.21210000000000001</v>
      </c>
      <c r="M70">
        <v>0.55000000000000004</v>
      </c>
      <c r="N70">
        <v>0.1045</v>
      </c>
      <c r="O70">
        <v>1</v>
      </c>
      <c r="P70">
        <v>11</v>
      </c>
      <c r="Q70">
        <v>12</v>
      </c>
      <c r="R70" s="12" t="str">
        <f t="shared" si="5"/>
        <v>Clear/Few Clouds</v>
      </c>
      <c r="S70" s="14" t="str">
        <f t="shared" si="6"/>
        <v>Winter</v>
      </c>
      <c r="T70" s="15" t="str">
        <f t="shared" si="7"/>
        <v>Monday</v>
      </c>
      <c r="U70" t="str">
        <f t="shared" si="8"/>
        <v>January</v>
      </c>
      <c r="V70" s="16" t="str">
        <f t="shared" si="9"/>
        <v>GOOD</v>
      </c>
    </row>
    <row r="71" spans="1:22" x14ac:dyDescent="0.3">
      <c r="A71">
        <v>70</v>
      </c>
      <c r="B71" s="1">
        <v>40547</v>
      </c>
      <c r="C71">
        <v>1</v>
      </c>
      <c r="D71">
        <v>0</v>
      </c>
      <c r="E71">
        <v>1</v>
      </c>
      <c r="F71">
        <v>0</v>
      </c>
      <c r="G71" t="b">
        <f>IF(COUNTIF(AB$4:AB$20,Append1[[#This Row],[dteday]]) &gt; 0, TRUE, FALSE)</f>
        <v>0</v>
      </c>
      <c r="H71">
        <v>2</v>
      </c>
      <c r="I71">
        <v>1</v>
      </c>
      <c r="J71">
        <v>0.16</v>
      </c>
      <c r="K71">
        <f>Append1[[#This Row],[temp]]*100</f>
        <v>16</v>
      </c>
      <c r="M71">
        <v>0.55000000000000004</v>
      </c>
      <c r="N71">
        <v>0.1045</v>
      </c>
      <c r="O71">
        <v>0</v>
      </c>
      <c r="P71">
        <v>5</v>
      </c>
      <c r="Q71">
        <v>5</v>
      </c>
      <c r="R71" s="12" t="str">
        <f t="shared" si="5"/>
        <v>Clear/Few Clouds</v>
      </c>
      <c r="S71" s="14" t="str">
        <f t="shared" si="6"/>
        <v>Winter</v>
      </c>
      <c r="T71" s="15" t="str">
        <f t="shared" si="7"/>
        <v>Tuesday</v>
      </c>
      <c r="U71" t="str">
        <f t="shared" si="8"/>
        <v>January</v>
      </c>
      <c r="V71" s="16" t="str">
        <f t="shared" si="9"/>
        <v>GOOD</v>
      </c>
    </row>
    <row r="72" spans="1:22" x14ac:dyDescent="0.3">
      <c r="A72">
        <v>71</v>
      </c>
      <c r="B72" s="1">
        <v>40547</v>
      </c>
      <c r="C72">
        <v>1</v>
      </c>
      <c r="D72">
        <v>0</v>
      </c>
      <c r="E72">
        <v>1</v>
      </c>
      <c r="F72">
        <v>1</v>
      </c>
      <c r="G72" t="b">
        <f>IF(COUNTIF(AB$4:AB$20,Append1[[#This Row],[dteday]]) &gt; 0, TRUE, FALSE)</f>
        <v>0</v>
      </c>
      <c r="H72">
        <v>2</v>
      </c>
      <c r="I72">
        <v>1</v>
      </c>
      <c r="J72">
        <v>0.16</v>
      </c>
      <c r="K72">
        <f>Append1[[#This Row],[temp]]*100</f>
        <v>16</v>
      </c>
      <c r="L72">
        <v>0.18179999999999999</v>
      </c>
      <c r="M72">
        <v>0.59</v>
      </c>
      <c r="N72">
        <v>0.1045</v>
      </c>
      <c r="O72">
        <v>0</v>
      </c>
      <c r="P72">
        <v>2</v>
      </c>
      <c r="Q72">
        <v>2</v>
      </c>
      <c r="R72" s="12" t="str">
        <f t="shared" si="5"/>
        <v>Clear/Few Clouds</v>
      </c>
      <c r="S72" s="14" t="str">
        <f t="shared" si="6"/>
        <v>Winter</v>
      </c>
      <c r="T72" s="15" t="str">
        <f t="shared" si="7"/>
        <v>Tuesday</v>
      </c>
      <c r="U72" t="str">
        <f t="shared" si="8"/>
        <v>January</v>
      </c>
      <c r="V72" s="16" t="str">
        <f t="shared" si="9"/>
        <v>GOOD</v>
      </c>
    </row>
    <row r="73" spans="1:22" x14ac:dyDescent="0.3">
      <c r="A73">
        <v>72</v>
      </c>
      <c r="B73" s="1">
        <v>40547</v>
      </c>
      <c r="C73">
        <v>1</v>
      </c>
      <c r="D73">
        <v>0</v>
      </c>
      <c r="E73">
        <v>1</v>
      </c>
      <c r="F73">
        <v>2</v>
      </c>
      <c r="G73" t="b">
        <f>IF(COUNTIF(AB$4:AB$20,Append1[[#This Row],[dteday]]) &gt; 0, TRUE, FALSE)</f>
        <v>0</v>
      </c>
      <c r="H73">
        <v>2</v>
      </c>
      <c r="I73">
        <v>1</v>
      </c>
      <c r="J73">
        <v>0.14000000000000001</v>
      </c>
      <c r="K73">
        <f>Append1[[#This Row],[temp]]*100</f>
        <v>14.000000000000002</v>
      </c>
      <c r="L73">
        <v>0.1515</v>
      </c>
      <c r="M73">
        <v>0.63</v>
      </c>
      <c r="N73">
        <v>0.1343</v>
      </c>
      <c r="O73">
        <v>0</v>
      </c>
      <c r="P73">
        <v>1</v>
      </c>
      <c r="Q73">
        <v>1</v>
      </c>
      <c r="R73" s="12" t="str">
        <f t="shared" si="5"/>
        <v>Clear/Few Clouds</v>
      </c>
      <c r="S73" s="14" t="str">
        <f t="shared" si="6"/>
        <v>Winter</v>
      </c>
      <c r="T73" s="15" t="str">
        <f t="shared" si="7"/>
        <v>Tuesday</v>
      </c>
      <c r="U73" t="str">
        <f t="shared" si="8"/>
        <v>January</v>
      </c>
      <c r="V73" s="16" t="str">
        <f t="shared" si="9"/>
        <v>GOOD</v>
      </c>
    </row>
    <row r="74" spans="1:22" x14ac:dyDescent="0.3">
      <c r="A74">
        <v>73</v>
      </c>
      <c r="B74" s="1">
        <v>40547</v>
      </c>
      <c r="C74">
        <v>1</v>
      </c>
      <c r="D74">
        <v>0</v>
      </c>
      <c r="E74">
        <v>1</v>
      </c>
      <c r="F74">
        <v>4</v>
      </c>
      <c r="G74" t="b">
        <f>IF(COUNTIF(AB$4:AB$20,Append1[[#This Row],[dteday]]) &gt; 0, TRUE, FALSE)</f>
        <v>0</v>
      </c>
      <c r="H74">
        <v>2</v>
      </c>
      <c r="I74">
        <v>1</v>
      </c>
      <c r="J74">
        <v>0.14000000000000001</v>
      </c>
      <c r="K74">
        <f>Append1[[#This Row],[temp]]*100</f>
        <v>14.000000000000002</v>
      </c>
      <c r="L74">
        <v>0.18179999999999999</v>
      </c>
      <c r="M74">
        <v>0.63</v>
      </c>
      <c r="N74">
        <v>8.9599999999999999E-2</v>
      </c>
      <c r="O74">
        <v>0</v>
      </c>
      <c r="P74">
        <v>2</v>
      </c>
      <c r="Q74">
        <v>2</v>
      </c>
      <c r="R74" s="12" t="str">
        <f t="shared" si="5"/>
        <v>Clear/Few Clouds</v>
      </c>
      <c r="S74" s="14" t="str">
        <f t="shared" si="6"/>
        <v>Winter</v>
      </c>
      <c r="T74" s="15" t="str">
        <f t="shared" si="7"/>
        <v>Tuesday</v>
      </c>
      <c r="U74" t="str">
        <f t="shared" si="8"/>
        <v>January</v>
      </c>
      <c r="V74" s="16" t="str">
        <f t="shared" si="9"/>
        <v>GOOD</v>
      </c>
    </row>
    <row r="75" spans="1:22" x14ac:dyDescent="0.3">
      <c r="A75">
        <v>74</v>
      </c>
      <c r="B75" s="1">
        <v>40547</v>
      </c>
      <c r="C75">
        <v>1</v>
      </c>
      <c r="D75">
        <v>0</v>
      </c>
      <c r="E75">
        <v>1</v>
      </c>
      <c r="F75">
        <v>5</v>
      </c>
      <c r="G75" t="b">
        <f>IF(COUNTIF(AB$4:AB$20,Append1[[#This Row],[dteday]]) &gt; 0, TRUE, FALSE)</f>
        <v>0</v>
      </c>
      <c r="H75">
        <v>2</v>
      </c>
      <c r="I75">
        <v>1</v>
      </c>
      <c r="J75">
        <v>0.12</v>
      </c>
      <c r="K75">
        <f>Append1[[#This Row],[temp]]*100</f>
        <v>12</v>
      </c>
      <c r="L75">
        <v>0.1515</v>
      </c>
      <c r="M75">
        <v>0.68</v>
      </c>
      <c r="N75">
        <v>0.1045</v>
      </c>
      <c r="O75">
        <v>0</v>
      </c>
      <c r="P75">
        <v>4</v>
      </c>
      <c r="Q75">
        <v>4</v>
      </c>
      <c r="R75" s="12" t="str">
        <f t="shared" si="5"/>
        <v>Clear/Few Clouds</v>
      </c>
      <c r="S75" s="14" t="str">
        <f t="shared" si="6"/>
        <v>Winter</v>
      </c>
      <c r="T75" s="15" t="str">
        <f t="shared" si="7"/>
        <v>Tuesday</v>
      </c>
      <c r="U75" t="str">
        <f t="shared" si="8"/>
        <v>January</v>
      </c>
      <c r="V75" s="16" t="str">
        <f t="shared" si="9"/>
        <v>GOOD</v>
      </c>
    </row>
    <row r="76" spans="1:22" x14ac:dyDescent="0.3">
      <c r="A76">
        <v>75</v>
      </c>
      <c r="B76" s="1">
        <v>40547</v>
      </c>
      <c r="C76">
        <v>1</v>
      </c>
      <c r="D76">
        <v>0</v>
      </c>
      <c r="E76">
        <v>1</v>
      </c>
      <c r="F76">
        <v>6</v>
      </c>
      <c r="G76" t="b">
        <f>IF(COUNTIF(AB$4:AB$20,Append1[[#This Row],[dteday]]) &gt; 0, TRUE, FALSE)</f>
        <v>0</v>
      </c>
      <c r="H76">
        <v>2</v>
      </c>
      <c r="I76">
        <v>1</v>
      </c>
      <c r="J76">
        <v>0.12</v>
      </c>
      <c r="K76">
        <f>Append1[[#This Row],[temp]]*100</f>
        <v>12</v>
      </c>
      <c r="L76">
        <v>0.1515</v>
      </c>
      <c r="M76">
        <v>0.74</v>
      </c>
      <c r="N76">
        <v>0.1045</v>
      </c>
      <c r="O76">
        <v>0</v>
      </c>
      <c r="P76">
        <v>36</v>
      </c>
      <c r="Q76">
        <v>36</v>
      </c>
      <c r="R76" s="12" t="str">
        <f t="shared" si="5"/>
        <v>Clear/Few Clouds</v>
      </c>
      <c r="S76" s="14" t="str">
        <f t="shared" si="6"/>
        <v>Winter</v>
      </c>
      <c r="T76" s="15" t="str">
        <f t="shared" si="7"/>
        <v>Tuesday</v>
      </c>
      <c r="U76" t="str">
        <f t="shared" si="8"/>
        <v>January</v>
      </c>
      <c r="V76" s="16" t="str">
        <f t="shared" si="9"/>
        <v>GOOD</v>
      </c>
    </row>
    <row r="77" spans="1:22" x14ac:dyDescent="0.3">
      <c r="A77">
        <v>76</v>
      </c>
      <c r="B77" s="1">
        <v>40547</v>
      </c>
      <c r="C77">
        <v>1</v>
      </c>
      <c r="D77">
        <v>0</v>
      </c>
      <c r="E77">
        <v>1</v>
      </c>
      <c r="F77">
        <v>7</v>
      </c>
      <c r="G77" t="b">
        <f>IF(COUNTIF(AB$4:AB$20,Append1[[#This Row],[dteday]]) &gt; 0, TRUE, FALSE)</f>
        <v>0</v>
      </c>
      <c r="H77">
        <v>2</v>
      </c>
      <c r="I77">
        <v>1</v>
      </c>
      <c r="J77">
        <v>0.12</v>
      </c>
      <c r="K77">
        <f>Append1[[#This Row],[temp]]*100</f>
        <v>12</v>
      </c>
      <c r="L77">
        <v>0.1515</v>
      </c>
      <c r="M77">
        <v>0.74</v>
      </c>
      <c r="N77">
        <v>0.1343</v>
      </c>
      <c r="O77">
        <v>2</v>
      </c>
      <c r="P77">
        <v>92</v>
      </c>
      <c r="Q77">
        <v>94</v>
      </c>
      <c r="R77" s="12" t="str">
        <f t="shared" si="5"/>
        <v>Clear/Few Clouds</v>
      </c>
      <c r="S77" s="14" t="str">
        <f t="shared" si="6"/>
        <v>Winter</v>
      </c>
      <c r="T77" s="15" t="str">
        <f t="shared" si="7"/>
        <v>Tuesday</v>
      </c>
      <c r="U77" t="str">
        <f t="shared" si="8"/>
        <v>January</v>
      </c>
      <c r="V77" s="16" t="str">
        <f t="shared" si="9"/>
        <v>GOOD</v>
      </c>
    </row>
    <row r="78" spans="1:22" x14ac:dyDescent="0.3">
      <c r="A78">
        <v>77</v>
      </c>
      <c r="B78" s="1">
        <v>40547</v>
      </c>
      <c r="C78">
        <v>1</v>
      </c>
      <c r="D78">
        <v>0</v>
      </c>
      <c r="E78">
        <v>1</v>
      </c>
      <c r="F78">
        <v>8</v>
      </c>
      <c r="G78" t="b">
        <f>IF(COUNTIF(AB$4:AB$20,Append1[[#This Row],[dteday]]) &gt; 0, TRUE, FALSE)</f>
        <v>0</v>
      </c>
      <c r="H78">
        <v>2</v>
      </c>
      <c r="I78">
        <v>1</v>
      </c>
      <c r="J78">
        <v>0.14000000000000001</v>
      </c>
      <c r="K78">
        <f>Append1[[#This Row],[temp]]*100</f>
        <v>14.000000000000002</v>
      </c>
      <c r="L78">
        <v>0.1515</v>
      </c>
      <c r="M78">
        <v>0.69</v>
      </c>
      <c r="N78">
        <v>0.16420000000000001</v>
      </c>
      <c r="O78">
        <v>2</v>
      </c>
      <c r="P78">
        <v>177</v>
      </c>
      <c r="Q78">
        <v>179</v>
      </c>
      <c r="R78" s="12" t="str">
        <f t="shared" si="5"/>
        <v>Clear/Few Clouds</v>
      </c>
      <c r="S78" s="14" t="str">
        <f t="shared" si="6"/>
        <v>Winter</v>
      </c>
      <c r="T78" s="15" t="str">
        <f t="shared" si="7"/>
        <v>Tuesday</v>
      </c>
      <c r="U78" t="str">
        <f t="shared" si="8"/>
        <v>January</v>
      </c>
      <c r="V78" s="16" t="str">
        <f t="shared" si="9"/>
        <v>GOOD</v>
      </c>
    </row>
    <row r="79" spans="1:22" x14ac:dyDescent="0.3">
      <c r="A79">
        <v>78</v>
      </c>
      <c r="B79" s="1">
        <v>40547</v>
      </c>
      <c r="C79">
        <v>1</v>
      </c>
      <c r="D79">
        <v>0</v>
      </c>
      <c r="E79">
        <v>1</v>
      </c>
      <c r="F79">
        <v>9</v>
      </c>
      <c r="G79" t="b">
        <f>IF(COUNTIF(AB$4:AB$20,Append1[[#This Row],[dteday]]) &gt; 0, TRUE, FALSE)</f>
        <v>0</v>
      </c>
      <c r="H79">
        <v>2</v>
      </c>
      <c r="I79">
        <v>1</v>
      </c>
      <c r="J79">
        <v>0.16</v>
      </c>
      <c r="K79">
        <f>Append1[[#This Row],[temp]]*100</f>
        <v>16</v>
      </c>
      <c r="L79">
        <v>0.1515</v>
      </c>
      <c r="M79">
        <v>0.64</v>
      </c>
      <c r="N79">
        <v>0.22389999999999999</v>
      </c>
      <c r="O79">
        <v>2</v>
      </c>
      <c r="P79">
        <v>98</v>
      </c>
      <c r="Q79">
        <v>100</v>
      </c>
      <c r="R79" s="12" t="str">
        <f t="shared" si="5"/>
        <v>Clear/Few Clouds</v>
      </c>
      <c r="S79" s="14" t="str">
        <f t="shared" si="6"/>
        <v>Winter</v>
      </c>
      <c r="T79" s="15" t="str">
        <f t="shared" si="7"/>
        <v>Tuesday</v>
      </c>
      <c r="U79" t="str">
        <f t="shared" si="8"/>
        <v>January</v>
      </c>
      <c r="V79" s="16" t="str">
        <f t="shared" si="9"/>
        <v>GOOD</v>
      </c>
    </row>
    <row r="80" spans="1:22" x14ac:dyDescent="0.3">
      <c r="A80">
        <v>79</v>
      </c>
      <c r="B80" s="1">
        <v>40547</v>
      </c>
      <c r="C80">
        <v>1</v>
      </c>
      <c r="D80">
        <v>0</v>
      </c>
      <c r="E80">
        <v>1</v>
      </c>
      <c r="F80">
        <v>10</v>
      </c>
      <c r="G80" t="b">
        <f>IF(COUNTIF(AB$4:AB$20,Append1[[#This Row],[dteday]]) &gt; 0, TRUE, FALSE)</f>
        <v>0</v>
      </c>
      <c r="H80">
        <v>2</v>
      </c>
      <c r="I80">
        <v>2</v>
      </c>
      <c r="J80">
        <v>0.16</v>
      </c>
      <c r="K80">
        <f>Append1[[#This Row],[temp]]*100</f>
        <v>16</v>
      </c>
      <c r="L80">
        <v>0.13639999999999999</v>
      </c>
      <c r="M80">
        <v>0.69</v>
      </c>
      <c r="N80">
        <v>0.32840000000000003</v>
      </c>
      <c r="O80">
        <v>5</v>
      </c>
      <c r="P80">
        <v>37</v>
      </c>
      <c r="Q80">
        <v>42</v>
      </c>
      <c r="R80" s="12" t="str">
        <f t="shared" si="5"/>
        <v>Mist/Cloudy</v>
      </c>
      <c r="S80" s="14" t="str">
        <f t="shared" si="6"/>
        <v>Winter</v>
      </c>
      <c r="T80" s="15" t="str">
        <f t="shared" si="7"/>
        <v>Tuesday</v>
      </c>
      <c r="U80" t="str">
        <f t="shared" si="8"/>
        <v>January</v>
      </c>
      <c r="V80" s="16" t="str">
        <f t="shared" si="9"/>
        <v>MODERATE</v>
      </c>
    </row>
    <row r="81" spans="1:22" x14ac:dyDescent="0.3">
      <c r="A81">
        <v>80</v>
      </c>
      <c r="B81" s="1">
        <v>40547</v>
      </c>
      <c r="C81">
        <v>1</v>
      </c>
      <c r="D81">
        <v>0</v>
      </c>
      <c r="E81">
        <v>1</v>
      </c>
      <c r="F81">
        <v>11</v>
      </c>
      <c r="G81" t="b">
        <f>IF(COUNTIF(AB$4:AB$20,Append1[[#This Row],[dteday]]) &gt; 0, TRUE, FALSE)</f>
        <v>0</v>
      </c>
      <c r="H81">
        <v>2</v>
      </c>
      <c r="I81">
        <v>1</v>
      </c>
      <c r="J81">
        <v>0.22</v>
      </c>
      <c r="K81">
        <f>Append1[[#This Row],[temp]]*100</f>
        <v>22</v>
      </c>
      <c r="L81">
        <v>0.21210000000000001</v>
      </c>
      <c r="M81">
        <v>0.51</v>
      </c>
      <c r="N81">
        <v>0.29849999999999999</v>
      </c>
      <c r="O81">
        <v>7</v>
      </c>
      <c r="P81">
        <v>50</v>
      </c>
      <c r="Q81">
        <v>57</v>
      </c>
      <c r="R81" s="12" t="str">
        <f t="shared" si="5"/>
        <v>Clear/Few Clouds</v>
      </c>
      <c r="S81" s="14" t="str">
        <f t="shared" si="6"/>
        <v>Winter</v>
      </c>
      <c r="T81" s="15" t="str">
        <f t="shared" si="7"/>
        <v>Tuesday</v>
      </c>
      <c r="U81" t="str">
        <f t="shared" si="8"/>
        <v>January</v>
      </c>
      <c r="V81" s="16" t="str">
        <f t="shared" si="9"/>
        <v>GOOD</v>
      </c>
    </row>
    <row r="82" spans="1:22" x14ac:dyDescent="0.3">
      <c r="A82">
        <v>81</v>
      </c>
      <c r="B82" s="1">
        <v>40547</v>
      </c>
      <c r="C82">
        <v>1</v>
      </c>
      <c r="D82">
        <v>0</v>
      </c>
      <c r="E82">
        <v>1</v>
      </c>
      <c r="F82">
        <v>12</v>
      </c>
      <c r="G82" t="b">
        <f>IF(COUNTIF(AB$4:AB$20,Append1[[#This Row],[dteday]]) &gt; 0, TRUE, FALSE)</f>
        <v>0</v>
      </c>
      <c r="H82">
        <v>2</v>
      </c>
      <c r="I82">
        <v>1</v>
      </c>
      <c r="J82">
        <v>0.22</v>
      </c>
      <c r="K82">
        <f>Append1[[#This Row],[temp]]*100</f>
        <v>22</v>
      </c>
      <c r="L82">
        <v>0.2273</v>
      </c>
      <c r="M82">
        <v>0.51</v>
      </c>
      <c r="N82">
        <v>0.16420000000000001</v>
      </c>
      <c r="O82">
        <v>12</v>
      </c>
      <c r="P82">
        <v>66</v>
      </c>
      <c r="Q82">
        <v>78</v>
      </c>
      <c r="R82" s="12" t="str">
        <f t="shared" si="5"/>
        <v>Clear/Few Clouds</v>
      </c>
      <c r="S82" s="14" t="str">
        <f t="shared" si="6"/>
        <v>Winter</v>
      </c>
      <c r="T82" s="15" t="str">
        <f t="shared" si="7"/>
        <v>Tuesday</v>
      </c>
      <c r="U82" t="str">
        <f t="shared" si="8"/>
        <v>January</v>
      </c>
      <c r="V82" s="16" t="str">
        <f t="shared" si="9"/>
        <v>GOOD</v>
      </c>
    </row>
    <row r="83" spans="1:22" x14ac:dyDescent="0.3">
      <c r="A83">
        <v>82</v>
      </c>
      <c r="B83" s="1">
        <v>40547</v>
      </c>
      <c r="C83">
        <v>1</v>
      </c>
      <c r="D83">
        <v>0</v>
      </c>
      <c r="E83">
        <v>1</v>
      </c>
      <c r="F83">
        <v>13</v>
      </c>
      <c r="G83" t="b">
        <f>IF(COUNTIF(AB$4:AB$20,Append1[[#This Row],[dteday]]) &gt; 0, TRUE, FALSE)</f>
        <v>0</v>
      </c>
      <c r="H83">
        <v>2</v>
      </c>
      <c r="I83">
        <v>1</v>
      </c>
      <c r="J83">
        <v>0.24</v>
      </c>
      <c r="K83">
        <f>Append1[[#This Row],[temp]]*100</f>
        <v>24</v>
      </c>
      <c r="L83">
        <v>0.2273</v>
      </c>
      <c r="M83">
        <v>0.56000000000000005</v>
      </c>
      <c r="N83">
        <v>0.19400000000000001</v>
      </c>
      <c r="O83">
        <v>18</v>
      </c>
      <c r="P83">
        <v>79</v>
      </c>
      <c r="Q83">
        <v>97</v>
      </c>
      <c r="R83" s="12" t="str">
        <f t="shared" si="5"/>
        <v>Clear/Few Clouds</v>
      </c>
      <c r="S83" s="14" t="str">
        <f t="shared" si="6"/>
        <v>Winter</v>
      </c>
      <c r="T83" s="15" t="str">
        <f t="shared" si="7"/>
        <v>Tuesday</v>
      </c>
      <c r="U83" t="str">
        <f t="shared" si="8"/>
        <v>January</v>
      </c>
      <c r="V83" s="16" t="str">
        <f t="shared" si="9"/>
        <v>GOOD</v>
      </c>
    </row>
    <row r="84" spans="1:22" x14ac:dyDescent="0.3">
      <c r="A84">
        <v>83</v>
      </c>
      <c r="B84" s="1">
        <v>40547</v>
      </c>
      <c r="C84">
        <v>1</v>
      </c>
      <c r="D84">
        <v>0</v>
      </c>
      <c r="E84">
        <v>1</v>
      </c>
      <c r="F84">
        <v>14</v>
      </c>
      <c r="G84" t="b">
        <f>IF(COUNTIF(AB$4:AB$20,Append1[[#This Row],[dteday]]) &gt; 0, TRUE, FALSE)</f>
        <v>0</v>
      </c>
      <c r="H84">
        <v>2</v>
      </c>
      <c r="I84">
        <v>1</v>
      </c>
      <c r="J84">
        <v>0.26</v>
      </c>
      <c r="K84">
        <f>Append1[[#This Row],[temp]]*100</f>
        <v>26</v>
      </c>
      <c r="L84">
        <v>0.2576</v>
      </c>
      <c r="M84">
        <v>0.52</v>
      </c>
      <c r="N84">
        <v>0.22389999999999999</v>
      </c>
      <c r="O84">
        <v>9</v>
      </c>
      <c r="P84">
        <v>54</v>
      </c>
      <c r="Q84">
        <v>63</v>
      </c>
      <c r="R84" s="12" t="str">
        <f t="shared" si="5"/>
        <v>Clear/Few Clouds</v>
      </c>
      <c r="S84" s="14" t="str">
        <f t="shared" si="6"/>
        <v>Winter</v>
      </c>
      <c r="T84" s="15" t="str">
        <f t="shared" si="7"/>
        <v>Tuesday</v>
      </c>
      <c r="U84" t="str">
        <f t="shared" si="8"/>
        <v>January</v>
      </c>
      <c r="V84" s="16" t="str">
        <f t="shared" si="9"/>
        <v>GOOD</v>
      </c>
    </row>
    <row r="85" spans="1:22" x14ac:dyDescent="0.3">
      <c r="A85">
        <v>84</v>
      </c>
      <c r="B85" s="1">
        <v>40547</v>
      </c>
      <c r="C85">
        <v>1</v>
      </c>
      <c r="D85">
        <v>0</v>
      </c>
      <c r="E85">
        <v>1</v>
      </c>
      <c r="F85">
        <v>15</v>
      </c>
      <c r="G85" t="b">
        <f>IF(COUNTIF(AB$4:AB$20,Append1[[#This Row],[dteday]]) &gt; 0, TRUE, FALSE)</f>
        <v>0</v>
      </c>
      <c r="H85">
        <v>2</v>
      </c>
      <c r="I85">
        <v>1</v>
      </c>
      <c r="J85">
        <v>0.28000000000000003</v>
      </c>
      <c r="K85">
        <f>Append1[[#This Row],[temp]]*100</f>
        <v>28.000000000000004</v>
      </c>
      <c r="L85">
        <v>0.2727</v>
      </c>
      <c r="M85">
        <v>0.52</v>
      </c>
      <c r="N85">
        <v>0.25369999999999998</v>
      </c>
      <c r="O85">
        <v>17</v>
      </c>
      <c r="P85">
        <v>48</v>
      </c>
      <c r="Q85">
        <v>65</v>
      </c>
      <c r="R85" s="12" t="str">
        <f t="shared" si="5"/>
        <v>Clear/Few Clouds</v>
      </c>
      <c r="S85" s="14" t="str">
        <f t="shared" si="6"/>
        <v>Winter</v>
      </c>
      <c r="T85" s="15" t="str">
        <f t="shared" si="7"/>
        <v>Tuesday</v>
      </c>
      <c r="U85" t="str">
        <f t="shared" si="8"/>
        <v>January</v>
      </c>
      <c r="V85" s="16" t="str">
        <f t="shared" si="9"/>
        <v>GOOD</v>
      </c>
    </row>
    <row r="86" spans="1:22" x14ac:dyDescent="0.3">
      <c r="A86">
        <v>85</v>
      </c>
      <c r="B86" s="1">
        <v>40547</v>
      </c>
      <c r="C86">
        <v>1</v>
      </c>
      <c r="D86">
        <v>0</v>
      </c>
      <c r="E86">
        <v>1</v>
      </c>
      <c r="F86">
        <v>16</v>
      </c>
      <c r="G86" t="b">
        <f>IF(COUNTIF(AB$4:AB$20,Append1[[#This Row],[dteday]]) &gt; 0, TRUE, FALSE)</f>
        <v>0</v>
      </c>
      <c r="H86">
        <v>2</v>
      </c>
      <c r="I86">
        <v>1</v>
      </c>
      <c r="J86">
        <v>0.3</v>
      </c>
      <c r="K86">
        <f>Append1[[#This Row],[temp]]*100</f>
        <v>30</v>
      </c>
      <c r="L86">
        <v>0.28789999999999999</v>
      </c>
      <c r="M86">
        <v>0.49</v>
      </c>
      <c r="N86">
        <v>0.25369999999999998</v>
      </c>
      <c r="O86">
        <v>15</v>
      </c>
      <c r="P86">
        <v>68</v>
      </c>
      <c r="Q86">
        <v>83</v>
      </c>
      <c r="R86" s="12" t="str">
        <f t="shared" si="5"/>
        <v>Clear/Few Clouds</v>
      </c>
      <c r="S86" s="14" t="str">
        <f t="shared" si="6"/>
        <v>Winter</v>
      </c>
      <c r="T86" s="15" t="str">
        <f t="shared" si="7"/>
        <v>Tuesday</v>
      </c>
      <c r="U86" t="str">
        <f t="shared" si="8"/>
        <v>January</v>
      </c>
      <c r="V86" s="16" t="str">
        <f t="shared" si="9"/>
        <v>GOOD</v>
      </c>
    </row>
    <row r="87" spans="1:22" x14ac:dyDescent="0.3">
      <c r="A87">
        <v>86</v>
      </c>
      <c r="B87" s="1">
        <v>40547</v>
      </c>
      <c r="C87">
        <v>1</v>
      </c>
      <c r="D87">
        <v>0</v>
      </c>
      <c r="E87">
        <v>1</v>
      </c>
      <c r="F87">
        <v>17</v>
      </c>
      <c r="G87" t="b">
        <f>IF(COUNTIF(AB$4:AB$20,Append1[[#This Row],[dteday]]) &gt; 0, TRUE, FALSE)</f>
        <v>0</v>
      </c>
      <c r="H87">
        <v>2</v>
      </c>
      <c r="I87">
        <v>1</v>
      </c>
      <c r="J87">
        <v>0.28000000000000003</v>
      </c>
      <c r="K87">
        <f>Append1[[#This Row],[temp]]*100</f>
        <v>28.000000000000004</v>
      </c>
      <c r="L87">
        <v>0.2727</v>
      </c>
      <c r="M87">
        <v>0.48</v>
      </c>
      <c r="N87">
        <v>0.22389999999999999</v>
      </c>
      <c r="O87">
        <v>10</v>
      </c>
      <c r="P87">
        <v>202</v>
      </c>
      <c r="Q87">
        <v>212</v>
      </c>
      <c r="R87" s="12" t="str">
        <f t="shared" si="5"/>
        <v>Clear/Few Clouds</v>
      </c>
      <c r="S87" s="14" t="str">
        <f t="shared" si="6"/>
        <v>Winter</v>
      </c>
      <c r="T87" s="15" t="str">
        <f t="shared" si="7"/>
        <v>Tuesday</v>
      </c>
      <c r="U87" t="str">
        <f t="shared" si="8"/>
        <v>January</v>
      </c>
      <c r="V87" s="16" t="str">
        <f t="shared" si="9"/>
        <v>GOOD</v>
      </c>
    </row>
    <row r="88" spans="1:22" x14ac:dyDescent="0.3">
      <c r="A88">
        <v>87</v>
      </c>
      <c r="B88" s="1">
        <v>40547</v>
      </c>
      <c r="C88">
        <v>1</v>
      </c>
      <c r="D88">
        <v>0</v>
      </c>
      <c r="E88">
        <v>1</v>
      </c>
      <c r="F88">
        <v>18</v>
      </c>
      <c r="G88" t="b">
        <f>IF(COUNTIF(AB$4:AB$20,Append1[[#This Row],[dteday]]) &gt; 0, TRUE, FALSE)</f>
        <v>0</v>
      </c>
      <c r="H88">
        <v>2</v>
      </c>
      <c r="I88">
        <v>1</v>
      </c>
      <c r="J88">
        <v>0.26</v>
      </c>
      <c r="K88">
        <f>Append1[[#This Row],[temp]]*100</f>
        <v>26</v>
      </c>
      <c r="L88">
        <v>0.2576</v>
      </c>
      <c r="M88">
        <v>0.48</v>
      </c>
      <c r="N88">
        <v>0.19400000000000001</v>
      </c>
      <c r="O88">
        <v>3</v>
      </c>
      <c r="P88">
        <v>179</v>
      </c>
      <c r="Q88">
        <v>182</v>
      </c>
      <c r="R88" s="12" t="str">
        <f t="shared" si="5"/>
        <v>Clear/Few Clouds</v>
      </c>
      <c r="S88" s="14" t="str">
        <f t="shared" si="6"/>
        <v>Winter</v>
      </c>
      <c r="T88" s="15" t="str">
        <f t="shared" si="7"/>
        <v>Tuesday</v>
      </c>
      <c r="U88" t="str">
        <f t="shared" si="8"/>
        <v>January</v>
      </c>
      <c r="V88" s="16" t="str">
        <f t="shared" si="9"/>
        <v>GOOD</v>
      </c>
    </row>
    <row r="89" spans="1:22" x14ac:dyDescent="0.3">
      <c r="A89">
        <v>88</v>
      </c>
      <c r="B89" s="1">
        <v>40547</v>
      </c>
      <c r="C89">
        <v>1</v>
      </c>
      <c r="D89">
        <v>0</v>
      </c>
      <c r="E89">
        <v>1</v>
      </c>
      <c r="F89">
        <v>19</v>
      </c>
      <c r="G89" t="b">
        <f>IF(COUNTIF(AB$4:AB$20,Append1[[#This Row],[dteday]]) &gt; 0, TRUE, FALSE)</f>
        <v>0</v>
      </c>
      <c r="H89">
        <v>2</v>
      </c>
      <c r="I89">
        <v>1</v>
      </c>
      <c r="J89">
        <v>0.24</v>
      </c>
      <c r="K89">
        <f>Append1[[#This Row],[temp]]*100</f>
        <v>24</v>
      </c>
      <c r="L89">
        <v>0.2576</v>
      </c>
      <c r="M89">
        <v>0.48</v>
      </c>
      <c r="N89">
        <v>0.1045</v>
      </c>
      <c r="O89">
        <v>2</v>
      </c>
      <c r="P89">
        <v>110</v>
      </c>
      <c r="Q89">
        <v>112</v>
      </c>
      <c r="R89" s="12" t="str">
        <f t="shared" si="5"/>
        <v>Clear/Few Clouds</v>
      </c>
      <c r="S89" s="14" t="str">
        <f t="shared" si="6"/>
        <v>Winter</v>
      </c>
      <c r="T89" s="15" t="str">
        <f t="shared" si="7"/>
        <v>Tuesday</v>
      </c>
      <c r="U89" t="str">
        <f t="shared" si="8"/>
        <v>January</v>
      </c>
      <c r="V89" s="16" t="str">
        <f t="shared" si="9"/>
        <v>GOOD</v>
      </c>
    </row>
    <row r="90" spans="1:22" x14ac:dyDescent="0.3">
      <c r="A90">
        <v>89</v>
      </c>
      <c r="B90" s="1">
        <v>40547</v>
      </c>
      <c r="C90">
        <v>1</v>
      </c>
      <c r="D90">
        <v>0</v>
      </c>
      <c r="E90">
        <v>1</v>
      </c>
      <c r="F90">
        <v>20</v>
      </c>
      <c r="G90" t="b">
        <f>IF(COUNTIF(AB$4:AB$20,Append1[[#This Row],[dteday]]) &gt; 0, TRUE, FALSE)</f>
        <v>0</v>
      </c>
      <c r="H90">
        <v>2</v>
      </c>
      <c r="I90">
        <v>1</v>
      </c>
      <c r="J90">
        <v>0.24</v>
      </c>
      <c r="K90">
        <f>Append1[[#This Row],[temp]]*100</f>
        <v>24</v>
      </c>
      <c r="L90">
        <v>0.2576</v>
      </c>
      <c r="M90">
        <v>0.48</v>
      </c>
      <c r="N90">
        <v>0.1045</v>
      </c>
      <c r="O90">
        <v>1</v>
      </c>
      <c r="P90">
        <v>53</v>
      </c>
      <c r="Q90">
        <v>54</v>
      </c>
      <c r="R90" s="12" t="str">
        <f t="shared" si="5"/>
        <v>Clear/Few Clouds</v>
      </c>
      <c r="S90" s="14" t="str">
        <f t="shared" si="6"/>
        <v>Winter</v>
      </c>
      <c r="T90" s="15" t="str">
        <f t="shared" si="7"/>
        <v>Tuesday</v>
      </c>
      <c r="U90" t="str">
        <f t="shared" si="8"/>
        <v>January</v>
      </c>
      <c r="V90" s="16" t="str">
        <f t="shared" si="9"/>
        <v>GOOD</v>
      </c>
    </row>
    <row r="91" spans="1:22" x14ac:dyDescent="0.3">
      <c r="A91">
        <v>90</v>
      </c>
      <c r="B91" s="1">
        <v>40547</v>
      </c>
      <c r="C91">
        <v>1</v>
      </c>
      <c r="D91">
        <v>0</v>
      </c>
      <c r="E91">
        <v>1</v>
      </c>
      <c r="F91">
        <v>21</v>
      </c>
      <c r="G91" t="b">
        <f>IF(COUNTIF(AB$4:AB$20,Append1[[#This Row],[dteday]]) &gt; 0, TRUE, FALSE)</f>
        <v>0</v>
      </c>
      <c r="H91">
        <v>2</v>
      </c>
      <c r="I91">
        <v>1</v>
      </c>
      <c r="J91">
        <v>0.22</v>
      </c>
      <c r="K91">
        <f>Append1[[#This Row],[temp]]*100</f>
        <v>22</v>
      </c>
      <c r="L91">
        <v>0.2727</v>
      </c>
      <c r="M91">
        <v>0.64</v>
      </c>
      <c r="N91">
        <v>0</v>
      </c>
      <c r="O91">
        <v>0</v>
      </c>
      <c r="P91">
        <v>48</v>
      </c>
      <c r="Q91">
        <v>48</v>
      </c>
      <c r="R91" s="12" t="str">
        <f t="shared" si="5"/>
        <v>Clear/Few Clouds</v>
      </c>
      <c r="S91" s="14" t="str">
        <f t="shared" si="6"/>
        <v>Winter</v>
      </c>
      <c r="T91" s="15" t="str">
        <f t="shared" si="7"/>
        <v>Tuesday</v>
      </c>
      <c r="U91" t="str">
        <f t="shared" si="8"/>
        <v>January</v>
      </c>
      <c r="V91" s="16" t="str">
        <f t="shared" si="9"/>
        <v>GOOD</v>
      </c>
    </row>
    <row r="92" spans="1:22" x14ac:dyDescent="0.3">
      <c r="A92">
        <v>91</v>
      </c>
      <c r="B92" s="1">
        <v>40547</v>
      </c>
      <c r="C92">
        <v>1</v>
      </c>
      <c r="D92">
        <v>0</v>
      </c>
      <c r="E92">
        <v>1</v>
      </c>
      <c r="F92">
        <v>22</v>
      </c>
      <c r="G92" t="b">
        <f>IF(COUNTIF(AB$4:AB$20,Append1[[#This Row],[dteday]]) &gt; 0, TRUE, FALSE)</f>
        <v>0</v>
      </c>
      <c r="H92">
        <v>2</v>
      </c>
      <c r="I92">
        <v>1</v>
      </c>
      <c r="J92">
        <v>0.22</v>
      </c>
      <c r="K92">
        <f>Append1[[#This Row],[temp]]*100</f>
        <v>22</v>
      </c>
      <c r="L92">
        <v>0.2576</v>
      </c>
      <c r="M92">
        <v>0.64</v>
      </c>
      <c r="N92">
        <v>8.9599999999999999E-2</v>
      </c>
      <c r="O92">
        <v>1</v>
      </c>
      <c r="P92">
        <v>34</v>
      </c>
      <c r="Q92">
        <v>35</v>
      </c>
      <c r="R92" s="12" t="str">
        <f t="shared" si="5"/>
        <v>Clear/Few Clouds</v>
      </c>
      <c r="S92" s="14" t="str">
        <f t="shared" si="6"/>
        <v>Winter</v>
      </c>
      <c r="T92" s="15" t="str">
        <f t="shared" si="7"/>
        <v>Tuesday</v>
      </c>
      <c r="U92" t="str">
        <f t="shared" si="8"/>
        <v>January</v>
      </c>
      <c r="V92" s="16" t="str">
        <f t="shared" si="9"/>
        <v>GOOD</v>
      </c>
    </row>
    <row r="93" spans="1:22" x14ac:dyDescent="0.3">
      <c r="A93">
        <v>92</v>
      </c>
      <c r="B93" s="1">
        <v>40547</v>
      </c>
      <c r="C93">
        <v>1</v>
      </c>
      <c r="D93">
        <v>0</v>
      </c>
      <c r="E93">
        <v>1</v>
      </c>
      <c r="F93">
        <v>23</v>
      </c>
      <c r="G93" t="b">
        <f>IF(COUNTIF(AB$4:AB$20,Append1[[#This Row],[dteday]]) &gt; 0, TRUE, FALSE)</f>
        <v>0</v>
      </c>
      <c r="H93">
        <v>2</v>
      </c>
      <c r="I93">
        <v>1</v>
      </c>
      <c r="J93">
        <v>0.2</v>
      </c>
      <c r="K93">
        <f>Append1[[#This Row],[temp]]*100</f>
        <v>20</v>
      </c>
      <c r="L93">
        <v>0.2273</v>
      </c>
      <c r="M93">
        <v>0.69</v>
      </c>
      <c r="N93">
        <v>8.9599999999999999E-2</v>
      </c>
      <c r="O93">
        <v>2</v>
      </c>
      <c r="P93">
        <v>9</v>
      </c>
      <c r="Q93">
        <v>11</v>
      </c>
      <c r="R93" s="12" t="str">
        <f t="shared" si="5"/>
        <v>Clear/Few Clouds</v>
      </c>
      <c r="S93" s="14" t="str">
        <f t="shared" si="6"/>
        <v>Winter</v>
      </c>
      <c r="T93" s="15" t="str">
        <f t="shared" si="7"/>
        <v>Tuesday</v>
      </c>
      <c r="U93" t="str">
        <f t="shared" si="8"/>
        <v>January</v>
      </c>
      <c r="V93" s="16" t="str">
        <f t="shared" si="9"/>
        <v>GOOD</v>
      </c>
    </row>
    <row r="94" spans="1:22" x14ac:dyDescent="0.3">
      <c r="A94">
        <v>93</v>
      </c>
      <c r="B94" s="1">
        <v>40548</v>
      </c>
      <c r="C94">
        <v>1</v>
      </c>
      <c r="D94">
        <v>0</v>
      </c>
      <c r="E94">
        <v>1</v>
      </c>
      <c r="F94">
        <v>0</v>
      </c>
      <c r="G94" t="b">
        <f>IF(COUNTIF(AB$4:AB$20,Append1[[#This Row],[dteday]]) &gt; 0, TRUE, FALSE)</f>
        <v>0</v>
      </c>
      <c r="H94">
        <v>3</v>
      </c>
      <c r="I94">
        <v>1</v>
      </c>
      <c r="J94">
        <v>0.2</v>
      </c>
      <c r="K94">
        <f>Append1[[#This Row],[temp]]*100</f>
        <v>20</v>
      </c>
      <c r="L94">
        <v>0.2576</v>
      </c>
      <c r="M94">
        <v>0.64</v>
      </c>
      <c r="N94">
        <v>0</v>
      </c>
      <c r="O94">
        <v>0</v>
      </c>
      <c r="P94">
        <v>6</v>
      </c>
      <c r="Q94">
        <v>6</v>
      </c>
      <c r="R94" s="12" t="str">
        <f t="shared" si="5"/>
        <v>Clear/Few Clouds</v>
      </c>
      <c r="S94" s="14" t="str">
        <f t="shared" si="6"/>
        <v>Winter</v>
      </c>
      <c r="T94" s="15" t="str">
        <f t="shared" si="7"/>
        <v>Wednesday</v>
      </c>
      <c r="U94" t="str">
        <f t="shared" si="8"/>
        <v>January</v>
      </c>
      <c r="V94" s="16" t="str">
        <f t="shared" si="9"/>
        <v>GOOD</v>
      </c>
    </row>
    <row r="95" spans="1:22" x14ac:dyDescent="0.3">
      <c r="A95">
        <v>94</v>
      </c>
      <c r="B95" s="1">
        <v>40548</v>
      </c>
      <c r="C95">
        <v>1</v>
      </c>
      <c r="D95">
        <v>0</v>
      </c>
      <c r="E95">
        <v>1</v>
      </c>
      <c r="F95">
        <v>1</v>
      </c>
      <c r="G95" t="b">
        <f>IF(COUNTIF(AB$4:AB$20,Append1[[#This Row],[dteday]]) &gt; 0, TRUE, FALSE)</f>
        <v>0</v>
      </c>
      <c r="H95">
        <v>3</v>
      </c>
      <c r="I95">
        <v>1</v>
      </c>
      <c r="J95">
        <v>0.16</v>
      </c>
      <c r="K95">
        <f>Append1[[#This Row],[temp]]*100</f>
        <v>16</v>
      </c>
      <c r="L95">
        <v>0.19700000000000001</v>
      </c>
      <c r="M95">
        <v>0.74</v>
      </c>
      <c r="N95">
        <v>8.9599999999999999E-2</v>
      </c>
      <c r="O95">
        <v>0</v>
      </c>
      <c r="P95">
        <v>6</v>
      </c>
      <c r="Q95">
        <v>6</v>
      </c>
      <c r="R95" s="12" t="str">
        <f t="shared" si="5"/>
        <v>Clear/Few Clouds</v>
      </c>
      <c r="S95" s="14" t="str">
        <f t="shared" si="6"/>
        <v>Winter</v>
      </c>
      <c r="T95" s="15" t="str">
        <f t="shared" si="7"/>
        <v>Wednesday</v>
      </c>
      <c r="U95" t="str">
        <f t="shared" si="8"/>
        <v>January</v>
      </c>
      <c r="V95" s="16" t="str">
        <f t="shared" si="9"/>
        <v>GOOD</v>
      </c>
    </row>
    <row r="96" spans="1:22" x14ac:dyDescent="0.3">
      <c r="A96">
        <v>95</v>
      </c>
      <c r="B96" s="1">
        <v>40548</v>
      </c>
      <c r="C96">
        <v>1</v>
      </c>
      <c r="D96">
        <v>0</v>
      </c>
      <c r="E96">
        <v>1</v>
      </c>
      <c r="F96">
        <v>2</v>
      </c>
      <c r="G96" t="b">
        <f>IF(COUNTIF(AB$4:AB$20,Append1[[#This Row],[dteday]]) &gt; 0, TRUE, FALSE)</f>
        <v>0</v>
      </c>
      <c r="H96">
        <v>3</v>
      </c>
      <c r="I96">
        <v>1</v>
      </c>
      <c r="J96">
        <v>0.16</v>
      </c>
      <c r="K96">
        <f>Append1[[#This Row],[temp]]*100</f>
        <v>16</v>
      </c>
      <c r="L96">
        <v>0.19700000000000001</v>
      </c>
      <c r="M96">
        <v>0.74</v>
      </c>
      <c r="N96">
        <v>8.9599999999999999E-2</v>
      </c>
      <c r="O96">
        <v>0</v>
      </c>
      <c r="P96">
        <v>2</v>
      </c>
      <c r="Q96">
        <v>2</v>
      </c>
      <c r="R96" s="12" t="str">
        <f t="shared" si="5"/>
        <v>Clear/Few Clouds</v>
      </c>
      <c r="S96" s="14" t="str">
        <f t="shared" si="6"/>
        <v>Winter</v>
      </c>
      <c r="T96" s="15" t="str">
        <f t="shared" si="7"/>
        <v>Wednesday</v>
      </c>
      <c r="U96" t="str">
        <f t="shared" si="8"/>
        <v>January</v>
      </c>
      <c r="V96" s="16" t="str">
        <f t="shared" si="9"/>
        <v>GOOD</v>
      </c>
    </row>
    <row r="97" spans="1:22" x14ac:dyDescent="0.3">
      <c r="A97">
        <v>96</v>
      </c>
      <c r="B97" s="1">
        <v>40548</v>
      </c>
      <c r="C97">
        <v>1</v>
      </c>
      <c r="D97">
        <v>0</v>
      </c>
      <c r="E97">
        <v>1</v>
      </c>
      <c r="F97">
        <v>4</v>
      </c>
      <c r="G97" t="b">
        <f>IF(COUNTIF(AB$4:AB$20,Append1[[#This Row],[dteday]]) &gt; 0, TRUE, FALSE)</f>
        <v>0</v>
      </c>
      <c r="H97">
        <v>3</v>
      </c>
      <c r="I97">
        <v>1</v>
      </c>
      <c r="J97">
        <v>0.24</v>
      </c>
      <c r="K97">
        <f>Append1[[#This Row],[temp]]*100</f>
        <v>24</v>
      </c>
      <c r="L97">
        <v>0.2273</v>
      </c>
      <c r="M97">
        <v>0.48</v>
      </c>
      <c r="N97">
        <v>0.22389999999999999</v>
      </c>
      <c r="O97">
        <v>0</v>
      </c>
      <c r="P97">
        <v>2</v>
      </c>
      <c r="Q97">
        <v>2</v>
      </c>
      <c r="R97" s="12" t="str">
        <f t="shared" si="5"/>
        <v>Clear/Few Clouds</v>
      </c>
      <c r="S97" s="14" t="str">
        <f t="shared" si="6"/>
        <v>Winter</v>
      </c>
      <c r="T97" s="15" t="str">
        <f t="shared" si="7"/>
        <v>Wednesday</v>
      </c>
      <c r="U97" t="str">
        <f t="shared" si="8"/>
        <v>January</v>
      </c>
      <c r="V97" s="16" t="str">
        <f t="shared" si="9"/>
        <v>GOOD</v>
      </c>
    </row>
    <row r="98" spans="1:22" x14ac:dyDescent="0.3">
      <c r="A98">
        <v>97</v>
      </c>
      <c r="B98" s="1">
        <v>40548</v>
      </c>
      <c r="C98">
        <v>1</v>
      </c>
      <c r="D98">
        <v>0</v>
      </c>
      <c r="E98">
        <v>1</v>
      </c>
      <c r="F98">
        <v>5</v>
      </c>
      <c r="G98" t="b">
        <f>IF(COUNTIF(AB$4:AB$20,Append1[[#This Row],[dteday]]) &gt; 0, TRUE, FALSE)</f>
        <v>0</v>
      </c>
      <c r="H98">
        <v>3</v>
      </c>
      <c r="I98">
        <v>1</v>
      </c>
      <c r="J98">
        <v>0.22</v>
      </c>
      <c r="K98">
        <f>Append1[[#This Row],[temp]]*100</f>
        <v>22</v>
      </c>
      <c r="L98">
        <v>0.2273</v>
      </c>
      <c r="M98">
        <v>0.47</v>
      </c>
      <c r="N98">
        <v>0.16420000000000001</v>
      </c>
      <c r="O98">
        <v>0</v>
      </c>
      <c r="P98">
        <v>3</v>
      </c>
      <c r="Q98">
        <v>3</v>
      </c>
      <c r="R98" s="12" t="str">
        <f t="shared" si="5"/>
        <v>Clear/Few Clouds</v>
      </c>
      <c r="S98" s="14" t="str">
        <f t="shared" si="6"/>
        <v>Winter</v>
      </c>
      <c r="T98" s="15" t="str">
        <f t="shared" si="7"/>
        <v>Wednesday</v>
      </c>
      <c r="U98" t="str">
        <f t="shared" si="8"/>
        <v>January</v>
      </c>
      <c r="V98" s="16" t="str">
        <f t="shared" si="9"/>
        <v>GOOD</v>
      </c>
    </row>
    <row r="99" spans="1:22" x14ac:dyDescent="0.3">
      <c r="A99">
        <v>98</v>
      </c>
      <c r="B99" s="1">
        <v>40548</v>
      </c>
      <c r="C99">
        <v>1</v>
      </c>
      <c r="D99">
        <v>0</v>
      </c>
      <c r="E99">
        <v>1</v>
      </c>
      <c r="F99">
        <v>6</v>
      </c>
      <c r="G99" t="b">
        <f>IF(COUNTIF(AB$4:AB$20,Append1[[#This Row],[dteday]]) &gt; 0, TRUE, FALSE)</f>
        <v>0</v>
      </c>
      <c r="H99">
        <v>3</v>
      </c>
      <c r="I99">
        <v>1</v>
      </c>
      <c r="J99">
        <v>0.2</v>
      </c>
      <c r="K99">
        <f>Append1[[#This Row],[temp]]*100</f>
        <v>20</v>
      </c>
      <c r="L99">
        <v>0.19700000000000001</v>
      </c>
      <c r="M99">
        <v>0.47</v>
      </c>
      <c r="N99">
        <v>0.22389999999999999</v>
      </c>
      <c r="O99">
        <v>0</v>
      </c>
      <c r="P99">
        <v>33</v>
      </c>
      <c r="Q99">
        <v>33</v>
      </c>
      <c r="R99" s="12" t="str">
        <f t="shared" si="5"/>
        <v>Clear/Few Clouds</v>
      </c>
      <c r="S99" s="14" t="str">
        <f t="shared" si="6"/>
        <v>Winter</v>
      </c>
      <c r="T99" s="15" t="str">
        <f t="shared" si="7"/>
        <v>Wednesday</v>
      </c>
      <c r="U99" t="str">
        <f t="shared" si="8"/>
        <v>January</v>
      </c>
      <c r="V99" s="16" t="str">
        <f t="shared" si="9"/>
        <v>GOOD</v>
      </c>
    </row>
    <row r="100" spans="1:22" x14ac:dyDescent="0.3">
      <c r="A100">
        <v>99</v>
      </c>
      <c r="B100" s="1">
        <v>40548</v>
      </c>
      <c r="C100">
        <v>1</v>
      </c>
      <c r="D100">
        <v>0</v>
      </c>
      <c r="E100">
        <v>1</v>
      </c>
      <c r="F100">
        <v>7</v>
      </c>
      <c r="G100" t="b">
        <f>IF(COUNTIF(AB$4:AB$20,Append1[[#This Row],[dteday]]) &gt; 0, TRUE, FALSE)</f>
        <v>0</v>
      </c>
      <c r="H100">
        <v>3</v>
      </c>
      <c r="I100">
        <v>1</v>
      </c>
      <c r="J100">
        <v>0.18</v>
      </c>
      <c r="K100">
        <f>Append1[[#This Row],[temp]]*100</f>
        <v>18</v>
      </c>
      <c r="L100">
        <v>0.18179999999999999</v>
      </c>
      <c r="M100">
        <v>0.43</v>
      </c>
      <c r="N100">
        <v>0.19400000000000001</v>
      </c>
      <c r="O100">
        <v>1</v>
      </c>
      <c r="P100">
        <v>87</v>
      </c>
      <c r="Q100">
        <v>88</v>
      </c>
      <c r="R100" s="12" t="str">
        <f t="shared" si="5"/>
        <v>Clear/Few Clouds</v>
      </c>
      <c r="S100" s="14" t="str">
        <f t="shared" si="6"/>
        <v>Winter</v>
      </c>
      <c r="T100" s="15" t="str">
        <f t="shared" si="7"/>
        <v>Wednesday</v>
      </c>
      <c r="U100" t="str">
        <f t="shared" si="8"/>
        <v>January</v>
      </c>
      <c r="V100" s="16" t="str">
        <f t="shared" si="9"/>
        <v>GOOD</v>
      </c>
    </row>
    <row r="101" spans="1:22" x14ac:dyDescent="0.3">
      <c r="A101">
        <v>100</v>
      </c>
      <c r="B101" s="1">
        <v>40548</v>
      </c>
      <c r="C101">
        <v>1</v>
      </c>
      <c r="D101">
        <v>0</v>
      </c>
      <c r="E101">
        <v>1</v>
      </c>
      <c r="F101">
        <v>8</v>
      </c>
      <c r="G101" t="b">
        <f>IF(COUNTIF(AB$4:AB$20,Append1[[#This Row],[dteday]]) &gt; 0, TRUE, FALSE)</f>
        <v>0</v>
      </c>
      <c r="H101">
        <v>3</v>
      </c>
      <c r="I101">
        <v>1</v>
      </c>
      <c r="J101">
        <v>0.2</v>
      </c>
      <c r="K101">
        <f>Append1[[#This Row],[temp]]*100</f>
        <v>20</v>
      </c>
      <c r="L101">
        <v>0.18179999999999999</v>
      </c>
      <c r="M101">
        <v>0.4</v>
      </c>
      <c r="N101">
        <v>0.29849999999999999</v>
      </c>
      <c r="O101">
        <v>3</v>
      </c>
      <c r="P101">
        <v>192</v>
      </c>
      <c r="Q101">
        <v>195</v>
      </c>
      <c r="R101" s="12" t="str">
        <f t="shared" si="5"/>
        <v>Clear/Few Clouds</v>
      </c>
      <c r="S101" s="14" t="str">
        <f t="shared" si="6"/>
        <v>Winter</v>
      </c>
      <c r="T101" s="15" t="str">
        <f t="shared" si="7"/>
        <v>Wednesday</v>
      </c>
      <c r="U101" t="str">
        <f t="shared" si="8"/>
        <v>January</v>
      </c>
      <c r="V101" s="16" t="str">
        <f t="shared" si="9"/>
        <v>GOOD</v>
      </c>
    </row>
    <row r="102" spans="1:22" x14ac:dyDescent="0.3">
      <c r="A102">
        <v>101</v>
      </c>
      <c r="B102" s="1">
        <v>40548</v>
      </c>
      <c r="C102">
        <v>1</v>
      </c>
      <c r="D102">
        <v>0</v>
      </c>
      <c r="E102">
        <v>1</v>
      </c>
      <c r="F102">
        <v>9</v>
      </c>
      <c r="G102" t="b">
        <f>IF(COUNTIF(AB$4:AB$20,Append1[[#This Row],[dteday]]) &gt; 0, TRUE, FALSE)</f>
        <v>0</v>
      </c>
      <c r="H102">
        <v>3</v>
      </c>
      <c r="I102">
        <v>1</v>
      </c>
      <c r="J102">
        <v>0.22</v>
      </c>
      <c r="K102">
        <f>Append1[[#This Row],[temp]]*100</f>
        <v>22</v>
      </c>
      <c r="L102">
        <v>0.19700000000000001</v>
      </c>
      <c r="M102">
        <v>0.37</v>
      </c>
      <c r="N102">
        <v>0.32840000000000003</v>
      </c>
      <c r="O102">
        <v>6</v>
      </c>
      <c r="P102">
        <v>109</v>
      </c>
      <c r="Q102">
        <v>115</v>
      </c>
      <c r="R102" s="12" t="str">
        <f t="shared" si="5"/>
        <v>Clear/Few Clouds</v>
      </c>
      <c r="S102" s="14" t="str">
        <f t="shared" si="6"/>
        <v>Winter</v>
      </c>
      <c r="T102" s="15" t="str">
        <f t="shared" si="7"/>
        <v>Wednesday</v>
      </c>
      <c r="U102" t="str">
        <f t="shared" si="8"/>
        <v>January</v>
      </c>
      <c r="V102" s="16" t="str">
        <f t="shared" si="9"/>
        <v>GOOD</v>
      </c>
    </row>
    <row r="103" spans="1:22" x14ac:dyDescent="0.3">
      <c r="A103">
        <v>102</v>
      </c>
      <c r="B103" s="1">
        <v>40548</v>
      </c>
      <c r="C103">
        <v>1</v>
      </c>
      <c r="D103">
        <v>0</v>
      </c>
      <c r="E103">
        <v>1</v>
      </c>
      <c r="F103">
        <v>10</v>
      </c>
      <c r="G103" t="b">
        <f>IF(COUNTIF(AB$4:AB$20,Append1[[#This Row],[dteday]]) &gt; 0, TRUE, FALSE)</f>
        <v>0</v>
      </c>
      <c r="H103">
        <v>3</v>
      </c>
      <c r="I103">
        <v>1</v>
      </c>
      <c r="J103">
        <v>0.22</v>
      </c>
      <c r="K103">
        <f>Append1[[#This Row],[temp]]*100</f>
        <v>22</v>
      </c>
      <c r="L103">
        <v>0.19700000000000001</v>
      </c>
      <c r="M103">
        <v>0.37</v>
      </c>
      <c r="N103">
        <v>0.32840000000000003</v>
      </c>
      <c r="O103">
        <v>4</v>
      </c>
      <c r="P103">
        <v>53</v>
      </c>
      <c r="Q103">
        <v>57</v>
      </c>
      <c r="R103" s="12" t="str">
        <f t="shared" si="5"/>
        <v>Clear/Few Clouds</v>
      </c>
      <c r="S103" s="14" t="str">
        <f t="shared" si="6"/>
        <v>Winter</v>
      </c>
      <c r="T103" s="15" t="str">
        <f t="shared" si="7"/>
        <v>Wednesday</v>
      </c>
      <c r="U103" t="str">
        <f t="shared" si="8"/>
        <v>January</v>
      </c>
      <c r="V103" s="16" t="str">
        <f t="shared" si="9"/>
        <v>GOOD</v>
      </c>
    </row>
    <row r="104" spans="1:22" x14ac:dyDescent="0.3">
      <c r="A104">
        <v>103</v>
      </c>
      <c r="B104" s="1">
        <v>40548</v>
      </c>
      <c r="C104">
        <v>1</v>
      </c>
      <c r="D104">
        <v>0</v>
      </c>
      <c r="E104">
        <v>1</v>
      </c>
      <c r="F104">
        <v>11</v>
      </c>
      <c r="G104" t="b">
        <f>IF(COUNTIF(AB$4:AB$20,Append1[[#This Row],[dteday]]) &gt; 0, TRUE, FALSE)</f>
        <v>0</v>
      </c>
      <c r="H104">
        <v>3</v>
      </c>
      <c r="I104">
        <v>1</v>
      </c>
      <c r="J104">
        <v>0.26</v>
      </c>
      <c r="K104">
        <f>Append1[[#This Row],[temp]]*100</f>
        <v>26</v>
      </c>
      <c r="L104">
        <v>0.2273</v>
      </c>
      <c r="M104">
        <v>0.33</v>
      </c>
      <c r="N104">
        <v>0.32840000000000003</v>
      </c>
      <c r="O104">
        <v>12</v>
      </c>
      <c r="P104">
        <v>34</v>
      </c>
      <c r="Q104">
        <v>46</v>
      </c>
      <c r="R104" s="12" t="str">
        <f t="shared" si="5"/>
        <v>Clear/Few Clouds</v>
      </c>
      <c r="S104" s="14" t="str">
        <f t="shared" si="6"/>
        <v>Winter</v>
      </c>
      <c r="T104" s="15" t="str">
        <f t="shared" si="7"/>
        <v>Wednesday</v>
      </c>
      <c r="U104" t="str">
        <f t="shared" si="8"/>
        <v>January</v>
      </c>
      <c r="V104" s="16" t="str">
        <f t="shared" si="9"/>
        <v>GOOD</v>
      </c>
    </row>
    <row r="105" spans="1:22" x14ac:dyDescent="0.3">
      <c r="A105">
        <v>104</v>
      </c>
      <c r="B105" s="1">
        <v>40548</v>
      </c>
      <c r="C105">
        <v>1</v>
      </c>
      <c r="D105">
        <v>0</v>
      </c>
      <c r="E105">
        <v>1</v>
      </c>
      <c r="F105">
        <v>12</v>
      </c>
      <c r="G105" t="b">
        <f>IF(COUNTIF(AB$4:AB$20,Append1[[#This Row],[dteday]]) &gt; 0, TRUE, FALSE)</f>
        <v>0</v>
      </c>
      <c r="H105">
        <v>3</v>
      </c>
      <c r="I105">
        <v>1</v>
      </c>
      <c r="J105">
        <v>0.26</v>
      </c>
      <c r="K105">
        <f>Append1[[#This Row],[temp]]*100</f>
        <v>26</v>
      </c>
      <c r="L105">
        <v>0.2273</v>
      </c>
      <c r="M105">
        <v>0.33</v>
      </c>
      <c r="N105">
        <v>0.32840000000000003</v>
      </c>
      <c r="O105">
        <v>5</v>
      </c>
      <c r="P105">
        <v>74</v>
      </c>
      <c r="Q105">
        <v>79</v>
      </c>
      <c r="R105" s="12" t="str">
        <f t="shared" si="5"/>
        <v>Clear/Few Clouds</v>
      </c>
      <c r="S105" s="14" t="str">
        <f t="shared" si="6"/>
        <v>Winter</v>
      </c>
      <c r="T105" s="15" t="str">
        <f t="shared" si="7"/>
        <v>Wednesday</v>
      </c>
      <c r="U105" t="str">
        <f t="shared" si="8"/>
        <v>January</v>
      </c>
      <c r="V105" s="16" t="str">
        <f t="shared" si="9"/>
        <v>GOOD</v>
      </c>
    </row>
    <row r="106" spans="1:22" x14ac:dyDescent="0.3">
      <c r="A106">
        <v>105</v>
      </c>
      <c r="B106" s="1">
        <v>40548</v>
      </c>
      <c r="C106">
        <v>1</v>
      </c>
      <c r="D106">
        <v>0</v>
      </c>
      <c r="E106">
        <v>1</v>
      </c>
      <c r="F106">
        <v>13</v>
      </c>
      <c r="G106" t="b">
        <f>IF(COUNTIF(AB$4:AB$20,Append1[[#This Row],[dteday]]) &gt; 0, TRUE, FALSE)</f>
        <v>0</v>
      </c>
      <c r="H106">
        <v>3</v>
      </c>
      <c r="I106">
        <v>1</v>
      </c>
      <c r="J106">
        <v>0.28000000000000003</v>
      </c>
      <c r="K106">
        <f>Append1[[#This Row],[temp]]*100</f>
        <v>28.000000000000004</v>
      </c>
      <c r="L106">
        <v>0.2576</v>
      </c>
      <c r="M106">
        <v>0.3</v>
      </c>
      <c r="N106">
        <v>0.29849999999999999</v>
      </c>
      <c r="O106">
        <v>6</v>
      </c>
      <c r="P106">
        <v>65</v>
      </c>
      <c r="Q106">
        <v>71</v>
      </c>
      <c r="R106" s="12" t="str">
        <f t="shared" si="5"/>
        <v>Clear/Few Clouds</v>
      </c>
      <c r="S106" s="14" t="str">
        <f t="shared" si="6"/>
        <v>Winter</v>
      </c>
      <c r="T106" s="15" t="str">
        <f t="shared" si="7"/>
        <v>Wednesday</v>
      </c>
      <c r="U106" t="str">
        <f t="shared" si="8"/>
        <v>January</v>
      </c>
      <c r="V106" s="16" t="str">
        <f t="shared" si="9"/>
        <v>GOOD</v>
      </c>
    </row>
    <row r="107" spans="1:22" x14ac:dyDescent="0.3">
      <c r="A107">
        <v>106</v>
      </c>
      <c r="B107" s="1">
        <v>40548</v>
      </c>
      <c r="C107">
        <v>1</v>
      </c>
      <c r="D107">
        <v>0</v>
      </c>
      <c r="E107">
        <v>1</v>
      </c>
      <c r="F107">
        <v>14</v>
      </c>
      <c r="G107" t="b">
        <f>IF(COUNTIF(AB$4:AB$20,Append1[[#This Row],[dteday]]) &gt; 0, TRUE, FALSE)</f>
        <v>0</v>
      </c>
      <c r="H107">
        <v>3</v>
      </c>
      <c r="I107">
        <v>1</v>
      </c>
      <c r="J107">
        <v>0.3</v>
      </c>
      <c r="K107">
        <f>Append1[[#This Row],[temp]]*100</f>
        <v>30</v>
      </c>
      <c r="L107">
        <v>0.28789999999999999</v>
      </c>
      <c r="M107">
        <v>0.28000000000000003</v>
      </c>
      <c r="N107">
        <v>0.19400000000000001</v>
      </c>
      <c r="O107">
        <v>10</v>
      </c>
      <c r="P107">
        <v>52</v>
      </c>
      <c r="Q107">
        <v>62</v>
      </c>
      <c r="R107" s="12" t="str">
        <f t="shared" si="5"/>
        <v>Clear/Few Clouds</v>
      </c>
      <c r="S107" s="14" t="str">
        <f t="shared" si="6"/>
        <v>Winter</v>
      </c>
      <c r="T107" s="15" t="str">
        <f t="shared" si="7"/>
        <v>Wednesday</v>
      </c>
      <c r="U107" t="str">
        <f t="shared" si="8"/>
        <v>January</v>
      </c>
      <c r="V107" s="16" t="str">
        <f t="shared" si="9"/>
        <v>GOOD</v>
      </c>
    </row>
    <row r="108" spans="1:22" x14ac:dyDescent="0.3">
      <c r="A108">
        <v>107</v>
      </c>
      <c r="B108" s="1">
        <v>40548</v>
      </c>
      <c r="C108">
        <v>1</v>
      </c>
      <c r="D108">
        <v>0</v>
      </c>
      <c r="E108">
        <v>1</v>
      </c>
      <c r="F108">
        <v>15</v>
      </c>
      <c r="G108" t="b">
        <f>IF(COUNTIF(AB$4:AB$20,Append1[[#This Row],[dteday]]) &gt; 0, TRUE, FALSE)</f>
        <v>0</v>
      </c>
      <c r="H108">
        <v>3</v>
      </c>
      <c r="I108">
        <v>1</v>
      </c>
      <c r="J108">
        <v>0.3</v>
      </c>
      <c r="K108">
        <f>Append1[[#This Row],[temp]]*100</f>
        <v>30</v>
      </c>
      <c r="L108">
        <v>0.28789999999999999</v>
      </c>
      <c r="M108">
        <v>0.28000000000000003</v>
      </c>
      <c r="N108">
        <v>0.19400000000000001</v>
      </c>
      <c r="O108">
        <v>7</v>
      </c>
      <c r="P108">
        <v>55</v>
      </c>
      <c r="Q108">
        <v>62</v>
      </c>
      <c r="R108" s="12" t="str">
        <f t="shared" si="5"/>
        <v>Clear/Few Clouds</v>
      </c>
      <c r="S108" s="14" t="str">
        <f t="shared" si="6"/>
        <v>Winter</v>
      </c>
      <c r="T108" s="15" t="str">
        <f t="shared" si="7"/>
        <v>Wednesday</v>
      </c>
      <c r="U108" t="str">
        <f t="shared" si="8"/>
        <v>January</v>
      </c>
      <c r="V108" s="16" t="str">
        <f t="shared" si="9"/>
        <v>GOOD</v>
      </c>
    </row>
    <row r="109" spans="1:22" x14ac:dyDescent="0.3">
      <c r="A109">
        <v>108</v>
      </c>
      <c r="B109" s="1">
        <v>40548</v>
      </c>
      <c r="C109">
        <v>1</v>
      </c>
      <c r="D109">
        <v>0</v>
      </c>
      <c r="E109">
        <v>1</v>
      </c>
      <c r="F109">
        <v>16</v>
      </c>
      <c r="G109" t="b">
        <f>IF(COUNTIF(AB$4:AB$20,Append1[[#This Row],[dteday]]) &gt; 0, TRUE, FALSE)</f>
        <v>0</v>
      </c>
      <c r="H109">
        <v>3</v>
      </c>
      <c r="I109">
        <v>1</v>
      </c>
      <c r="J109">
        <v>0.3</v>
      </c>
      <c r="K109">
        <f>Append1[[#This Row],[temp]]*100</f>
        <v>30</v>
      </c>
      <c r="L109">
        <v>0.31819999999999998</v>
      </c>
      <c r="M109">
        <v>0.28000000000000003</v>
      </c>
      <c r="N109">
        <v>8.9599999999999999E-2</v>
      </c>
      <c r="O109">
        <v>4</v>
      </c>
      <c r="P109">
        <v>85</v>
      </c>
      <c r="Q109">
        <v>89</v>
      </c>
      <c r="R109" s="12" t="str">
        <f t="shared" si="5"/>
        <v>Clear/Few Clouds</v>
      </c>
      <c r="S109" s="14" t="str">
        <f t="shared" si="6"/>
        <v>Winter</v>
      </c>
      <c r="T109" s="15" t="str">
        <f t="shared" si="7"/>
        <v>Wednesday</v>
      </c>
      <c r="U109" t="str">
        <f t="shared" si="8"/>
        <v>January</v>
      </c>
      <c r="V109" s="16" t="str">
        <f t="shared" si="9"/>
        <v>GOOD</v>
      </c>
    </row>
    <row r="110" spans="1:22" x14ac:dyDescent="0.3">
      <c r="A110">
        <v>109</v>
      </c>
      <c r="B110" s="1">
        <v>40548</v>
      </c>
      <c r="C110">
        <v>1</v>
      </c>
      <c r="D110">
        <v>0</v>
      </c>
      <c r="E110">
        <v>1</v>
      </c>
      <c r="F110">
        <v>17</v>
      </c>
      <c r="G110" t="b">
        <f>IF(COUNTIF(AB$4:AB$20,Append1[[#This Row],[dteday]]) &gt; 0, TRUE, FALSE)</f>
        <v>0</v>
      </c>
      <c r="H110">
        <v>3</v>
      </c>
      <c r="I110">
        <v>1</v>
      </c>
      <c r="J110">
        <v>0.24</v>
      </c>
      <c r="K110">
        <f>Append1[[#This Row],[temp]]*100</f>
        <v>24</v>
      </c>
      <c r="L110">
        <v>0.2273</v>
      </c>
      <c r="M110">
        <v>0.38</v>
      </c>
      <c r="N110">
        <v>0.19400000000000001</v>
      </c>
      <c r="O110">
        <v>4</v>
      </c>
      <c r="P110">
        <v>186</v>
      </c>
      <c r="Q110">
        <v>190</v>
      </c>
      <c r="R110" s="12" t="str">
        <f t="shared" si="5"/>
        <v>Clear/Few Clouds</v>
      </c>
      <c r="S110" s="14" t="str">
        <f t="shared" si="6"/>
        <v>Winter</v>
      </c>
      <c r="T110" s="15" t="str">
        <f t="shared" si="7"/>
        <v>Wednesday</v>
      </c>
      <c r="U110" t="str">
        <f t="shared" si="8"/>
        <v>January</v>
      </c>
      <c r="V110" s="16" t="str">
        <f t="shared" si="9"/>
        <v>GOOD</v>
      </c>
    </row>
    <row r="111" spans="1:22" x14ac:dyDescent="0.3">
      <c r="A111">
        <v>110</v>
      </c>
      <c r="B111" s="1">
        <v>40548</v>
      </c>
      <c r="C111">
        <v>1</v>
      </c>
      <c r="D111">
        <v>0</v>
      </c>
      <c r="E111">
        <v>1</v>
      </c>
      <c r="F111">
        <v>18</v>
      </c>
      <c r="G111" t="b">
        <f>IF(COUNTIF(AB$4:AB$20,Append1[[#This Row],[dteday]]) &gt; 0, TRUE, FALSE)</f>
        <v>0</v>
      </c>
      <c r="H111">
        <v>3</v>
      </c>
      <c r="I111">
        <v>1</v>
      </c>
      <c r="J111">
        <v>0.24</v>
      </c>
      <c r="K111">
        <f>Append1[[#This Row],[temp]]*100</f>
        <v>24</v>
      </c>
      <c r="L111">
        <v>0.2424</v>
      </c>
      <c r="M111">
        <v>0.38</v>
      </c>
      <c r="N111">
        <v>0.1343</v>
      </c>
      <c r="O111">
        <v>3</v>
      </c>
      <c r="P111">
        <v>166</v>
      </c>
      <c r="Q111">
        <v>169</v>
      </c>
      <c r="R111" s="12" t="str">
        <f t="shared" si="5"/>
        <v>Clear/Few Clouds</v>
      </c>
      <c r="S111" s="14" t="str">
        <f t="shared" si="6"/>
        <v>Winter</v>
      </c>
      <c r="T111" s="15" t="str">
        <f t="shared" si="7"/>
        <v>Wednesday</v>
      </c>
      <c r="U111" t="str">
        <f t="shared" si="8"/>
        <v>January</v>
      </c>
      <c r="V111" s="16" t="str">
        <f t="shared" si="9"/>
        <v>GOOD</v>
      </c>
    </row>
    <row r="112" spans="1:22" x14ac:dyDescent="0.3">
      <c r="A112">
        <v>111</v>
      </c>
      <c r="B112" s="1">
        <v>40548</v>
      </c>
      <c r="C112">
        <v>1</v>
      </c>
      <c r="D112">
        <v>0</v>
      </c>
      <c r="E112">
        <v>1</v>
      </c>
      <c r="F112">
        <v>19</v>
      </c>
      <c r="G112" t="b">
        <f>IF(COUNTIF(AB$4:AB$20,Append1[[#This Row],[dteday]]) &gt; 0, TRUE, FALSE)</f>
        <v>0</v>
      </c>
      <c r="H112">
        <v>3</v>
      </c>
      <c r="I112">
        <v>1</v>
      </c>
      <c r="J112">
        <v>0.24</v>
      </c>
      <c r="K112">
        <f>Append1[[#This Row],[temp]]*100</f>
        <v>24</v>
      </c>
      <c r="L112">
        <v>0.2576</v>
      </c>
      <c r="M112">
        <v>0.38</v>
      </c>
      <c r="N112">
        <v>0.1045</v>
      </c>
      <c r="O112">
        <v>5</v>
      </c>
      <c r="P112">
        <v>127</v>
      </c>
      <c r="Q112">
        <v>132</v>
      </c>
      <c r="R112" s="12" t="str">
        <f t="shared" si="5"/>
        <v>Clear/Few Clouds</v>
      </c>
      <c r="S112" s="14" t="str">
        <f t="shared" si="6"/>
        <v>Winter</v>
      </c>
      <c r="T112" s="15" t="str">
        <f t="shared" si="7"/>
        <v>Wednesday</v>
      </c>
      <c r="U112" t="str">
        <f t="shared" si="8"/>
        <v>January</v>
      </c>
      <c r="V112" s="16" t="str">
        <f t="shared" si="9"/>
        <v>GOOD</v>
      </c>
    </row>
    <row r="113" spans="1:22" x14ac:dyDescent="0.3">
      <c r="A113">
        <v>112</v>
      </c>
      <c r="B113" s="1">
        <v>40548</v>
      </c>
      <c r="C113">
        <v>1</v>
      </c>
      <c r="D113">
        <v>0</v>
      </c>
      <c r="E113">
        <v>1</v>
      </c>
      <c r="F113">
        <v>20</v>
      </c>
      <c r="G113" t="b">
        <f>IF(COUNTIF(AB$4:AB$20,Append1[[#This Row],[dteday]]) &gt; 0, TRUE, FALSE)</f>
        <v>0</v>
      </c>
      <c r="H113">
        <v>3</v>
      </c>
      <c r="I113">
        <v>1</v>
      </c>
      <c r="J113">
        <v>0.22</v>
      </c>
      <c r="K113">
        <f>Append1[[#This Row],[temp]]*100</f>
        <v>22</v>
      </c>
      <c r="L113">
        <v>0.2273</v>
      </c>
      <c r="M113">
        <v>0.47</v>
      </c>
      <c r="N113">
        <v>0.16420000000000001</v>
      </c>
      <c r="O113">
        <v>7</v>
      </c>
      <c r="P113">
        <v>82</v>
      </c>
      <c r="Q113">
        <v>89</v>
      </c>
      <c r="R113" s="12" t="str">
        <f t="shared" si="5"/>
        <v>Clear/Few Clouds</v>
      </c>
      <c r="S113" s="14" t="str">
        <f t="shared" si="6"/>
        <v>Winter</v>
      </c>
      <c r="T113" s="15" t="str">
        <f t="shared" si="7"/>
        <v>Wednesday</v>
      </c>
      <c r="U113" t="str">
        <f t="shared" si="8"/>
        <v>January</v>
      </c>
      <c r="V113" s="16" t="str">
        <f t="shared" si="9"/>
        <v>GOOD</v>
      </c>
    </row>
    <row r="114" spans="1:22" x14ac:dyDescent="0.3">
      <c r="A114">
        <v>113</v>
      </c>
      <c r="B114" s="1">
        <v>40548</v>
      </c>
      <c r="C114">
        <v>1</v>
      </c>
      <c r="D114">
        <v>0</v>
      </c>
      <c r="E114">
        <v>1</v>
      </c>
      <c r="F114">
        <v>21</v>
      </c>
      <c r="G114" t="b">
        <f>IF(COUNTIF(AB$4:AB$20,Append1[[#This Row],[dteday]]) &gt; 0, TRUE, FALSE)</f>
        <v>0</v>
      </c>
      <c r="H114">
        <v>3</v>
      </c>
      <c r="I114">
        <v>1</v>
      </c>
      <c r="J114">
        <v>0.2</v>
      </c>
      <c r="K114">
        <f>Append1[[#This Row],[temp]]*100</f>
        <v>20</v>
      </c>
      <c r="L114">
        <v>0.19700000000000001</v>
      </c>
      <c r="M114">
        <v>0.51</v>
      </c>
      <c r="N114">
        <v>0.19400000000000001</v>
      </c>
      <c r="O114">
        <v>3</v>
      </c>
      <c r="P114">
        <v>40</v>
      </c>
      <c r="Q114">
        <v>43</v>
      </c>
      <c r="R114" s="12" t="str">
        <f t="shared" si="5"/>
        <v>Clear/Few Clouds</v>
      </c>
      <c r="S114" s="14" t="str">
        <f t="shared" si="6"/>
        <v>Winter</v>
      </c>
      <c r="T114" s="15" t="str">
        <f t="shared" si="7"/>
        <v>Wednesday</v>
      </c>
      <c r="U114" t="str">
        <f t="shared" si="8"/>
        <v>January</v>
      </c>
      <c r="V114" s="16" t="str">
        <f t="shared" si="9"/>
        <v>GOOD</v>
      </c>
    </row>
    <row r="115" spans="1:22" x14ac:dyDescent="0.3">
      <c r="A115">
        <v>114</v>
      </c>
      <c r="B115" s="1">
        <v>40548</v>
      </c>
      <c r="C115">
        <v>1</v>
      </c>
      <c r="D115">
        <v>0</v>
      </c>
      <c r="E115">
        <v>1</v>
      </c>
      <c r="F115">
        <v>22</v>
      </c>
      <c r="G115" t="b">
        <f>IF(COUNTIF(AB$4:AB$20,Append1[[#This Row],[dteday]]) &gt; 0, TRUE, FALSE)</f>
        <v>0</v>
      </c>
      <c r="H115">
        <v>3</v>
      </c>
      <c r="I115">
        <v>1</v>
      </c>
      <c r="J115">
        <v>0.18</v>
      </c>
      <c r="K115">
        <f>Append1[[#This Row],[temp]]*100</f>
        <v>18</v>
      </c>
      <c r="L115">
        <v>0.19700000000000001</v>
      </c>
      <c r="M115">
        <v>0.55000000000000004</v>
      </c>
      <c r="N115">
        <v>0.1343</v>
      </c>
      <c r="O115">
        <v>1</v>
      </c>
      <c r="P115">
        <v>41</v>
      </c>
      <c r="Q115">
        <v>42</v>
      </c>
      <c r="R115" s="12" t="str">
        <f t="shared" si="5"/>
        <v>Clear/Few Clouds</v>
      </c>
      <c r="S115" s="14" t="str">
        <f t="shared" si="6"/>
        <v>Winter</v>
      </c>
      <c r="T115" s="15" t="str">
        <f t="shared" si="7"/>
        <v>Wednesday</v>
      </c>
      <c r="U115" t="str">
        <f t="shared" si="8"/>
        <v>January</v>
      </c>
      <c r="V115" s="16" t="str">
        <f t="shared" si="9"/>
        <v>GOOD</v>
      </c>
    </row>
    <row r="116" spans="1:22" x14ac:dyDescent="0.3">
      <c r="A116">
        <v>115</v>
      </c>
      <c r="B116" s="1">
        <v>40548</v>
      </c>
      <c r="C116">
        <v>1</v>
      </c>
      <c r="D116">
        <v>0</v>
      </c>
      <c r="E116">
        <v>1</v>
      </c>
      <c r="F116">
        <v>23</v>
      </c>
      <c r="G116" t="b">
        <f>IF(COUNTIF(AB$4:AB$20,Append1[[#This Row],[dteday]]) &gt; 0, TRUE, FALSE)</f>
        <v>0</v>
      </c>
      <c r="H116">
        <v>3</v>
      </c>
      <c r="I116">
        <v>1</v>
      </c>
      <c r="J116">
        <v>0.2</v>
      </c>
      <c r="K116">
        <f>Append1[[#This Row],[temp]]*100</f>
        <v>20</v>
      </c>
      <c r="L116">
        <v>0.2576</v>
      </c>
      <c r="M116">
        <v>0.47</v>
      </c>
      <c r="N116">
        <v>0</v>
      </c>
      <c r="O116">
        <v>1</v>
      </c>
      <c r="P116">
        <v>18</v>
      </c>
      <c r="Q116">
        <v>19</v>
      </c>
      <c r="R116" s="12" t="str">
        <f t="shared" si="5"/>
        <v>Clear/Few Clouds</v>
      </c>
      <c r="S116" s="14" t="str">
        <f t="shared" si="6"/>
        <v>Winter</v>
      </c>
      <c r="T116" s="15" t="str">
        <f t="shared" si="7"/>
        <v>Wednesday</v>
      </c>
      <c r="U116" t="str">
        <f t="shared" si="8"/>
        <v>January</v>
      </c>
      <c r="V116" s="16" t="str">
        <f t="shared" si="9"/>
        <v>GOOD</v>
      </c>
    </row>
    <row r="117" spans="1:22" x14ac:dyDescent="0.3">
      <c r="A117">
        <v>116</v>
      </c>
      <c r="B117" s="1">
        <v>40549</v>
      </c>
      <c r="C117">
        <v>1</v>
      </c>
      <c r="D117">
        <v>0</v>
      </c>
      <c r="E117">
        <v>1</v>
      </c>
      <c r="F117">
        <v>0</v>
      </c>
      <c r="G117" t="b">
        <f>IF(COUNTIF(AB$4:AB$20,Append1[[#This Row],[dteday]]) &gt; 0, TRUE, FALSE)</f>
        <v>0</v>
      </c>
      <c r="H117">
        <v>4</v>
      </c>
      <c r="I117">
        <v>1</v>
      </c>
      <c r="J117">
        <v>0.18</v>
      </c>
      <c r="K117">
        <f>Append1[[#This Row],[temp]]*100</f>
        <v>18</v>
      </c>
      <c r="L117">
        <v>0.2424</v>
      </c>
      <c r="M117">
        <v>0.55000000000000004</v>
      </c>
      <c r="N117">
        <v>0</v>
      </c>
      <c r="O117">
        <v>0</v>
      </c>
      <c r="P117">
        <v>11</v>
      </c>
      <c r="Q117">
        <v>11</v>
      </c>
      <c r="R117" s="12" t="str">
        <f t="shared" si="5"/>
        <v>Clear/Few Clouds</v>
      </c>
      <c r="S117" s="14" t="str">
        <f t="shared" si="6"/>
        <v>Winter</v>
      </c>
      <c r="T117" s="15" t="str">
        <f t="shared" si="7"/>
        <v>Thursday</v>
      </c>
      <c r="U117" t="str">
        <f t="shared" si="8"/>
        <v>January</v>
      </c>
      <c r="V117" s="16" t="str">
        <f t="shared" si="9"/>
        <v>GOOD</v>
      </c>
    </row>
    <row r="118" spans="1:22" x14ac:dyDescent="0.3">
      <c r="A118">
        <v>117</v>
      </c>
      <c r="B118" s="1">
        <v>40549</v>
      </c>
      <c r="C118">
        <v>1</v>
      </c>
      <c r="D118">
        <v>0</v>
      </c>
      <c r="E118">
        <v>1</v>
      </c>
      <c r="F118">
        <v>1</v>
      </c>
      <c r="G118" t="b">
        <f>IF(COUNTIF(AB$4:AB$20,Append1[[#This Row],[dteday]]) &gt; 0, TRUE, FALSE)</f>
        <v>0</v>
      </c>
      <c r="H118">
        <v>4</v>
      </c>
      <c r="I118">
        <v>1</v>
      </c>
      <c r="J118">
        <v>0.16</v>
      </c>
      <c r="K118">
        <f>Append1[[#This Row],[temp]]*100</f>
        <v>16</v>
      </c>
      <c r="L118">
        <v>0.2273</v>
      </c>
      <c r="M118">
        <v>0.64</v>
      </c>
      <c r="N118">
        <v>0</v>
      </c>
      <c r="O118">
        <v>0</v>
      </c>
      <c r="P118">
        <v>4</v>
      </c>
      <c r="Q118">
        <v>4</v>
      </c>
      <c r="R118" s="12" t="str">
        <f t="shared" si="5"/>
        <v>Clear/Few Clouds</v>
      </c>
      <c r="S118" s="14" t="str">
        <f t="shared" si="6"/>
        <v>Winter</v>
      </c>
      <c r="T118" s="15" t="str">
        <f t="shared" si="7"/>
        <v>Thursday</v>
      </c>
      <c r="U118" t="str">
        <f t="shared" si="8"/>
        <v>January</v>
      </c>
      <c r="V118" s="16" t="str">
        <f t="shared" si="9"/>
        <v>GOOD</v>
      </c>
    </row>
    <row r="119" spans="1:22" x14ac:dyDescent="0.3">
      <c r="A119">
        <v>118</v>
      </c>
      <c r="B119" s="1">
        <v>40549</v>
      </c>
      <c r="C119">
        <v>1</v>
      </c>
      <c r="D119">
        <v>0</v>
      </c>
      <c r="E119">
        <v>1</v>
      </c>
      <c r="F119">
        <v>2</v>
      </c>
      <c r="G119" t="b">
        <f>IF(COUNTIF(AB$4:AB$20,Append1[[#This Row],[dteday]]) &gt; 0, TRUE, FALSE)</f>
        <v>0</v>
      </c>
      <c r="H119">
        <v>4</v>
      </c>
      <c r="I119">
        <v>1</v>
      </c>
      <c r="J119">
        <v>0.16</v>
      </c>
      <c r="K119">
        <f>Append1[[#This Row],[temp]]*100</f>
        <v>16</v>
      </c>
      <c r="L119">
        <v>0.2273</v>
      </c>
      <c r="M119">
        <v>0.64</v>
      </c>
      <c r="N119">
        <v>0</v>
      </c>
      <c r="O119">
        <v>0</v>
      </c>
      <c r="P119">
        <v>2</v>
      </c>
      <c r="Q119">
        <v>2</v>
      </c>
      <c r="R119" s="12" t="str">
        <f t="shared" si="5"/>
        <v>Clear/Few Clouds</v>
      </c>
      <c r="S119" s="14" t="str">
        <f t="shared" si="6"/>
        <v>Winter</v>
      </c>
      <c r="T119" s="15" t="str">
        <f t="shared" si="7"/>
        <v>Thursday</v>
      </c>
      <c r="U119" t="str">
        <f t="shared" si="8"/>
        <v>January</v>
      </c>
      <c r="V119" s="16" t="str">
        <f t="shared" si="9"/>
        <v>GOOD</v>
      </c>
    </row>
    <row r="120" spans="1:22" x14ac:dyDescent="0.3">
      <c r="A120">
        <v>119</v>
      </c>
      <c r="B120" s="1">
        <v>40549</v>
      </c>
      <c r="C120">
        <v>1</v>
      </c>
      <c r="D120">
        <v>0</v>
      </c>
      <c r="E120">
        <v>1</v>
      </c>
      <c r="F120">
        <v>4</v>
      </c>
      <c r="G120" t="b">
        <f>IF(COUNTIF(AB$4:AB$20,Append1[[#This Row],[dteday]]) &gt; 0, TRUE, FALSE)</f>
        <v>0</v>
      </c>
      <c r="H120">
        <v>4</v>
      </c>
      <c r="I120">
        <v>2</v>
      </c>
      <c r="J120">
        <v>0.16</v>
      </c>
      <c r="K120">
        <f>Append1[[#This Row],[temp]]*100</f>
        <v>16</v>
      </c>
      <c r="L120">
        <v>0.19700000000000001</v>
      </c>
      <c r="M120">
        <v>0.64</v>
      </c>
      <c r="N120">
        <v>8.9599999999999999E-2</v>
      </c>
      <c r="O120">
        <v>0</v>
      </c>
      <c r="P120">
        <v>1</v>
      </c>
      <c r="Q120">
        <v>1</v>
      </c>
      <c r="R120" s="12" t="str">
        <f t="shared" si="5"/>
        <v>Mist/Cloudy</v>
      </c>
      <c r="S120" s="14" t="str">
        <f t="shared" si="6"/>
        <v>Winter</v>
      </c>
      <c r="T120" s="15" t="str">
        <f t="shared" si="7"/>
        <v>Thursday</v>
      </c>
      <c r="U120" t="str">
        <f t="shared" si="8"/>
        <v>January</v>
      </c>
      <c r="V120" s="16" t="str">
        <f t="shared" si="9"/>
        <v>MODERATE</v>
      </c>
    </row>
    <row r="121" spans="1:22" x14ac:dyDescent="0.3">
      <c r="A121">
        <v>120</v>
      </c>
      <c r="B121" s="1">
        <v>40549</v>
      </c>
      <c r="C121">
        <v>1</v>
      </c>
      <c r="D121">
        <v>0</v>
      </c>
      <c r="E121">
        <v>1</v>
      </c>
      <c r="F121">
        <v>5</v>
      </c>
      <c r="G121" t="b">
        <f>IF(COUNTIF(AB$4:AB$20,Append1[[#This Row],[dteday]]) &gt; 0, TRUE, FALSE)</f>
        <v>0</v>
      </c>
      <c r="H121">
        <v>4</v>
      </c>
      <c r="I121">
        <v>2</v>
      </c>
      <c r="J121">
        <v>0.14000000000000001</v>
      </c>
      <c r="K121">
        <f>Append1[[#This Row],[temp]]*100</f>
        <v>14.000000000000002</v>
      </c>
      <c r="L121">
        <v>0.18179999999999999</v>
      </c>
      <c r="M121">
        <v>0.69</v>
      </c>
      <c r="N121">
        <v>8.9599999999999999E-2</v>
      </c>
      <c r="O121">
        <v>0</v>
      </c>
      <c r="P121">
        <v>4</v>
      </c>
      <c r="Q121">
        <v>4</v>
      </c>
      <c r="R121" s="12" t="str">
        <f t="shared" si="5"/>
        <v>Mist/Cloudy</v>
      </c>
      <c r="S121" s="14" t="str">
        <f t="shared" si="6"/>
        <v>Winter</v>
      </c>
      <c r="T121" s="15" t="str">
        <f t="shared" si="7"/>
        <v>Thursday</v>
      </c>
      <c r="U121" t="str">
        <f t="shared" si="8"/>
        <v>January</v>
      </c>
      <c r="V121" s="16" t="str">
        <f t="shared" si="9"/>
        <v>MODERATE</v>
      </c>
    </row>
    <row r="122" spans="1:22" x14ac:dyDescent="0.3">
      <c r="A122">
        <v>121</v>
      </c>
      <c r="B122" s="1">
        <v>40549</v>
      </c>
      <c r="C122">
        <v>1</v>
      </c>
      <c r="D122">
        <v>0</v>
      </c>
      <c r="E122">
        <v>1</v>
      </c>
      <c r="F122">
        <v>6</v>
      </c>
      <c r="G122" t="b">
        <f>IF(COUNTIF(AB$4:AB$20,Append1[[#This Row],[dteday]]) &gt; 0, TRUE, FALSE)</f>
        <v>0</v>
      </c>
      <c r="H122">
        <v>4</v>
      </c>
      <c r="I122">
        <v>2</v>
      </c>
      <c r="J122">
        <v>0.14000000000000001</v>
      </c>
      <c r="K122">
        <f>Append1[[#This Row],[temp]]*100</f>
        <v>14.000000000000002</v>
      </c>
      <c r="L122">
        <v>0.16669999999999999</v>
      </c>
      <c r="M122">
        <v>0.63</v>
      </c>
      <c r="N122">
        <v>0.1045</v>
      </c>
      <c r="O122">
        <v>0</v>
      </c>
      <c r="P122">
        <v>36</v>
      </c>
      <c r="Q122">
        <v>36</v>
      </c>
      <c r="R122" s="12" t="str">
        <f t="shared" si="5"/>
        <v>Mist/Cloudy</v>
      </c>
      <c r="S122" s="14" t="str">
        <f t="shared" si="6"/>
        <v>Winter</v>
      </c>
      <c r="T122" s="15" t="str">
        <f t="shared" si="7"/>
        <v>Thursday</v>
      </c>
      <c r="U122" t="str">
        <f t="shared" si="8"/>
        <v>January</v>
      </c>
      <c r="V122" s="16" t="str">
        <f t="shared" si="9"/>
        <v>MODERATE</v>
      </c>
    </row>
    <row r="123" spans="1:22" x14ac:dyDescent="0.3">
      <c r="A123">
        <v>122</v>
      </c>
      <c r="B123" s="1">
        <v>40549</v>
      </c>
      <c r="C123">
        <v>1</v>
      </c>
      <c r="D123">
        <v>0</v>
      </c>
      <c r="E123">
        <v>1</v>
      </c>
      <c r="F123">
        <v>7</v>
      </c>
      <c r="G123" t="b">
        <f>IF(COUNTIF(AB$4:AB$20,Append1[[#This Row],[dteday]]) &gt; 0, TRUE, FALSE)</f>
        <v>0</v>
      </c>
      <c r="H123">
        <v>4</v>
      </c>
      <c r="I123">
        <v>2</v>
      </c>
      <c r="J123">
        <v>0.16</v>
      </c>
      <c r="K123">
        <f>Append1[[#This Row],[temp]]*100</f>
        <v>16</v>
      </c>
      <c r="L123">
        <v>0.2273</v>
      </c>
      <c r="M123">
        <v>0.59</v>
      </c>
      <c r="N123">
        <v>0</v>
      </c>
      <c r="O123">
        <v>0</v>
      </c>
      <c r="P123">
        <v>95</v>
      </c>
      <c r="Q123">
        <v>95</v>
      </c>
      <c r="R123" s="12" t="str">
        <f t="shared" si="5"/>
        <v>Mist/Cloudy</v>
      </c>
      <c r="S123" s="14" t="str">
        <f t="shared" si="6"/>
        <v>Winter</v>
      </c>
      <c r="T123" s="15" t="str">
        <f t="shared" si="7"/>
        <v>Thursday</v>
      </c>
      <c r="U123" t="str">
        <f t="shared" si="8"/>
        <v>January</v>
      </c>
      <c r="V123" s="16" t="str">
        <f t="shared" si="9"/>
        <v>MODERATE</v>
      </c>
    </row>
    <row r="124" spans="1:22" x14ac:dyDescent="0.3">
      <c r="A124">
        <v>123</v>
      </c>
      <c r="B124" s="1">
        <v>40549</v>
      </c>
      <c r="C124">
        <v>1</v>
      </c>
      <c r="D124">
        <v>0</v>
      </c>
      <c r="E124">
        <v>1</v>
      </c>
      <c r="F124">
        <v>8</v>
      </c>
      <c r="G124" t="b">
        <f>IF(COUNTIF(AB$4:AB$20,Append1[[#This Row],[dteday]]) &gt; 0, TRUE, FALSE)</f>
        <v>0</v>
      </c>
      <c r="H124">
        <v>4</v>
      </c>
      <c r="I124">
        <v>1</v>
      </c>
      <c r="J124">
        <v>0.16</v>
      </c>
      <c r="K124">
        <f>Append1[[#This Row],[temp]]*100</f>
        <v>16</v>
      </c>
      <c r="L124">
        <v>0.2273</v>
      </c>
      <c r="M124">
        <v>0.59</v>
      </c>
      <c r="N124">
        <v>0</v>
      </c>
      <c r="O124">
        <v>3</v>
      </c>
      <c r="P124">
        <v>216</v>
      </c>
      <c r="Q124">
        <v>219</v>
      </c>
      <c r="R124" s="12" t="str">
        <f t="shared" si="5"/>
        <v>Clear/Few Clouds</v>
      </c>
      <c r="S124" s="14" t="str">
        <f t="shared" si="6"/>
        <v>Winter</v>
      </c>
      <c r="T124" s="15" t="str">
        <f t="shared" si="7"/>
        <v>Thursday</v>
      </c>
      <c r="U124" t="str">
        <f t="shared" si="8"/>
        <v>January</v>
      </c>
      <c r="V124" s="16" t="str">
        <f t="shared" si="9"/>
        <v>GOOD</v>
      </c>
    </row>
    <row r="125" spans="1:22" x14ac:dyDescent="0.3">
      <c r="A125">
        <v>124</v>
      </c>
      <c r="B125" s="1">
        <v>40549</v>
      </c>
      <c r="C125">
        <v>1</v>
      </c>
      <c r="D125">
        <v>0</v>
      </c>
      <c r="E125">
        <v>1</v>
      </c>
      <c r="F125">
        <v>9</v>
      </c>
      <c r="G125" t="b">
        <f>IF(COUNTIF(AB$4:AB$20,Append1[[#This Row],[dteday]]) &gt; 0, TRUE, FALSE)</f>
        <v>0</v>
      </c>
      <c r="H125">
        <v>4</v>
      </c>
      <c r="I125">
        <v>2</v>
      </c>
      <c r="J125">
        <v>0.18</v>
      </c>
      <c r="K125">
        <f>Append1[[#This Row],[temp]]*100</f>
        <v>18</v>
      </c>
      <c r="L125">
        <v>0.2424</v>
      </c>
      <c r="M125">
        <v>0.51</v>
      </c>
      <c r="N125">
        <v>0</v>
      </c>
      <c r="O125">
        <v>6</v>
      </c>
      <c r="P125">
        <v>116</v>
      </c>
      <c r="Q125">
        <v>122</v>
      </c>
      <c r="R125" s="12" t="str">
        <f t="shared" si="5"/>
        <v>Mist/Cloudy</v>
      </c>
      <c r="S125" s="14" t="str">
        <f t="shared" si="6"/>
        <v>Winter</v>
      </c>
      <c r="T125" s="15" t="str">
        <f t="shared" si="7"/>
        <v>Thursday</v>
      </c>
      <c r="U125" t="str">
        <f t="shared" si="8"/>
        <v>January</v>
      </c>
      <c r="V125" s="16" t="str">
        <f t="shared" si="9"/>
        <v>MODERATE</v>
      </c>
    </row>
    <row r="126" spans="1:22" x14ac:dyDescent="0.3">
      <c r="A126">
        <v>125</v>
      </c>
      <c r="B126" s="1">
        <v>40549</v>
      </c>
      <c r="C126">
        <v>1</v>
      </c>
      <c r="D126">
        <v>0</v>
      </c>
      <c r="E126">
        <v>1</v>
      </c>
      <c r="F126">
        <v>10</v>
      </c>
      <c r="G126" t="b">
        <f>IF(COUNTIF(AB$4:AB$20,Append1[[#This Row],[dteday]]) &gt; 0, TRUE, FALSE)</f>
        <v>0</v>
      </c>
      <c r="H126">
        <v>4</v>
      </c>
      <c r="I126">
        <v>1</v>
      </c>
      <c r="J126">
        <v>0.2</v>
      </c>
      <c r="K126">
        <f>Append1[[#This Row],[temp]]*100</f>
        <v>20</v>
      </c>
      <c r="L126">
        <v>0.2576</v>
      </c>
      <c r="M126">
        <v>0.47</v>
      </c>
      <c r="N126">
        <v>0</v>
      </c>
      <c r="O126">
        <v>3</v>
      </c>
      <c r="P126">
        <v>42</v>
      </c>
      <c r="Q126">
        <v>45</v>
      </c>
      <c r="R126" s="12" t="str">
        <f t="shared" si="5"/>
        <v>Clear/Few Clouds</v>
      </c>
      <c r="S126" s="14" t="str">
        <f t="shared" si="6"/>
        <v>Winter</v>
      </c>
      <c r="T126" s="15" t="str">
        <f t="shared" si="7"/>
        <v>Thursday</v>
      </c>
      <c r="U126" t="str">
        <f t="shared" si="8"/>
        <v>January</v>
      </c>
      <c r="V126" s="16" t="str">
        <f t="shared" si="9"/>
        <v>GOOD</v>
      </c>
    </row>
    <row r="127" spans="1:22" x14ac:dyDescent="0.3">
      <c r="A127">
        <v>126</v>
      </c>
      <c r="B127" s="1">
        <v>40549</v>
      </c>
      <c r="C127">
        <v>1</v>
      </c>
      <c r="D127">
        <v>0</v>
      </c>
      <c r="E127">
        <v>1</v>
      </c>
      <c r="F127">
        <v>11</v>
      </c>
      <c r="G127" t="b">
        <f>IF(COUNTIF(AB$4:AB$20,Append1[[#This Row],[dteday]]) &gt; 0, TRUE, FALSE)</f>
        <v>0</v>
      </c>
      <c r="H127">
        <v>4</v>
      </c>
      <c r="I127">
        <v>1</v>
      </c>
      <c r="J127">
        <v>0.22</v>
      </c>
      <c r="K127">
        <f>Append1[[#This Row],[temp]]*100</f>
        <v>22</v>
      </c>
      <c r="L127">
        <v>0.2576</v>
      </c>
      <c r="M127">
        <v>0.44</v>
      </c>
      <c r="N127">
        <v>8.9599999999999999E-2</v>
      </c>
      <c r="O127">
        <v>2</v>
      </c>
      <c r="P127">
        <v>57</v>
      </c>
      <c r="Q127">
        <v>59</v>
      </c>
      <c r="R127" s="12" t="str">
        <f t="shared" si="5"/>
        <v>Clear/Few Clouds</v>
      </c>
      <c r="S127" s="14" t="str">
        <f t="shared" si="6"/>
        <v>Winter</v>
      </c>
      <c r="T127" s="15" t="str">
        <f t="shared" si="7"/>
        <v>Thursday</v>
      </c>
      <c r="U127" t="str">
        <f t="shared" si="8"/>
        <v>January</v>
      </c>
      <c r="V127" s="16" t="str">
        <f t="shared" si="9"/>
        <v>GOOD</v>
      </c>
    </row>
    <row r="128" spans="1:22" x14ac:dyDescent="0.3">
      <c r="A128">
        <v>127</v>
      </c>
      <c r="B128" s="1">
        <v>40549</v>
      </c>
      <c r="C128">
        <v>1</v>
      </c>
      <c r="D128">
        <v>0</v>
      </c>
      <c r="E128">
        <v>1</v>
      </c>
      <c r="F128">
        <v>12</v>
      </c>
      <c r="G128" t="b">
        <f>IF(COUNTIF(AB$4:AB$20,Append1[[#This Row],[dteday]]) &gt; 0, TRUE, FALSE)</f>
        <v>0</v>
      </c>
      <c r="H128">
        <v>4</v>
      </c>
      <c r="I128">
        <v>1</v>
      </c>
      <c r="J128">
        <v>0.26</v>
      </c>
      <c r="K128">
        <f>Append1[[#This Row],[temp]]*100</f>
        <v>26</v>
      </c>
      <c r="L128">
        <v>0.28789999999999999</v>
      </c>
      <c r="M128">
        <v>0.35</v>
      </c>
      <c r="N128">
        <v>0</v>
      </c>
      <c r="O128">
        <v>6</v>
      </c>
      <c r="P128">
        <v>78</v>
      </c>
      <c r="Q128">
        <v>84</v>
      </c>
      <c r="R128" s="12" t="str">
        <f t="shared" si="5"/>
        <v>Clear/Few Clouds</v>
      </c>
      <c r="S128" s="14" t="str">
        <f t="shared" si="6"/>
        <v>Winter</v>
      </c>
      <c r="T128" s="15" t="str">
        <f t="shared" si="7"/>
        <v>Thursday</v>
      </c>
      <c r="U128" t="str">
        <f t="shared" si="8"/>
        <v>January</v>
      </c>
      <c r="V128" s="16" t="str">
        <f t="shared" si="9"/>
        <v>GOOD</v>
      </c>
    </row>
    <row r="129" spans="1:22" x14ac:dyDescent="0.3">
      <c r="A129">
        <v>128</v>
      </c>
      <c r="B129" s="1">
        <v>40549</v>
      </c>
      <c r="C129">
        <v>1</v>
      </c>
      <c r="D129">
        <v>0</v>
      </c>
      <c r="E129">
        <v>1</v>
      </c>
      <c r="F129">
        <v>13</v>
      </c>
      <c r="G129" t="b">
        <f>IF(COUNTIF(AB$4:AB$20,Append1[[#This Row],[dteday]]) &gt; 0, TRUE, FALSE)</f>
        <v>0</v>
      </c>
      <c r="H129">
        <v>4</v>
      </c>
      <c r="I129">
        <v>1</v>
      </c>
      <c r="J129">
        <v>0.26</v>
      </c>
      <c r="K129">
        <f>Append1[[#This Row],[temp]]*100</f>
        <v>26</v>
      </c>
      <c r="L129">
        <v>0.2727</v>
      </c>
      <c r="M129">
        <v>0.35</v>
      </c>
      <c r="N129">
        <v>0.1045</v>
      </c>
      <c r="O129">
        <v>12</v>
      </c>
      <c r="P129">
        <v>55</v>
      </c>
      <c r="Q129">
        <v>67</v>
      </c>
      <c r="R129" s="12" t="str">
        <f t="shared" si="5"/>
        <v>Clear/Few Clouds</v>
      </c>
      <c r="S129" s="14" t="str">
        <f t="shared" si="6"/>
        <v>Winter</v>
      </c>
      <c r="T129" s="15" t="str">
        <f t="shared" si="7"/>
        <v>Thursday</v>
      </c>
      <c r="U129" t="str">
        <f t="shared" si="8"/>
        <v>January</v>
      </c>
      <c r="V129" s="16" t="str">
        <f t="shared" si="9"/>
        <v>GOOD</v>
      </c>
    </row>
    <row r="130" spans="1:22" x14ac:dyDescent="0.3">
      <c r="A130">
        <v>129</v>
      </c>
      <c r="B130" s="1">
        <v>40549</v>
      </c>
      <c r="C130">
        <v>1</v>
      </c>
      <c r="D130">
        <v>0</v>
      </c>
      <c r="E130">
        <v>1</v>
      </c>
      <c r="F130">
        <v>14</v>
      </c>
      <c r="G130" t="b">
        <f>IF(COUNTIF(AB$4:AB$20,Append1[[#This Row],[dteday]]) &gt; 0, TRUE, FALSE)</f>
        <v>0</v>
      </c>
      <c r="H130">
        <v>4</v>
      </c>
      <c r="I130">
        <v>1</v>
      </c>
      <c r="J130">
        <v>0.28000000000000003</v>
      </c>
      <c r="K130">
        <f>Append1[[#This Row],[temp]]*100</f>
        <v>28.000000000000004</v>
      </c>
      <c r="L130">
        <v>0.2727</v>
      </c>
      <c r="M130">
        <v>0.36</v>
      </c>
      <c r="N130">
        <v>0.16420000000000001</v>
      </c>
      <c r="O130">
        <v>11</v>
      </c>
      <c r="P130">
        <v>59</v>
      </c>
      <c r="Q130">
        <v>70</v>
      </c>
      <c r="R130" s="12" t="str">
        <f t="shared" ref="R130:R193" si="10">_xlfn.IFS(I130=1,"Clear/Few Clouds",I130=2,"Mist/Cloudy",I130=3,"Light Rain/Snow",I130=4,"Heavy Rain/Snow")</f>
        <v>Clear/Few Clouds</v>
      </c>
      <c r="S130" s="14" t="str">
        <f t="shared" ref="S130:S193" si="11">_xlfn.IFS(C130=1,"Winter",C130=2,"Spring",C130=3,"Summer",C130=4,"Autumn")</f>
        <v>Winter</v>
      </c>
      <c r="T130" s="15" t="str">
        <f t="shared" ref="T130:T193" si="12">TEXT(B130,"dddd")</f>
        <v>Thursday</v>
      </c>
      <c r="U130" t="str">
        <f t="shared" ref="U130:U193" si="13">TEXT(B130,"mmmm")</f>
        <v>January</v>
      </c>
      <c r="V130" s="16" t="str">
        <f t="shared" ref="V130:V193" si="14">_xlfn.IFS(I130=1,"GOOD",I130=2,"MODERATE",I130=3,"BAD",I130=4,"WORSE")</f>
        <v>GOOD</v>
      </c>
    </row>
    <row r="131" spans="1:22" x14ac:dyDescent="0.3">
      <c r="A131">
        <v>130</v>
      </c>
      <c r="B131" s="1">
        <v>40549</v>
      </c>
      <c r="C131">
        <v>1</v>
      </c>
      <c r="D131">
        <v>0</v>
      </c>
      <c r="E131">
        <v>1</v>
      </c>
      <c r="F131">
        <v>15</v>
      </c>
      <c r="G131" t="b">
        <f>IF(COUNTIF(AB$4:AB$20,Append1[[#This Row],[dteday]]) &gt; 0, TRUE, FALSE)</f>
        <v>0</v>
      </c>
      <c r="H131">
        <v>4</v>
      </c>
      <c r="I131">
        <v>1</v>
      </c>
      <c r="J131">
        <v>0.28000000000000003</v>
      </c>
      <c r="K131">
        <f>Append1[[#This Row],[temp]]*100</f>
        <v>28.000000000000004</v>
      </c>
      <c r="L131">
        <v>0.2727</v>
      </c>
      <c r="M131">
        <v>0.36</v>
      </c>
      <c r="N131">
        <v>0</v>
      </c>
      <c r="O131">
        <v>8</v>
      </c>
      <c r="P131">
        <v>54</v>
      </c>
      <c r="Q131">
        <v>62</v>
      </c>
      <c r="R131" s="12" t="str">
        <f t="shared" si="10"/>
        <v>Clear/Few Clouds</v>
      </c>
      <c r="S131" s="14" t="str">
        <f t="shared" si="11"/>
        <v>Winter</v>
      </c>
      <c r="T131" s="15" t="str">
        <f t="shared" si="12"/>
        <v>Thursday</v>
      </c>
      <c r="U131" t="str">
        <f t="shared" si="13"/>
        <v>January</v>
      </c>
      <c r="V131" s="16" t="str">
        <f t="shared" si="14"/>
        <v>GOOD</v>
      </c>
    </row>
    <row r="132" spans="1:22" x14ac:dyDescent="0.3">
      <c r="A132">
        <v>131</v>
      </c>
      <c r="B132" s="1">
        <v>40549</v>
      </c>
      <c r="C132">
        <v>1</v>
      </c>
      <c r="D132">
        <v>0</v>
      </c>
      <c r="E132">
        <v>1</v>
      </c>
      <c r="F132">
        <v>16</v>
      </c>
      <c r="G132" t="b">
        <f>IF(COUNTIF(AB$4:AB$20,Append1[[#This Row],[dteday]]) &gt; 0, TRUE, FALSE)</f>
        <v>0</v>
      </c>
      <c r="H132">
        <v>4</v>
      </c>
      <c r="I132">
        <v>1</v>
      </c>
      <c r="J132">
        <v>0.26</v>
      </c>
      <c r="K132">
        <f>Append1[[#This Row],[temp]]*100</f>
        <v>26</v>
      </c>
      <c r="L132">
        <v>0.2576</v>
      </c>
      <c r="M132">
        <v>0.38</v>
      </c>
      <c r="N132">
        <v>0.16420000000000001</v>
      </c>
      <c r="O132">
        <v>12</v>
      </c>
      <c r="P132">
        <v>74</v>
      </c>
      <c r="Q132">
        <v>86</v>
      </c>
      <c r="R132" s="12" t="str">
        <f t="shared" si="10"/>
        <v>Clear/Few Clouds</v>
      </c>
      <c r="S132" s="14" t="str">
        <f t="shared" si="11"/>
        <v>Winter</v>
      </c>
      <c r="T132" s="15" t="str">
        <f t="shared" si="12"/>
        <v>Thursday</v>
      </c>
      <c r="U132" t="str">
        <f t="shared" si="13"/>
        <v>January</v>
      </c>
      <c r="V132" s="16" t="str">
        <f t="shared" si="14"/>
        <v>GOOD</v>
      </c>
    </row>
    <row r="133" spans="1:22" x14ac:dyDescent="0.3">
      <c r="A133">
        <v>132</v>
      </c>
      <c r="B133" s="1">
        <v>40549</v>
      </c>
      <c r="C133">
        <v>1</v>
      </c>
      <c r="D133">
        <v>0</v>
      </c>
      <c r="E133">
        <v>1</v>
      </c>
      <c r="F133">
        <v>17</v>
      </c>
      <c r="G133" t="b">
        <f>IF(COUNTIF(AB$4:AB$20,Append1[[#This Row],[dteday]]) &gt; 0, TRUE, FALSE)</f>
        <v>0</v>
      </c>
      <c r="H133">
        <v>4</v>
      </c>
      <c r="I133">
        <v>1</v>
      </c>
      <c r="J133">
        <v>0.22</v>
      </c>
      <c r="K133">
        <f>Append1[[#This Row],[temp]]*100</f>
        <v>22</v>
      </c>
      <c r="L133">
        <v>0.2273</v>
      </c>
      <c r="M133">
        <v>0.51</v>
      </c>
      <c r="N133">
        <v>0.16420000000000001</v>
      </c>
      <c r="O133">
        <v>9</v>
      </c>
      <c r="P133">
        <v>163</v>
      </c>
      <c r="Q133">
        <v>172</v>
      </c>
      <c r="R133" s="12" t="str">
        <f t="shared" si="10"/>
        <v>Clear/Few Clouds</v>
      </c>
      <c r="S133" s="14" t="str">
        <f t="shared" si="11"/>
        <v>Winter</v>
      </c>
      <c r="T133" s="15" t="str">
        <f t="shared" si="12"/>
        <v>Thursday</v>
      </c>
      <c r="U133" t="str">
        <f t="shared" si="13"/>
        <v>January</v>
      </c>
      <c r="V133" s="16" t="str">
        <f t="shared" si="14"/>
        <v>GOOD</v>
      </c>
    </row>
    <row r="134" spans="1:22" x14ac:dyDescent="0.3">
      <c r="A134">
        <v>133</v>
      </c>
      <c r="B134" s="1">
        <v>40549</v>
      </c>
      <c r="C134">
        <v>1</v>
      </c>
      <c r="D134">
        <v>0</v>
      </c>
      <c r="E134">
        <v>1</v>
      </c>
      <c r="F134">
        <v>18</v>
      </c>
      <c r="G134" t="b">
        <f>IF(COUNTIF(AB$4:AB$20,Append1[[#This Row],[dteday]]) &gt; 0, TRUE, FALSE)</f>
        <v>0</v>
      </c>
      <c r="H134">
        <v>4</v>
      </c>
      <c r="I134">
        <v>1</v>
      </c>
      <c r="J134">
        <v>0.22</v>
      </c>
      <c r="K134">
        <f>Append1[[#This Row],[temp]]*100</f>
        <v>22</v>
      </c>
      <c r="L134">
        <v>0.2273</v>
      </c>
      <c r="M134">
        <v>0.51</v>
      </c>
      <c r="N134">
        <v>0.1343</v>
      </c>
      <c r="O134">
        <v>5</v>
      </c>
      <c r="P134">
        <v>158</v>
      </c>
      <c r="Q134">
        <v>163</v>
      </c>
      <c r="R134" s="12" t="str">
        <f t="shared" si="10"/>
        <v>Clear/Few Clouds</v>
      </c>
      <c r="S134" s="14" t="str">
        <f t="shared" si="11"/>
        <v>Winter</v>
      </c>
      <c r="T134" s="15" t="str">
        <f t="shared" si="12"/>
        <v>Thursday</v>
      </c>
      <c r="U134" t="str">
        <f t="shared" si="13"/>
        <v>January</v>
      </c>
      <c r="V134" s="16" t="str">
        <f t="shared" si="14"/>
        <v>GOOD</v>
      </c>
    </row>
    <row r="135" spans="1:22" x14ac:dyDescent="0.3">
      <c r="A135">
        <v>134</v>
      </c>
      <c r="B135" s="1">
        <v>40549</v>
      </c>
      <c r="C135">
        <v>1</v>
      </c>
      <c r="D135">
        <v>0</v>
      </c>
      <c r="E135">
        <v>1</v>
      </c>
      <c r="F135">
        <v>19</v>
      </c>
      <c r="G135" t="b">
        <f>IF(COUNTIF(AB$4:AB$20,Append1[[#This Row],[dteday]]) &gt; 0, TRUE, FALSE)</f>
        <v>0</v>
      </c>
      <c r="H135">
        <v>4</v>
      </c>
      <c r="I135">
        <v>1</v>
      </c>
      <c r="J135">
        <v>0.22</v>
      </c>
      <c r="K135">
        <f>Append1[[#This Row],[temp]]*100</f>
        <v>22</v>
      </c>
      <c r="L135">
        <v>0.2576</v>
      </c>
      <c r="M135">
        <v>0.55000000000000004</v>
      </c>
      <c r="N135">
        <v>8.9599999999999999E-2</v>
      </c>
      <c r="O135">
        <v>3</v>
      </c>
      <c r="P135">
        <v>109</v>
      </c>
      <c r="Q135">
        <v>112</v>
      </c>
      <c r="R135" s="12" t="str">
        <f t="shared" si="10"/>
        <v>Clear/Few Clouds</v>
      </c>
      <c r="S135" s="14" t="str">
        <f t="shared" si="11"/>
        <v>Winter</v>
      </c>
      <c r="T135" s="15" t="str">
        <f t="shared" si="12"/>
        <v>Thursday</v>
      </c>
      <c r="U135" t="str">
        <f t="shared" si="13"/>
        <v>January</v>
      </c>
      <c r="V135" s="16" t="str">
        <f t="shared" si="14"/>
        <v>GOOD</v>
      </c>
    </row>
    <row r="136" spans="1:22" x14ac:dyDescent="0.3">
      <c r="A136">
        <v>135</v>
      </c>
      <c r="B136" s="1">
        <v>40549</v>
      </c>
      <c r="C136">
        <v>1</v>
      </c>
      <c r="D136">
        <v>0</v>
      </c>
      <c r="E136">
        <v>1</v>
      </c>
      <c r="F136">
        <v>20</v>
      </c>
      <c r="G136" t="b">
        <f>IF(COUNTIF(AB$4:AB$20,Append1[[#This Row],[dteday]]) &gt; 0, TRUE, FALSE)</f>
        <v>0</v>
      </c>
      <c r="H136">
        <v>4</v>
      </c>
      <c r="I136">
        <v>1</v>
      </c>
      <c r="J136">
        <v>0.2</v>
      </c>
      <c r="K136">
        <f>Append1[[#This Row],[temp]]*100</f>
        <v>20</v>
      </c>
      <c r="L136">
        <v>0.21210000000000001</v>
      </c>
      <c r="M136">
        <v>0.51</v>
      </c>
      <c r="N136">
        <v>0.16420000000000001</v>
      </c>
      <c r="O136">
        <v>3</v>
      </c>
      <c r="P136">
        <v>66</v>
      </c>
      <c r="Q136">
        <v>69</v>
      </c>
      <c r="R136" s="12" t="str">
        <f t="shared" si="10"/>
        <v>Clear/Few Clouds</v>
      </c>
      <c r="S136" s="14" t="str">
        <f t="shared" si="11"/>
        <v>Winter</v>
      </c>
      <c r="T136" s="15" t="str">
        <f t="shared" si="12"/>
        <v>Thursday</v>
      </c>
      <c r="U136" t="str">
        <f t="shared" si="13"/>
        <v>January</v>
      </c>
      <c r="V136" s="16" t="str">
        <f t="shared" si="14"/>
        <v>GOOD</v>
      </c>
    </row>
    <row r="137" spans="1:22" x14ac:dyDescent="0.3">
      <c r="A137">
        <v>136</v>
      </c>
      <c r="B137" s="1">
        <v>40549</v>
      </c>
      <c r="C137">
        <v>1</v>
      </c>
      <c r="D137">
        <v>0</v>
      </c>
      <c r="E137">
        <v>1</v>
      </c>
      <c r="F137">
        <v>21</v>
      </c>
      <c r="G137" t="b">
        <f>IF(COUNTIF(AB$4:AB$20,Append1[[#This Row],[dteday]]) &gt; 0, TRUE, FALSE)</f>
        <v>0</v>
      </c>
      <c r="H137">
        <v>4</v>
      </c>
      <c r="I137">
        <v>2</v>
      </c>
      <c r="J137">
        <v>0.22</v>
      </c>
      <c r="K137">
        <f>Append1[[#This Row],[temp]]*100</f>
        <v>22</v>
      </c>
      <c r="L137">
        <v>0.21210000000000001</v>
      </c>
      <c r="M137">
        <v>0.55000000000000004</v>
      </c>
      <c r="N137">
        <v>0.22389999999999999</v>
      </c>
      <c r="O137">
        <v>0</v>
      </c>
      <c r="P137">
        <v>48</v>
      </c>
      <c r="Q137">
        <v>48</v>
      </c>
      <c r="R137" s="12" t="str">
        <f t="shared" si="10"/>
        <v>Mist/Cloudy</v>
      </c>
      <c r="S137" s="14" t="str">
        <f t="shared" si="11"/>
        <v>Winter</v>
      </c>
      <c r="T137" s="15" t="str">
        <f t="shared" si="12"/>
        <v>Thursday</v>
      </c>
      <c r="U137" t="str">
        <f t="shared" si="13"/>
        <v>January</v>
      </c>
      <c r="V137" s="16" t="str">
        <f t="shared" si="14"/>
        <v>MODERATE</v>
      </c>
    </row>
    <row r="138" spans="1:22" x14ac:dyDescent="0.3">
      <c r="A138">
        <v>137</v>
      </c>
      <c r="B138" s="1">
        <v>40549</v>
      </c>
      <c r="C138">
        <v>1</v>
      </c>
      <c r="D138">
        <v>0</v>
      </c>
      <c r="E138">
        <v>1</v>
      </c>
      <c r="F138">
        <v>22</v>
      </c>
      <c r="G138" t="b">
        <f>IF(COUNTIF(AB$4:AB$20,Append1[[#This Row],[dteday]]) &gt; 0, TRUE, FALSE)</f>
        <v>0</v>
      </c>
      <c r="H138">
        <v>4</v>
      </c>
      <c r="I138">
        <v>2</v>
      </c>
      <c r="J138">
        <v>0.22</v>
      </c>
      <c r="K138">
        <f>Append1[[#This Row],[temp]]*100</f>
        <v>22</v>
      </c>
      <c r="L138">
        <v>0.21210000000000001</v>
      </c>
      <c r="M138">
        <v>0.51</v>
      </c>
      <c r="N138">
        <v>0.28360000000000002</v>
      </c>
      <c r="O138">
        <v>1</v>
      </c>
      <c r="P138">
        <v>51</v>
      </c>
      <c r="Q138">
        <v>52</v>
      </c>
      <c r="R138" s="12" t="str">
        <f t="shared" si="10"/>
        <v>Mist/Cloudy</v>
      </c>
      <c r="S138" s="14" t="str">
        <f t="shared" si="11"/>
        <v>Winter</v>
      </c>
      <c r="T138" s="15" t="str">
        <f t="shared" si="12"/>
        <v>Thursday</v>
      </c>
      <c r="U138" t="str">
        <f t="shared" si="13"/>
        <v>January</v>
      </c>
      <c r="V138" s="16" t="str">
        <f t="shared" si="14"/>
        <v>MODERATE</v>
      </c>
    </row>
    <row r="139" spans="1:22" x14ac:dyDescent="0.3">
      <c r="A139">
        <v>138</v>
      </c>
      <c r="B139" s="1">
        <v>40549</v>
      </c>
      <c r="C139">
        <v>1</v>
      </c>
      <c r="D139">
        <v>0</v>
      </c>
      <c r="E139">
        <v>1</v>
      </c>
      <c r="F139">
        <v>23</v>
      </c>
      <c r="G139" t="b">
        <f>IF(COUNTIF(AB$4:AB$20,Append1[[#This Row],[dteday]]) &gt; 0, TRUE, FALSE)</f>
        <v>0</v>
      </c>
      <c r="H139">
        <v>4</v>
      </c>
      <c r="I139">
        <v>2</v>
      </c>
      <c r="J139">
        <v>0.2</v>
      </c>
      <c r="K139">
        <f>Append1[[#This Row],[temp]]*100</f>
        <v>20</v>
      </c>
      <c r="L139">
        <v>0.19700000000000001</v>
      </c>
      <c r="M139">
        <v>0.59</v>
      </c>
      <c r="N139">
        <v>0.19400000000000001</v>
      </c>
      <c r="O139">
        <v>4</v>
      </c>
      <c r="P139">
        <v>19</v>
      </c>
      <c r="Q139">
        <v>23</v>
      </c>
      <c r="R139" s="12" t="str">
        <f t="shared" si="10"/>
        <v>Mist/Cloudy</v>
      </c>
      <c r="S139" s="14" t="str">
        <f t="shared" si="11"/>
        <v>Winter</v>
      </c>
      <c r="T139" s="15" t="str">
        <f t="shared" si="12"/>
        <v>Thursday</v>
      </c>
      <c r="U139" t="str">
        <f t="shared" si="13"/>
        <v>January</v>
      </c>
      <c r="V139" s="16" t="str">
        <f t="shared" si="14"/>
        <v>MODERATE</v>
      </c>
    </row>
    <row r="140" spans="1:22" x14ac:dyDescent="0.3">
      <c r="A140">
        <v>139</v>
      </c>
      <c r="B140" s="1">
        <v>40550</v>
      </c>
      <c r="C140">
        <v>1</v>
      </c>
      <c r="D140">
        <v>0</v>
      </c>
      <c r="E140">
        <v>1</v>
      </c>
      <c r="F140">
        <v>0</v>
      </c>
      <c r="G140" t="b">
        <f>IF(COUNTIF(AB$4:AB$20,Append1[[#This Row],[dteday]]) &gt; 0, TRUE, FALSE)</f>
        <v>0</v>
      </c>
      <c r="H140">
        <v>5</v>
      </c>
      <c r="I140">
        <v>2</v>
      </c>
      <c r="J140">
        <v>0.2</v>
      </c>
      <c r="K140">
        <f>Append1[[#This Row],[temp]]*100</f>
        <v>20</v>
      </c>
      <c r="L140">
        <v>0.19700000000000001</v>
      </c>
      <c r="M140">
        <v>0.64</v>
      </c>
      <c r="N140">
        <v>0.19400000000000001</v>
      </c>
      <c r="O140">
        <v>4</v>
      </c>
      <c r="P140">
        <v>13</v>
      </c>
      <c r="Q140">
        <v>17</v>
      </c>
      <c r="R140" s="12" t="str">
        <f t="shared" si="10"/>
        <v>Mist/Cloudy</v>
      </c>
      <c r="S140" s="14" t="str">
        <f t="shared" si="11"/>
        <v>Winter</v>
      </c>
      <c r="T140" s="15" t="str">
        <f t="shared" si="12"/>
        <v>Friday</v>
      </c>
      <c r="U140" t="str">
        <f t="shared" si="13"/>
        <v>January</v>
      </c>
      <c r="V140" s="16" t="str">
        <f t="shared" si="14"/>
        <v>MODERATE</v>
      </c>
    </row>
    <row r="141" spans="1:22" x14ac:dyDescent="0.3">
      <c r="A141">
        <v>140</v>
      </c>
      <c r="B141" s="1">
        <v>40550</v>
      </c>
      <c r="C141">
        <v>1</v>
      </c>
      <c r="D141">
        <v>0</v>
      </c>
      <c r="E141">
        <v>1</v>
      </c>
      <c r="F141">
        <v>1</v>
      </c>
      <c r="G141" t="b">
        <f>IF(COUNTIF(AB$4:AB$20,Append1[[#This Row],[dteday]]) &gt; 0, TRUE, FALSE)</f>
        <v>0</v>
      </c>
      <c r="H141">
        <v>5</v>
      </c>
      <c r="I141">
        <v>2</v>
      </c>
      <c r="J141">
        <v>0.2</v>
      </c>
      <c r="K141">
        <f>Append1[[#This Row],[temp]]*100</f>
        <v>20</v>
      </c>
      <c r="L141">
        <v>0.19700000000000001</v>
      </c>
      <c r="M141">
        <v>0.69</v>
      </c>
      <c r="N141">
        <v>0.22389999999999999</v>
      </c>
      <c r="O141">
        <v>2</v>
      </c>
      <c r="P141">
        <v>5</v>
      </c>
      <c r="Q141">
        <v>7</v>
      </c>
      <c r="R141" s="12" t="str">
        <f t="shared" si="10"/>
        <v>Mist/Cloudy</v>
      </c>
      <c r="S141" s="14" t="str">
        <f t="shared" si="11"/>
        <v>Winter</v>
      </c>
      <c r="T141" s="15" t="str">
        <f t="shared" si="12"/>
        <v>Friday</v>
      </c>
      <c r="U141" t="str">
        <f t="shared" si="13"/>
        <v>January</v>
      </c>
      <c r="V141" s="16" t="str">
        <f t="shared" si="14"/>
        <v>MODERATE</v>
      </c>
    </row>
    <row r="142" spans="1:22" x14ac:dyDescent="0.3">
      <c r="A142">
        <v>141</v>
      </c>
      <c r="B142" s="1">
        <v>40550</v>
      </c>
      <c r="C142">
        <v>1</v>
      </c>
      <c r="D142">
        <v>0</v>
      </c>
      <c r="E142">
        <v>1</v>
      </c>
      <c r="F142">
        <v>2</v>
      </c>
      <c r="G142" t="b">
        <f>IF(COUNTIF(AB$4:AB$20,Append1[[#This Row],[dteday]]) &gt; 0, TRUE, FALSE)</f>
        <v>0</v>
      </c>
      <c r="H142">
        <v>5</v>
      </c>
      <c r="I142">
        <v>2</v>
      </c>
      <c r="J142">
        <v>0.2</v>
      </c>
      <c r="K142">
        <f>Append1[[#This Row],[temp]]*100</f>
        <v>20</v>
      </c>
      <c r="L142">
        <v>0.19700000000000001</v>
      </c>
      <c r="M142">
        <v>0.69</v>
      </c>
      <c r="N142">
        <v>0.22389999999999999</v>
      </c>
      <c r="O142">
        <v>0</v>
      </c>
      <c r="P142">
        <v>1</v>
      </c>
      <c r="Q142">
        <v>1</v>
      </c>
      <c r="R142" s="12" t="str">
        <f t="shared" si="10"/>
        <v>Mist/Cloudy</v>
      </c>
      <c r="S142" s="14" t="str">
        <f t="shared" si="11"/>
        <v>Winter</v>
      </c>
      <c r="T142" s="15" t="str">
        <f t="shared" si="12"/>
        <v>Friday</v>
      </c>
      <c r="U142" t="str">
        <f t="shared" si="13"/>
        <v>January</v>
      </c>
      <c r="V142" s="16" t="str">
        <f t="shared" si="14"/>
        <v>MODERATE</v>
      </c>
    </row>
    <row r="143" spans="1:22" x14ac:dyDescent="0.3">
      <c r="A143">
        <v>142</v>
      </c>
      <c r="B143" s="1">
        <v>40550</v>
      </c>
      <c r="C143">
        <v>1</v>
      </c>
      <c r="D143">
        <v>0</v>
      </c>
      <c r="E143">
        <v>1</v>
      </c>
      <c r="F143">
        <v>4</v>
      </c>
      <c r="G143" t="b">
        <f>IF(COUNTIF(AB$4:AB$20,Append1[[#This Row],[dteday]]) &gt; 0, TRUE, FALSE)</f>
        <v>0</v>
      </c>
      <c r="H143">
        <v>5</v>
      </c>
      <c r="I143">
        <v>2</v>
      </c>
      <c r="J143">
        <v>0.2</v>
      </c>
      <c r="K143">
        <f>Append1[[#This Row],[temp]]*100</f>
        <v>20</v>
      </c>
      <c r="L143">
        <v>0.21210000000000001</v>
      </c>
      <c r="M143">
        <v>0.69</v>
      </c>
      <c r="N143">
        <v>0.1343</v>
      </c>
      <c r="O143">
        <v>0</v>
      </c>
      <c r="P143">
        <v>1</v>
      </c>
      <c r="Q143">
        <v>1</v>
      </c>
      <c r="R143" s="12" t="str">
        <f t="shared" si="10"/>
        <v>Mist/Cloudy</v>
      </c>
      <c r="S143" s="14" t="str">
        <f t="shared" si="11"/>
        <v>Winter</v>
      </c>
      <c r="T143" s="15" t="str">
        <f t="shared" si="12"/>
        <v>Friday</v>
      </c>
      <c r="U143" t="str">
        <f t="shared" si="13"/>
        <v>January</v>
      </c>
      <c r="V143" s="16" t="str">
        <f t="shared" si="14"/>
        <v>MODERATE</v>
      </c>
    </row>
    <row r="144" spans="1:22" x14ac:dyDescent="0.3">
      <c r="A144">
        <v>143</v>
      </c>
      <c r="B144" s="1">
        <v>40550</v>
      </c>
      <c r="C144">
        <v>1</v>
      </c>
      <c r="D144">
        <v>0</v>
      </c>
      <c r="E144">
        <v>1</v>
      </c>
      <c r="F144">
        <v>5</v>
      </c>
      <c r="G144" t="b">
        <f>IF(COUNTIF(AB$4:AB$20,Append1[[#This Row],[dteday]]) &gt; 0, TRUE, FALSE)</f>
        <v>0</v>
      </c>
      <c r="H144">
        <v>5</v>
      </c>
      <c r="I144">
        <v>3</v>
      </c>
      <c r="J144">
        <v>0.22</v>
      </c>
      <c r="K144">
        <f>Append1[[#This Row],[temp]]*100</f>
        <v>22</v>
      </c>
      <c r="L144">
        <v>0.2727</v>
      </c>
      <c r="M144">
        <v>0.55000000000000004</v>
      </c>
      <c r="N144">
        <v>0</v>
      </c>
      <c r="O144">
        <v>0</v>
      </c>
      <c r="P144">
        <v>5</v>
      </c>
      <c r="Q144">
        <v>5</v>
      </c>
      <c r="R144" s="12" t="str">
        <f t="shared" si="10"/>
        <v>Light Rain/Snow</v>
      </c>
      <c r="S144" s="14" t="str">
        <f t="shared" si="11"/>
        <v>Winter</v>
      </c>
      <c r="T144" s="15" t="str">
        <f t="shared" si="12"/>
        <v>Friday</v>
      </c>
      <c r="U144" t="str">
        <f t="shared" si="13"/>
        <v>January</v>
      </c>
      <c r="V144" s="16" t="str">
        <f t="shared" si="14"/>
        <v>BAD</v>
      </c>
    </row>
    <row r="145" spans="1:22" x14ac:dyDescent="0.3">
      <c r="A145">
        <v>144</v>
      </c>
      <c r="B145" s="1">
        <v>40550</v>
      </c>
      <c r="C145">
        <v>1</v>
      </c>
      <c r="D145">
        <v>0</v>
      </c>
      <c r="E145">
        <v>1</v>
      </c>
      <c r="F145">
        <v>6</v>
      </c>
      <c r="G145" t="b">
        <f>IF(COUNTIF(AB$4:AB$20,Append1[[#This Row],[dteday]]) &gt; 0, TRUE, FALSE)</f>
        <v>0</v>
      </c>
      <c r="H145">
        <v>5</v>
      </c>
      <c r="I145">
        <v>2</v>
      </c>
      <c r="J145">
        <v>0.2</v>
      </c>
      <c r="K145">
        <f>Append1[[#This Row],[temp]]*100</f>
        <v>20</v>
      </c>
      <c r="L145">
        <v>0.2576</v>
      </c>
      <c r="M145">
        <v>0.69</v>
      </c>
      <c r="N145">
        <v>0</v>
      </c>
      <c r="O145">
        <v>8</v>
      </c>
      <c r="P145">
        <v>26</v>
      </c>
      <c r="Q145">
        <v>34</v>
      </c>
      <c r="R145" s="12" t="str">
        <f t="shared" si="10"/>
        <v>Mist/Cloudy</v>
      </c>
      <c r="S145" s="14" t="str">
        <f t="shared" si="11"/>
        <v>Winter</v>
      </c>
      <c r="T145" s="15" t="str">
        <f t="shared" si="12"/>
        <v>Friday</v>
      </c>
      <c r="U145" t="str">
        <f t="shared" si="13"/>
        <v>January</v>
      </c>
      <c r="V145" s="16" t="str">
        <f t="shared" si="14"/>
        <v>MODERATE</v>
      </c>
    </row>
    <row r="146" spans="1:22" x14ac:dyDescent="0.3">
      <c r="A146">
        <v>145</v>
      </c>
      <c r="B146" s="1">
        <v>40550</v>
      </c>
      <c r="C146">
        <v>1</v>
      </c>
      <c r="D146">
        <v>0</v>
      </c>
      <c r="E146">
        <v>1</v>
      </c>
      <c r="F146">
        <v>7</v>
      </c>
      <c r="G146" t="b">
        <f>IF(COUNTIF(AB$4:AB$20,Append1[[#This Row],[dteday]]) &gt; 0, TRUE, FALSE)</f>
        <v>0</v>
      </c>
      <c r="H146">
        <v>5</v>
      </c>
      <c r="I146">
        <v>1</v>
      </c>
      <c r="J146">
        <v>0.2</v>
      </c>
      <c r="K146">
        <f>Append1[[#This Row],[temp]]*100</f>
        <v>20</v>
      </c>
      <c r="L146">
        <v>0.21210000000000001</v>
      </c>
      <c r="M146">
        <v>0.69</v>
      </c>
      <c r="N146">
        <v>0.1343</v>
      </c>
      <c r="O146">
        <v>8</v>
      </c>
      <c r="P146">
        <v>76</v>
      </c>
      <c r="Q146">
        <v>84</v>
      </c>
      <c r="R146" s="12" t="str">
        <f t="shared" si="10"/>
        <v>Clear/Few Clouds</v>
      </c>
      <c r="S146" s="14" t="str">
        <f t="shared" si="11"/>
        <v>Winter</v>
      </c>
      <c r="T146" s="15" t="str">
        <f t="shared" si="12"/>
        <v>Friday</v>
      </c>
      <c r="U146" t="str">
        <f t="shared" si="13"/>
        <v>January</v>
      </c>
      <c r="V146" s="16" t="str">
        <f t="shared" si="14"/>
        <v>GOOD</v>
      </c>
    </row>
    <row r="147" spans="1:22" x14ac:dyDescent="0.3">
      <c r="A147">
        <v>146</v>
      </c>
      <c r="B147" s="1">
        <v>40550</v>
      </c>
      <c r="C147">
        <v>1</v>
      </c>
      <c r="D147">
        <v>0</v>
      </c>
      <c r="E147">
        <v>1</v>
      </c>
      <c r="F147">
        <v>8</v>
      </c>
      <c r="G147" t="b">
        <f>IF(COUNTIF(AB$4:AB$20,Append1[[#This Row],[dteday]]) &gt; 0, TRUE, FALSE)</f>
        <v>0</v>
      </c>
      <c r="H147">
        <v>5</v>
      </c>
      <c r="I147">
        <v>1</v>
      </c>
      <c r="J147">
        <v>0.2</v>
      </c>
      <c r="K147">
        <f>Append1[[#This Row],[temp]]*100</f>
        <v>20</v>
      </c>
      <c r="L147">
        <v>0.19700000000000001</v>
      </c>
      <c r="M147">
        <v>0.51</v>
      </c>
      <c r="N147">
        <v>0.25369999999999998</v>
      </c>
      <c r="O147">
        <v>20</v>
      </c>
      <c r="P147">
        <v>190</v>
      </c>
      <c r="Q147">
        <v>210</v>
      </c>
      <c r="R147" s="12" t="str">
        <f t="shared" si="10"/>
        <v>Clear/Few Clouds</v>
      </c>
      <c r="S147" s="14" t="str">
        <f t="shared" si="11"/>
        <v>Winter</v>
      </c>
      <c r="T147" s="15" t="str">
        <f t="shared" si="12"/>
        <v>Friday</v>
      </c>
      <c r="U147" t="str">
        <f t="shared" si="13"/>
        <v>January</v>
      </c>
      <c r="V147" s="16" t="str">
        <f t="shared" si="14"/>
        <v>GOOD</v>
      </c>
    </row>
    <row r="148" spans="1:22" x14ac:dyDescent="0.3">
      <c r="A148">
        <v>147</v>
      </c>
      <c r="B148" s="1">
        <v>40550</v>
      </c>
      <c r="C148">
        <v>1</v>
      </c>
      <c r="D148">
        <v>0</v>
      </c>
      <c r="E148">
        <v>1</v>
      </c>
      <c r="F148">
        <v>9</v>
      </c>
      <c r="G148" t="b">
        <f>IF(COUNTIF(AB$4:AB$20,Append1[[#This Row],[dteday]]) &gt; 0, TRUE, FALSE)</f>
        <v>0</v>
      </c>
      <c r="H148">
        <v>5</v>
      </c>
      <c r="I148">
        <v>1</v>
      </c>
      <c r="J148">
        <v>0.2</v>
      </c>
      <c r="K148">
        <f>Append1[[#This Row],[temp]]*100</f>
        <v>20</v>
      </c>
      <c r="L148">
        <v>0.18179999999999999</v>
      </c>
      <c r="M148">
        <v>0.47</v>
      </c>
      <c r="N148">
        <v>0.29849999999999999</v>
      </c>
      <c r="O148">
        <v>9</v>
      </c>
      <c r="P148">
        <v>125</v>
      </c>
      <c r="Q148">
        <v>134</v>
      </c>
      <c r="R148" s="12" t="str">
        <f t="shared" si="10"/>
        <v>Clear/Few Clouds</v>
      </c>
      <c r="S148" s="14" t="str">
        <f t="shared" si="11"/>
        <v>Winter</v>
      </c>
      <c r="T148" s="15" t="str">
        <f t="shared" si="12"/>
        <v>Friday</v>
      </c>
      <c r="U148" t="str">
        <f t="shared" si="13"/>
        <v>January</v>
      </c>
      <c r="V148" s="16" t="str">
        <f t="shared" si="14"/>
        <v>GOOD</v>
      </c>
    </row>
    <row r="149" spans="1:22" x14ac:dyDescent="0.3">
      <c r="A149">
        <v>148</v>
      </c>
      <c r="B149" s="1">
        <v>40550</v>
      </c>
      <c r="C149">
        <v>1</v>
      </c>
      <c r="D149">
        <v>0</v>
      </c>
      <c r="E149">
        <v>1</v>
      </c>
      <c r="F149">
        <v>10</v>
      </c>
      <c r="G149" t="b">
        <f>IF(COUNTIF(AB$4:AB$20,Append1[[#This Row],[dteday]]) &gt; 0, TRUE, FALSE)</f>
        <v>0</v>
      </c>
      <c r="H149">
        <v>5</v>
      </c>
      <c r="I149">
        <v>1</v>
      </c>
      <c r="J149">
        <v>0.22</v>
      </c>
      <c r="K149">
        <f>Append1[[#This Row],[temp]]*100</f>
        <v>22</v>
      </c>
      <c r="L149">
        <v>0.19700000000000001</v>
      </c>
      <c r="M149">
        <v>0.37</v>
      </c>
      <c r="N149">
        <v>0.32840000000000003</v>
      </c>
      <c r="O149">
        <v>16</v>
      </c>
      <c r="P149">
        <v>47</v>
      </c>
      <c r="Q149">
        <v>63</v>
      </c>
      <c r="R149" s="12" t="str">
        <f t="shared" si="10"/>
        <v>Clear/Few Clouds</v>
      </c>
      <c r="S149" s="14" t="str">
        <f t="shared" si="11"/>
        <v>Winter</v>
      </c>
      <c r="T149" s="15" t="str">
        <f t="shared" si="12"/>
        <v>Friday</v>
      </c>
      <c r="U149" t="str">
        <f t="shared" si="13"/>
        <v>January</v>
      </c>
      <c r="V149" s="16" t="str">
        <f t="shared" si="14"/>
        <v>GOOD</v>
      </c>
    </row>
    <row r="150" spans="1:22" x14ac:dyDescent="0.3">
      <c r="A150">
        <v>149</v>
      </c>
      <c r="B150" s="1">
        <v>40550</v>
      </c>
      <c r="C150">
        <v>1</v>
      </c>
      <c r="D150">
        <v>0</v>
      </c>
      <c r="E150">
        <v>1</v>
      </c>
      <c r="F150">
        <v>11</v>
      </c>
      <c r="G150" t="b">
        <f>IF(COUNTIF(AB$4:AB$20,Append1[[#This Row],[dteday]]) &gt; 0, TRUE, FALSE)</f>
        <v>0</v>
      </c>
      <c r="H150">
        <v>5</v>
      </c>
      <c r="I150">
        <v>2</v>
      </c>
      <c r="J150">
        <v>0.2</v>
      </c>
      <c r="K150">
        <f>Append1[[#This Row],[temp]]*100</f>
        <v>20</v>
      </c>
      <c r="L150">
        <v>0.19700000000000001</v>
      </c>
      <c r="M150">
        <v>0.4</v>
      </c>
      <c r="N150">
        <v>0.22389999999999999</v>
      </c>
      <c r="O150">
        <v>19</v>
      </c>
      <c r="P150">
        <v>48</v>
      </c>
      <c r="Q150">
        <v>67</v>
      </c>
      <c r="R150" s="12" t="str">
        <f t="shared" si="10"/>
        <v>Mist/Cloudy</v>
      </c>
      <c r="S150" s="14" t="str">
        <f t="shared" si="11"/>
        <v>Winter</v>
      </c>
      <c r="T150" s="15" t="str">
        <f t="shared" si="12"/>
        <v>Friday</v>
      </c>
      <c r="U150" t="str">
        <f t="shared" si="13"/>
        <v>January</v>
      </c>
      <c r="V150" s="16" t="str">
        <f t="shared" si="14"/>
        <v>MODERATE</v>
      </c>
    </row>
    <row r="151" spans="1:22" x14ac:dyDescent="0.3">
      <c r="A151">
        <v>150</v>
      </c>
      <c r="B151" s="1">
        <v>40550</v>
      </c>
      <c r="C151">
        <v>1</v>
      </c>
      <c r="D151">
        <v>0</v>
      </c>
      <c r="E151">
        <v>1</v>
      </c>
      <c r="F151">
        <v>12</v>
      </c>
      <c r="G151" t="b">
        <f>IF(COUNTIF(AB$4:AB$20,Append1[[#This Row],[dteday]]) &gt; 0, TRUE, FALSE)</f>
        <v>0</v>
      </c>
      <c r="H151">
        <v>5</v>
      </c>
      <c r="I151">
        <v>2</v>
      </c>
      <c r="J151">
        <v>0.2</v>
      </c>
      <c r="K151">
        <f>Append1[[#This Row],[temp]]*100</f>
        <v>20</v>
      </c>
      <c r="L151">
        <v>0.19700000000000001</v>
      </c>
      <c r="M151">
        <v>0.37</v>
      </c>
      <c r="N151">
        <v>0.25369999999999998</v>
      </c>
      <c r="O151">
        <v>9</v>
      </c>
      <c r="P151">
        <v>50</v>
      </c>
      <c r="Q151">
        <v>59</v>
      </c>
      <c r="R151" s="12" t="str">
        <f t="shared" si="10"/>
        <v>Mist/Cloudy</v>
      </c>
      <c r="S151" s="14" t="str">
        <f t="shared" si="11"/>
        <v>Winter</v>
      </c>
      <c r="T151" s="15" t="str">
        <f t="shared" si="12"/>
        <v>Friday</v>
      </c>
      <c r="U151" t="str">
        <f t="shared" si="13"/>
        <v>January</v>
      </c>
      <c r="V151" s="16" t="str">
        <f t="shared" si="14"/>
        <v>MODERATE</v>
      </c>
    </row>
    <row r="152" spans="1:22" x14ac:dyDescent="0.3">
      <c r="A152">
        <v>151</v>
      </c>
      <c r="B152" s="1">
        <v>40550</v>
      </c>
      <c r="C152">
        <v>1</v>
      </c>
      <c r="D152">
        <v>0</v>
      </c>
      <c r="E152">
        <v>1</v>
      </c>
      <c r="F152">
        <v>13</v>
      </c>
      <c r="G152" t="b">
        <f>IF(COUNTIF(AB$4:AB$20,Append1[[#This Row],[dteday]]) &gt; 0, TRUE, FALSE)</f>
        <v>0</v>
      </c>
      <c r="H152">
        <v>5</v>
      </c>
      <c r="I152">
        <v>2</v>
      </c>
      <c r="J152">
        <v>0.2</v>
      </c>
      <c r="K152">
        <f>Append1[[#This Row],[temp]]*100</f>
        <v>20</v>
      </c>
      <c r="L152">
        <v>0.18179999999999999</v>
      </c>
      <c r="M152">
        <v>0.37</v>
      </c>
      <c r="N152">
        <v>0.28360000000000002</v>
      </c>
      <c r="O152">
        <v>9</v>
      </c>
      <c r="P152">
        <v>64</v>
      </c>
      <c r="Q152">
        <v>73</v>
      </c>
      <c r="R152" s="12" t="str">
        <f t="shared" si="10"/>
        <v>Mist/Cloudy</v>
      </c>
      <c r="S152" s="14" t="str">
        <f t="shared" si="11"/>
        <v>Winter</v>
      </c>
      <c r="T152" s="15" t="str">
        <f t="shared" si="12"/>
        <v>Friday</v>
      </c>
      <c r="U152" t="str">
        <f t="shared" si="13"/>
        <v>January</v>
      </c>
      <c r="V152" s="16" t="str">
        <f t="shared" si="14"/>
        <v>MODERATE</v>
      </c>
    </row>
    <row r="153" spans="1:22" x14ac:dyDescent="0.3">
      <c r="A153">
        <v>152</v>
      </c>
      <c r="B153" s="1">
        <v>40550</v>
      </c>
      <c r="C153">
        <v>1</v>
      </c>
      <c r="D153">
        <v>0</v>
      </c>
      <c r="E153">
        <v>1</v>
      </c>
      <c r="F153">
        <v>14</v>
      </c>
      <c r="G153" t="b">
        <f>IF(COUNTIF(AB$4:AB$20,Append1[[#This Row],[dteday]]) &gt; 0, TRUE, FALSE)</f>
        <v>0</v>
      </c>
      <c r="H153">
        <v>5</v>
      </c>
      <c r="I153">
        <v>2</v>
      </c>
      <c r="J153">
        <v>0.2</v>
      </c>
      <c r="K153">
        <f>Append1[[#This Row],[temp]]*100</f>
        <v>20</v>
      </c>
      <c r="L153">
        <v>0.19700000000000001</v>
      </c>
      <c r="M153">
        <v>0.4</v>
      </c>
      <c r="N153">
        <v>0.25369999999999998</v>
      </c>
      <c r="O153">
        <v>7</v>
      </c>
      <c r="P153">
        <v>43</v>
      </c>
      <c r="Q153">
        <v>50</v>
      </c>
      <c r="R153" s="12" t="str">
        <f t="shared" si="10"/>
        <v>Mist/Cloudy</v>
      </c>
      <c r="S153" s="14" t="str">
        <f t="shared" si="11"/>
        <v>Winter</v>
      </c>
      <c r="T153" s="15" t="str">
        <f t="shared" si="12"/>
        <v>Friday</v>
      </c>
      <c r="U153" t="str">
        <f t="shared" si="13"/>
        <v>January</v>
      </c>
      <c r="V153" s="16" t="str">
        <f t="shared" si="14"/>
        <v>MODERATE</v>
      </c>
    </row>
    <row r="154" spans="1:22" x14ac:dyDescent="0.3">
      <c r="A154">
        <v>153</v>
      </c>
      <c r="B154" s="1">
        <v>40550</v>
      </c>
      <c r="C154">
        <v>1</v>
      </c>
      <c r="D154">
        <v>0</v>
      </c>
      <c r="E154">
        <v>1</v>
      </c>
      <c r="F154">
        <v>15</v>
      </c>
      <c r="G154" t="b">
        <f>IF(COUNTIF(AB$4:AB$20,Append1[[#This Row],[dteday]]) &gt; 0, TRUE, FALSE)</f>
        <v>0</v>
      </c>
      <c r="H154">
        <v>5</v>
      </c>
      <c r="I154">
        <v>2</v>
      </c>
      <c r="J154">
        <v>0.2</v>
      </c>
      <c r="K154">
        <f>Append1[[#This Row],[temp]]*100</f>
        <v>20</v>
      </c>
      <c r="L154">
        <v>0.21210000000000001</v>
      </c>
      <c r="M154">
        <v>0.37</v>
      </c>
      <c r="N154">
        <v>0.16420000000000001</v>
      </c>
      <c r="O154">
        <v>9</v>
      </c>
      <c r="P154">
        <v>63</v>
      </c>
      <c r="Q154">
        <v>72</v>
      </c>
      <c r="R154" s="12" t="str">
        <f t="shared" si="10"/>
        <v>Mist/Cloudy</v>
      </c>
      <c r="S154" s="14" t="str">
        <f t="shared" si="11"/>
        <v>Winter</v>
      </c>
      <c r="T154" s="15" t="str">
        <f t="shared" si="12"/>
        <v>Friday</v>
      </c>
      <c r="U154" t="str">
        <f t="shared" si="13"/>
        <v>January</v>
      </c>
      <c r="V154" s="16" t="str">
        <f t="shared" si="14"/>
        <v>MODERATE</v>
      </c>
    </row>
    <row r="155" spans="1:22" x14ac:dyDescent="0.3">
      <c r="A155">
        <v>154</v>
      </c>
      <c r="B155" s="1">
        <v>40550</v>
      </c>
      <c r="C155">
        <v>1</v>
      </c>
      <c r="D155">
        <v>0</v>
      </c>
      <c r="E155">
        <v>1</v>
      </c>
      <c r="F155">
        <v>16</v>
      </c>
      <c r="G155" t="b">
        <f>IF(COUNTIF(AB$4:AB$20,Append1[[#This Row],[dteday]]) &gt; 0, TRUE, FALSE)</f>
        <v>0</v>
      </c>
      <c r="H155">
        <v>5</v>
      </c>
      <c r="I155">
        <v>2</v>
      </c>
      <c r="J155">
        <v>0.2</v>
      </c>
      <c r="K155">
        <f>Append1[[#This Row],[temp]]*100</f>
        <v>20</v>
      </c>
      <c r="L155">
        <v>0.21210000000000001</v>
      </c>
      <c r="M155">
        <v>0.37</v>
      </c>
      <c r="N155">
        <v>0.16420000000000001</v>
      </c>
      <c r="O155">
        <v>5</v>
      </c>
      <c r="P155">
        <v>82</v>
      </c>
      <c r="Q155">
        <v>87</v>
      </c>
      <c r="R155" s="12" t="str">
        <f t="shared" si="10"/>
        <v>Mist/Cloudy</v>
      </c>
      <c r="S155" s="14" t="str">
        <f t="shared" si="11"/>
        <v>Winter</v>
      </c>
      <c r="T155" s="15" t="str">
        <f t="shared" si="12"/>
        <v>Friday</v>
      </c>
      <c r="U155" t="str">
        <f t="shared" si="13"/>
        <v>January</v>
      </c>
      <c r="V155" s="16" t="str">
        <f t="shared" si="14"/>
        <v>MODERATE</v>
      </c>
    </row>
    <row r="156" spans="1:22" x14ac:dyDescent="0.3">
      <c r="A156">
        <v>155</v>
      </c>
      <c r="B156" s="1">
        <v>40550</v>
      </c>
      <c r="C156">
        <v>1</v>
      </c>
      <c r="D156">
        <v>0</v>
      </c>
      <c r="E156">
        <v>1</v>
      </c>
      <c r="F156">
        <v>17</v>
      </c>
      <c r="G156" t="b">
        <f>IF(COUNTIF(AB$4:AB$20,Append1[[#This Row],[dteday]]) &gt; 0, TRUE, FALSE)</f>
        <v>0</v>
      </c>
      <c r="H156">
        <v>5</v>
      </c>
      <c r="I156">
        <v>2</v>
      </c>
      <c r="J156">
        <v>0.2</v>
      </c>
      <c r="K156">
        <f>Append1[[#This Row],[temp]]*100</f>
        <v>20</v>
      </c>
      <c r="L156">
        <v>0.2576</v>
      </c>
      <c r="M156">
        <v>0.37</v>
      </c>
      <c r="N156">
        <v>0</v>
      </c>
      <c r="O156">
        <v>9</v>
      </c>
      <c r="P156">
        <v>178</v>
      </c>
      <c r="Q156">
        <v>187</v>
      </c>
      <c r="R156" s="12" t="str">
        <f t="shared" si="10"/>
        <v>Mist/Cloudy</v>
      </c>
      <c r="S156" s="14" t="str">
        <f t="shared" si="11"/>
        <v>Winter</v>
      </c>
      <c r="T156" s="15" t="str">
        <f t="shared" si="12"/>
        <v>Friday</v>
      </c>
      <c r="U156" t="str">
        <f t="shared" si="13"/>
        <v>January</v>
      </c>
      <c r="V156" s="16" t="str">
        <f t="shared" si="14"/>
        <v>MODERATE</v>
      </c>
    </row>
    <row r="157" spans="1:22" x14ac:dyDescent="0.3">
      <c r="A157">
        <v>156</v>
      </c>
      <c r="B157" s="1">
        <v>40550</v>
      </c>
      <c r="C157">
        <v>1</v>
      </c>
      <c r="D157">
        <v>0</v>
      </c>
      <c r="E157">
        <v>1</v>
      </c>
      <c r="F157">
        <v>18</v>
      </c>
      <c r="G157" t="b">
        <f>IF(COUNTIF(AB$4:AB$20,Append1[[#This Row],[dteday]]) &gt; 0, TRUE, FALSE)</f>
        <v>0</v>
      </c>
      <c r="H157">
        <v>5</v>
      </c>
      <c r="I157">
        <v>1</v>
      </c>
      <c r="J157">
        <v>0.2</v>
      </c>
      <c r="K157">
        <f>Append1[[#This Row],[temp]]*100</f>
        <v>20</v>
      </c>
      <c r="L157">
        <v>0.2273</v>
      </c>
      <c r="M157">
        <v>0.4</v>
      </c>
      <c r="N157">
        <v>8.9599999999999999E-2</v>
      </c>
      <c r="O157">
        <v>7</v>
      </c>
      <c r="P157">
        <v>116</v>
      </c>
      <c r="Q157">
        <v>123</v>
      </c>
      <c r="R157" s="12" t="str">
        <f t="shared" si="10"/>
        <v>Clear/Few Clouds</v>
      </c>
      <c r="S157" s="14" t="str">
        <f t="shared" si="11"/>
        <v>Winter</v>
      </c>
      <c r="T157" s="15" t="str">
        <f t="shared" si="12"/>
        <v>Friday</v>
      </c>
      <c r="U157" t="str">
        <f t="shared" si="13"/>
        <v>January</v>
      </c>
      <c r="V157" s="16" t="str">
        <f t="shared" si="14"/>
        <v>GOOD</v>
      </c>
    </row>
    <row r="158" spans="1:22" x14ac:dyDescent="0.3">
      <c r="A158">
        <v>157</v>
      </c>
      <c r="B158" s="1">
        <v>40550</v>
      </c>
      <c r="C158">
        <v>1</v>
      </c>
      <c r="D158">
        <v>0</v>
      </c>
      <c r="E158">
        <v>1</v>
      </c>
      <c r="F158">
        <v>19</v>
      </c>
      <c r="G158" t="b">
        <f>IF(COUNTIF(AB$4:AB$20,Append1[[#This Row],[dteday]]) &gt; 0, TRUE, FALSE)</f>
        <v>0</v>
      </c>
      <c r="H158">
        <v>5</v>
      </c>
      <c r="I158">
        <v>1</v>
      </c>
      <c r="J158">
        <v>0.16</v>
      </c>
      <c r="K158">
        <f>Append1[[#This Row],[temp]]*100</f>
        <v>16</v>
      </c>
      <c r="L158">
        <v>0.19700000000000001</v>
      </c>
      <c r="M158">
        <v>0.55000000000000004</v>
      </c>
      <c r="N158">
        <v>8.9599999999999999E-2</v>
      </c>
      <c r="O158">
        <v>3</v>
      </c>
      <c r="P158">
        <v>92</v>
      </c>
      <c r="Q158">
        <v>95</v>
      </c>
      <c r="R158" s="12" t="str">
        <f t="shared" si="10"/>
        <v>Clear/Few Clouds</v>
      </c>
      <c r="S158" s="14" t="str">
        <f t="shared" si="11"/>
        <v>Winter</v>
      </c>
      <c r="T158" s="15" t="str">
        <f t="shared" si="12"/>
        <v>Friday</v>
      </c>
      <c r="U158" t="str">
        <f t="shared" si="13"/>
        <v>January</v>
      </c>
      <c r="V158" s="16" t="str">
        <f t="shared" si="14"/>
        <v>GOOD</v>
      </c>
    </row>
    <row r="159" spans="1:22" x14ac:dyDescent="0.3">
      <c r="A159">
        <v>158</v>
      </c>
      <c r="B159" s="1">
        <v>40550</v>
      </c>
      <c r="C159">
        <v>1</v>
      </c>
      <c r="D159">
        <v>0</v>
      </c>
      <c r="E159">
        <v>1</v>
      </c>
      <c r="F159">
        <v>20</v>
      </c>
      <c r="G159" t="b">
        <f>IF(COUNTIF(AB$4:AB$20,Append1[[#This Row],[dteday]]) &gt; 0, TRUE, FALSE)</f>
        <v>0</v>
      </c>
      <c r="H159">
        <v>5</v>
      </c>
      <c r="I159">
        <v>1</v>
      </c>
      <c r="J159">
        <v>0.18</v>
      </c>
      <c r="K159">
        <f>Append1[[#This Row],[temp]]*100</f>
        <v>18</v>
      </c>
      <c r="L159">
        <v>0.21210000000000001</v>
      </c>
      <c r="M159">
        <v>0.47</v>
      </c>
      <c r="N159">
        <v>0.1045</v>
      </c>
      <c r="O159">
        <v>1</v>
      </c>
      <c r="P159">
        <v>50</v>
      </c>
      <c r="Q159">
        <v>51</v>
      </c>
      <c r="R159" s="12" t="str">
        <f t="shared" si="10"/>
        <v>Clear/Few Clouds</v>
      </c>
      <c r="S159" s="14" t="str">
        <f t="shared" si="11"/>
        <v>Winter</v>
      </c>
      <c r="T159" s="15" t="str">
        <f t="shared" si="12"/>
        <v>Friday</v>
      </c>
      <c r="U159" t="str">
        <f t="shared" si="13"/>
        <v>January</v>
      </c>
      <c r="V159" s="16" t="str">
        <f t="shared" si="14"/>
        <v>GOOD</v>
      </c>
    </row>
    <row r="160" spans="1:22" x14ac:dyDescent="0.3">
      <c r="A160">
        <v>159</v>
      </c>
      <c r="B160" s="1">
        <v>40550</v>
      </c>
      <c r="C160">
        <v>1</v>
      </c>
      <c r="D160">
        <v>0</v>
      </c>
      <c r="E160">
        <v>1</v>
      </c>
      <c r="F160">
        <v>21</v>
      </c>
      <c r="G160" t="b">
        <f>IF(COUNTIF(AB$4:AB$20,Append1[[#This Row],[dteday]]) &gt; 0, TRUE, FALSE)</f>
        <v>0</v>
      </c>
      <c r="H160">
        <v>5</v>
      </c>
      <c r="I160">
        <v>1</v>
      </c>
      <c r="J160">
        <v>0.18</v>
      </c>
      <c r="K160">
        <f>Append1[[#This Row],[temp]]*100</f>
        <v>18</v>
      </c>
      <c r="L160">
        <v>0.19700000000000001</v>
      </c>
      <c r="M160">
        <v>0.47</v>
      </c>
      <c r="N160">
        <v>0.1343</v>
      </c>
      <c r="O160">
        <v>0</v>
      </c>
      <c r="P160">
        <v>39</v>
      </c>
      <c r="Q160">
        <v>39</v>
      </c>
      <c r="R160" s="12" t="str">
        <f t="shared" si="10"/>
        <v>Clear/Few Clouds</v>
      </c>
      <c r="S160" s="14" t="str">
        <f t="shared" si="11"/>
        <v>Winter</v>
      </c>
      <c r="T160" s="15" t="str">
        <f t="shared" si="12"/>
        <v>Friday</v>
      </c>
      <c r="U160" t="str">
        <f t="shared" si="13"/>
        <v>January</v>
      </c>
      <c r="V160" s="16" t="str">
        <f t="shared" si="14"/>
        <v>GOOD</v>
      </c>
    </row>
    <row r="161" spans="1:22" x14ac:dyDescent="0.3">
      <c r="A161">
        <v>160</v>
      </c>
      <c r="B161" s="1">
        <v>40550</v>
      </c>
      <c r="C161">
        <v>1</v>
      </c>
      <c r="D161">
        <v>0</v>
      </c>
      <c r="E161">
        <v>1</v>
      </c>
      <c r="F161">
        <v>22</v>
      </c>
      <c r="G161" t="b">
        <f>IF(COUNTIF(AB$4:AB$20,Append1[[#This Row],[dteday]]) &gt; 0, TRUE, FALSE)</f>
        <v>0</v>
      </c>
      <c r="H161">
        <v>5</v>
      </c>
      <c r="I161">
        <v>2</v>
      </c>
      <c r="J161">
        <v>0.18</v>
      </c>
      <c r="K161">
        <f>Append1[[#This Row],[temp]]*100</f>
        <v>18</v>
      </c>
      <c r="L161">
        <v>0.19700000000000001</v>
      </c>
      <c r="M161">
        <v>0.43</v>
      </c>
      <c r="N161">
        <v>0.16420000000000001</v>
      </c>
      <c r="O161">
        <v>2</v>
      </c>
      <c r="P161">
        <v>34</v>
      </c>
      <c r="Q161">
        <v>36</v>
      </c>
      <c r="R161" s="12" t="str">
        <f t="shared" si="10"/>
        <v>Mist/Cloudy</v>
      </c>
      <c r="S161" s="14" t="str">
        <f t="shared" si="11"/>
        <v>Winter</v>
      </c>
      <c r="T161" s="15" t="str">
        <f t="shared" si="12"/>
        <v>Friday</v>
      </c>
      <c r="U161" t="str">
        <f t="shared" si="13"/>
        <v>January</v>
      </c>
      <c r="V161" s="16" t="str">
        <f t="shared" si="14"/>
        <v>MODERATE</v>
      </c>
    </row>
    <row r="162" spans="1:22" x14ac:dyDescent="0.3">
      <c r="A162">
        <v>161</v>
      </c>
      <c r="B162" s="1">
        <v>40550</v>
      </c>
      <c r="C162">
        <v>1</v>
      </c>
      <c r="D162">
        <v>0</v>
      </c>
      <c r="E162">
        <v>1</v>
      </c>
      <c r="F162">
        <v>23</v>
      </c>
      <c r="G162" t="b">
        <f>IF(COUNTIF(AB$4:AB$20,Append1[[#This Row],[dteday]]) &gt; 0, TRUE, FALSE)</f>
        <v>0</v>
      </c>
      <c r="H162">
        <v>5</v>
      </c>
      <c r="I162">
        <v>2</v>
      </c>
      <c r="J162">
        <v>0.18</v>
      </c>
      <c r="K162">
        <f>Append1[[#This Row],[temp]]*100</f>
        <v>18</v>
      </c>
      <c r="L162">
        <v>0.19700000000000001</v>
      </c>
      <c r="M162">
        <v>0.51</v>
      </c>
      <c r="N162">
        <v>0.16420000000000001</v>
      </c>
      <c r="O162">
        <v>1</v>
      </c>
      <c r="P162">
        <v>14</v>
      </c>
      <c r="Q162">
        <v>15</v>
      </c>
      <c r="R162" s="12" t="str">
        <f t="shared" si="10"/>
        <v>Mist/Cloudy</v>
      </c>
      <c r="S162" s="14" t="str">
        <f t="shared" si="11"/>
        <v>Winter</v>
      </c>
      <c r="T162" s="15" t="str">
        <f t="shared" si="12"/>
        <v>Friday</v>
      </c>
      <c r="U162" t="str">
        <f t="shared" si="13"/>
        <v>January</v>
      </c>
      <c r="V162" s="16" t="str">
        <f t="shared" si="14"/>
        <v>MODERATE</v>
      </c>
    </row>
    <row r="163" spans="1:22" x14ac:dyDescent="0.3">
      <c r="A163">
        <v>162</v>
      </c>
      <c r="B163" s="1">
        <v>40551</v>
      </c>
      <c r="C163">
        <v>1</v>
      </c>
      <c r="D163">
        <v>0</v>
      </c>
      <c r="E163">
        <v>1</v>
      </c>
      <c r="F163">
        <v>0</v>
      </c>
      <c r="G163" t="b">
        <f>IF(COUNTIF(AB$4:AB$20,Append1[[#This Row],[dteday]]) &gt; 0, TRUE, FALSE)</f>
        <v>0</v>
      </c>
      <c r="H163">
        <v>6</v>
      </c>
      <c r="I163">
        <v>2</v>
      </c>
      <c r="J163">
        <v>0.18</v>
      </c>
      <c r="K163">
        <f>Append1[[#This Row],[temp]]*100</f>
        <v>18</v>
      </c>
      <c r="L163">
        <v>0.19700000000000001</v>
      </c>
      <c r="M163">
        <v>0.51</v>
      </c>
      <c r="N163">
        <v>0.16420000000000001</v>
      </c>
      <c r="O163">
        <v>1</v>
      </c>
      <c r="P163">
        <v>24</v>
      </c>
      <c r="Q163">
        <v>25</v>
      </c>
      <c r="R163" s="12" t="str">
        <f t="shared" si="10"/>
        <v>Mist/Cloudy</v>
      </c>
      <c r="S163" s="14" t="str">
        <f t="shared" si="11"/>
        <v>Winter</v>
      </c>
      <c r="T163" s="15" t="str">
        <f t="shared" si="12"/>
        <v>Saturday</v>
      </c>
      <c r="U163" t="str">
        <f t="shared" si="13"/>
        <v>January</v>
      </c>
      <c r="V163" s="16" t="str">
        <f t="shared" si="14"/>
        <v>MODERATE</v>
      </c>
    </row>
    <row r="164" spans="1:22" x14ac:dyDescent="0.3">
      <c r="A164">
        <v>163</v>
      </c>
      <c r="B164" s="1">
        <v>40551</v>
      </c>
      <c r="C164">
        <v>1</v>
      </c>
      <c r="D164">
        <v>0</v>
      </c>
      <c r="E164">
        <v>1</v>
      </c>
      <c r="F164">
        <v>1</v>
      </c>
      <c r="G164" t="b">
        <f>IF(COUNTIF(AB$4:AB$20,Append1[[#This Row],[dteday]]) &gt; 0, TRUE, FALSE)</f>
        <v>0</v>
      </c>
      <c r="H164">
        <v>6</v>
      </c>
      <c r="I164">
        <v>2</v>
      </c>
      <c r="J164">
        <v>0.18</v>
      </c>
      <c r="K164">
        <f>Append1[[#This Row],[temp]]*100</f>
        <v>18</v>
      </c>
      <c r="L164">
        <v>0.21210000000000001</v>
      </c>
      <c r="M164">
        <v>0.55000000000000004</v>
      </c>
      <c r="N164">
        <v>8.9599999999999999E-2</v>
      </c>
      <c r="O164">
        <v>1</v>
      </c>
      <c r="P164">
        <v>15</v>
      </c>
      <c r="Q164">
        <v>16</v>
      </c>
      <c r="R164" s="12" t="str">
        <f t="shared" si="10"/>
        <v>Mist/Cloudy</v>
      </c>
      <c r="S164" s="14" t="str">
        <f t="shared" si="11"/>
        <v>Winter</v>
      </c>
      <c r="T164" s="15" t="str">
        <f t="shared" si="12"/>
        <v>Saturday</v>
      </c>
      <c r="U164" t="str">
        <f t="shared" si="13"/>
        <v>January</v>
      </c>
      <c r="V164" s="16" t="str">
        <f t="shared" si="14"/>
        <v>MODERATE</v>
      </c>
    </row>
    <row r="165" spans="1:22" x14ac:dyDescent="0.3">
      <c r="A165">
        <v>164</v>
      </c>
      <c r="B165" s="1">
        <v>40551</v>
      </c>
      <c r="C165">
        <v>1</v>
      </c>
      <c r="D165">
        <v>0</v>
      </c>
      <c r="E165">
        <v>1</v>
      </c>
      <c r="F165">
        <v>2</v>
      </c>
      <c r="G165" t="b">
        <f>IF(COUNTIF(AB$4:AB$20,Append1[[#This Row],[dteday]]) &gt; 0, TRUE, FALSE)</f>
        <v>0</v>
      </c>
      <c r="H165">
        <v>6</v>
      </c>
      <c r="I165">
        <v>2</v>
      </c>
      <c r="J165">
        <v>0.18</v>
      </c>
      <c r="K165">
        <f>Append1[[#This Row],[temp]]*100</f>
        <v>18</v>
      </c>
      <c r="L165">
        <v>0.2424</v>
      </c>
      <c r="M165">
        <v>0.55000000000000004</v>
      </c>
      <c r="N165">
        <v>0</v>
      </c>
      <c r="O165">
        <v>3</v>
      </c>
      <c r="P165">
        <v>13</v>
      </c>
      <c r="Q165">
        <v>16</v>
      </c>
      <c r="R165" s="12" t="str">
        <f t="shared" si="10"/>
        <v>Mist/Cloudy</v>
      </c>
      <c r="S165" s="14" t="str">
        <f t="shared" si="11"/>
        <v>Winter</v>
      </c>
      <c r="T165" s="15" t="str">
        <f t="shared" si="12"/>
        <v>Saturday</v>
      </c>
      <c r="U165" t="str">
        <f t="shared" si="13"/>
        <v>January</v>
      </c>
      <c r="V165" s="16" t="str">
        <f t="shared" si="14"/>
        <v>MODERATE</v>
      </c>
    </row>
    <row r="166" spans="1:22" x14ac:dyDescent="0.3">
      <c r="A166">
        <v>165</v>
      </c>
      <c r="B166" s="1">
        <v>40551</v>
      </c>
      <c r="C166">
        <v>1</v>
      </c>
      <c r="D166">
        <v>0</v>
      </c>
      <c r="E166">
        <v>1</v>
      </c>
      <c r="F166">
        <v>3</v>
      </c>
      <c r="G166" t="b">
        <f>IF(COUNTIF(AB$4:AB$20,Append1[[#This Row],[dteday]]) &gt; 0, TRUE, FALSE)</f>
        <v>0</v>
      </c>
      <c r="H166">
        <v>6</v>
      </c>
      <c r="I166">
        <v>3</v>
      </c>
      <c r="J166">
        <v>0.18</v>
      </c>
      <c r="K166">
        <f>Append1[[#This Row],[temp]]*100</f>
        <v>18</v>
      </c>
      <c r="L166">
        <v>0.19700000000000001</v>
      </c>
      <c r="M166">
        <v>0.55000000000000004</v>
      </c>
      <c r="N166">
        <v>0.16420000000000001</v>
      </c>
      <c r="O166">
        <v>0</v>
      </c>
      <c r="P166">
        <v>7</v>
      </c>
      <c r="Q166">
        <v>7</v>
      </c>
      <c r="R166" s="12" t="str">
        <f t="shared" si="10"/>
        <v>Light Rain/Snow</v>
      </c>
      <c r="S166" s="14" t="str">
        <f t="shared" si="11"/>
        <v>Winter</v>
      </c>
      <c r="T166" s="15" t="str">
        <f t="shared" si="12"/>
        <v>Saturday</v>
      </c>
      <c r="U166" t="str">
        <f t="shared" si="13"/>
        <v>January</v>
      </c>
      <c r="V166" s="16" t="str">
        <f t="shared" si="14"/>
        <v>BAD</v>
      </c>
    </row>
    <row r="167" spans="1:22" x14ac:dyDescent="0.3">
      <c r="A167">
        <v>166</v>
      </c>
      <c r="B167" s="1">
        <v>40551</v>
      </c>
      <c r="C167">
        <v>1</v>
      </c>
      <c r="D167">
        <v>0</v>
      </c>
      <c r="E167">
        <v>1</v>
      </c>
      <c r="F167">
        <v>4</v>
      </c>
      <c r="G167" t="b">
        <f>IF(COUNTIF(AB$4:AB$20,Append1[[#This Row],[dteday]]) &gt; 0, TRUE, FALSE)</f>
        <v>0</v>
      </c>
      <c r="H167">
        <v>6</v>
      </c>
      <c r="I167">
        <v>3</v>
      </c>
      <c r="J167">
        <v>0.18</v>
      </c>
      <c r="K167">
        <f>Append1[[#This Row],[temp]]*100</f>
        <v>18</v>
      </c>
      <c r="L167">
        <v>0.19700000000000001</v>
      </c>
      <c r="M167">
        <v>0.55000000000000004</v>
      </c>
      <c r="N167">
        <v>0.16420000000000001</v>
      </c>
      <c r="O167">
        <v>0</v>
      </c>
      <c r="P167">
        <v>1</v>
      </c>
      <c r="Q167">
        <v>1</v>
      </c>
      <c r="R167" s="12" t="str">
        <f t="shared" si="10"/>
        <v>Light Rain/Snow</v>
      </c>
      <c r="S167" s="14" t="str">
        <f t="shared" si="11"/>
        <v>Winter</v>
      </c>
      <c r="T167" s="15" t="str">
        <f t="shared" si="12"/>
        <v>Saturday</v>
      </c>
      <c r="U167" t="str">
        <f t="shared" si="13"/>
        <v>January</v>
      </c>
      <c r="V167" s="16" t="str">
        <f t="shared" si="14"/>
        <v>BAD</v>
      </c>
    </row>
    <row r="168" spans="1:22" x14ac:dyDescent="0.3">
      <c r="A168">
        <v>167</v>
      </c>
      <c r="B168" s="1">
        <v>40551</v>
      </c>
      <c r="C168">
        <v>1</v>
      </c>
      <c r="D168">
        <v>0</v>
      </c>
      <c r="E168">
        <v>1</v>
      </c>
      <c r="F168">
        <v>5</v>
      </c>
      <c r="G168" t="b">
        <f>IF(COUNTIF(AB$4:AB$20,Append1[[#This Row],[dteday]]) &gt; 0, TRUE, FALSE)</f>
        <v>0</v>
      </c>
      <c r="H168">
        <v>6</v>
      </c>
      <c r="I168">
        <v>2</v>
      </c>
      <c r="J168">
        <v>0.16</v>
      </c>
      <c r="K168">
        <f>Append1[[#This Row],[temp]]*100</f>
        <v>16</v>
      </c>
      <c r="L168">
        <v>0.16669999999999999</v>
      </c>
      <c r="M168">
        <v>0.74</v>
      </c>
      <c r="N168">
        <v>0.16420000000000001</v>
      </c>
      <c r="O168">
        <v>0</v>
      </c>
      <c r="P168">
        <v>5</v>
      </c>
      <c r="Q168">
        <v>5</v>
      </c>
      <c r="R168" s="12" t="str">
        <f t="shared" si="10"/>
        <v>Mist/Cloudy</v>
      </c>
      <c r="S168" s="14" t="str">
        <f t="shared" si="11"/>
        <v>Winter</v>
      </c>
      <c r="T168" s="15" t="str">
        <f t="shared" si="12"/>
        <v>Saturday</v>
      </c>
      <c r="U168" t="str">
        <f t="shared" si="13"/>
        <v>January</v>
      </c>
      <c r="V168" s="16" t="str">
        <f t="shared" si="14"/>
        <v>MODERATE</v>
      </c>
    </row>
    <row r="169" spans="1:22" x14ac:dyDescent="0.3">
      <c r="A169">
        <v>168</v>
      </c>
      <c r="B169" s="1">
        <v>40551</v>
      </c>
      <c r="C169">
        <v>1</v>
      </c>
      <c r="D169">
        <v>0</v>
      </c>
      <c r="E169">
        <v>1</v>
      </c>
      <c r="F169">
        <v>6</v>
      </c>
      <c r="G169" t="b">
        <f>IF(COUNTIF(AB$4:AB$20,Append1[[#This Row],[dteday]]) &gt; 0, TRUE, FALSE)</f>
        <v>0</v>
      </c>
      <c r="H169">
        <v>6</v>
      </c>
      <c r="I169">
        <v>2</v>
      </c>
      <c r="J169">
        <v>0.16</v>
      </c>
      <c r="K169">
        <f>Append1[[#This Row],[temp]]*100</f>
        <v>16</v>
      </c>
      <c r="L169">
        <v>0.16669999999999999</v>
      </c>
      <c r="M169">
        <v>0.74</v>
      </c>
      <c r="N169">
        <v>0.16420000000000001</v>
      </c>
      <c r="O169">
        <v>0</v>
      </c>
      <c r="P169">
        <v>2</v>
      </c>
      <c r="Q169">
        <v>2</v>
      </c>
      <c r="R169" s="12" t="str">
        <f t="shared" si="10"/>
        <v>Mist/Cloudy</v>
      </c>
      <c r="S169" s="14" t="str">
        <f t="shared" si="11"/>
        <v>Winter</v>
      </c>
      <c r="T169" s="15" t="str">
        <f t="shared" si="12"/>
        <v>Saturday</v>
      </c>
      <c r="U169" t="str">
        <f t="shared" si="13"/>
        <v>January</v>
      </c>
      <c r="V169" s="16" t="str">
        <f t="shared" si="14"/>
        <v>MODERATE</v>
      </c>
    </row>
    <row r="170" spans="1:22" x14ac:dyDescent="0.3">
      <c r="A170">
        <v>169</v>
      </c>
      <c r="B170" s="1">
        <v>40551</v>
      </c>
      <c r="C170">
        <v>1</v>
      </c>
      <c r="D170">
        <v>0</v>
      </c>
      <c r="E170">
        <v>1</v>
      </c>
      <c r="F170">
        <v>7</v>
      </c>
      <c r="G170" t="b">
        <f>IF(COUNTIF(AB$4:AB$20,Append1[[#This Row],[dteday]]) &gt; 0, TRUE, FALSE)</f>
        <v>0</v>
      </c>
      <c r="H170">
        <v>6</v>
      </c>
      <c r="I170">
        <v>2</v>
      </c>
      <c r="J170">
        <v>0.16</v>
      </c>
      <c r="K170">
        <f>Append1[[#This Row],[temp]]*100</f>
        <v>16</v>
      </c>
      <c r="L170">
        <v>0.18179999999999999</v>
      </c>
      <c r="M170">
        <v>0.74</v>
      </c>
      <c r="N170">
        <v>0.1045</v>
      </c>
      <c r="O170">
        <v>1</v>
      </c>
      <c r="P170">
        <v>8</v>
      </c>
      <c r="Q170">
        <v>9</v>
      </c>
      <c r="R170" s="12" t="str">
        <f t="shared" si="10"/>
        <v>Mist/Cloudy</v>
      </c>
      <c r="S170" s="14" t="str">
        <f t="shared" si="11"/>
        <v>Winter</v>
      </c>
      <c r="T170" s="15" t="str">
        <f t="shared" si="12"/>
        <v>Saturday</v>
      </c>
      <c r="U170" t="str">
        <f t="shared" si="13"/>
        <v>January</v>
      </c>
      <c r="V170" s="16" t="str">
        <f t="shared" si="14"/>
        <v>MODERATE</v>
      </c>
    </row>
    <row r="171" spans="1:22" x14ac:dyDescent="0.3">
      <c r="A171">
        <v>170</v>
      </c>
      <c r="B171" s="1">
        <v>40551</v>
      </c>
      <c r="C171">
        <v>1</v>
      </c>
      <c r="D171">
        <v>0</v>
      </c>
      <c r="E171">
        <v>1</v>
      </c>
      <c r="F171">
        <v>8</v>
      </c>
      <c r="G171" t="b">
        <f>IF(COUNTIF(AB$4:AB$20,Append1[[#This Row],[dteday]]) &gt; 0, TRUE, FALSE)</f>
        <v>0</v>
      </c>
      <c r="H171">
        <v>6</v>
      </c>
      <c r="I171">
        <v>3</v>
      </c>
      <c r="J171">
        <v>0.16</v>
      </c>
      <c r="K171">
        <f>Append1[[#This Row],[temp]]*100</f>
        <v>16</v>
      </c>
      <c r="L171">
        <v>0.18179999999999999</v>
      </c>
      <c r="M171">
        <v>0.93</v>
      </c>
      <c r="N171">
        <v>0.1045</v>
      </c>
      <c r="O171">
        <v>0</v>
      </c>
      <c r="P171">
        <v>15</v>
      </c>
      <c r="Q171">
        <v>15</v>
      </c>
      <c r="R171" s="12" t="str">
        <f t="shared" si="10"/>
        <v>Light Rain/Snow</v>
      </c>
      <c r="S171" s="14" t="str">
        <f t="shared" si="11"/>
        <v>Winter</v>
      </c>
      <c r="T171" s="15" t="str">
        <f t="shared" si="12"/>
        <v>Saturday</v>
      </c>
      <c r="U171" t="str">
        <f t="shared" si="13"/>
        <v>January</v>
      </c>
      <c r="V171" s="16" t="str">
        <f t="shared" si="14"/>
        <v>BAD</v>
      </c>
    </row>
    <row r="172" spans="1:22" x14ac:dyDescent="0.3">
      <c r="A172">
        <v>171</v>
      </c>
      <c r="B172" s="1">
        <v>40551</v>
      </c>
      <c r="C172">
        <v>1</v>
      </c>
      <c r="D172">
        <v>0</v>
      </c>
      <c r="E172">
        <v>1</v>
      </c>
      <c r="F172">
        <v>9</v>
      </c>
      <c r="G172" t="b">
        <f>IF(COUNTIF(AB$4:AB$20,Append1[[#This Row],[dteday]]) &gt; 0, TRUE, FALSE)</f>
        <v>0</v>
      </c>
      <c r="H172">
        <v>6</v>
      </c>
      <c r="I172">
        <v>3</v>
      </c>
      <c r="J172">
        <v>0.16</v>
      </c>
      <c r="K172">
        <f>Append1[[#This Row],[temp]]*100</f>
        <v>16</v>
      </c>
      <c r="L172">
        <v>0.18179999999999999</v>
      </c>
      <c r="M172">
        <v>0.93</v>
      </c>
      <c r="N172">
        <v>0.1045</v>
      </c>
      <c r="O172">
        <v>0</v>
      </c>
      <c r="P172">
        <v>20</v>
      </c>
      <c r="Q172">
        <v>20</v>
      </c>
      <c r="R172" s="12" t="str">
        <f t="shared" si="10"/>
        <v>Light Rain/Snow</v>
      </c>
      <c r="S172" s="14" t="str">
        <f t="shared" si="11"/>
        <v>Winter</v>
      </c>
      <c r="T172" s="15" t="str">
        <f t="shared" si="12"/>
        <v>Saturday</v>
      </c>
      <c r="U172" t="str">
        <f t="shared" si="13"/>
        <v>January</v>
      </c>
      <c r="V172" s="16" t="str">
        <f t="shared" si="14"/>
        <v>BAD</v>
      </c>
    </row>
    <row r="173" spans="1:22" x14ac:dyDescent="0.3">
      <c r="A173">
        <v>172</v>
      </c>
      <c r="B173" s="1">
        <v>40551</v>
      </c>
      <c r="C173">
        <v>1</v>
      </c>
      <c r="D173">
        <v>0</v>
      </c>
      <c r="E173">
        <v>1</v>
      </c>
      <c r="F173">
        <v>10</v>
      </c>
      <c r="G173" t="b">
        <f>IF(COUNTIF(AB$4:AB$20,Append1[[#This Row],[dteday]]) &gt; 0, TRUE, FALSE)</f>
        <v>0</v>
      </c>
      <c r="H173">
        <v>6</v>
      </c>
      <c r="I173">
        <v>2</v>
      </c>
      <c r="J173">
        <v>0.18</v>
      </c>
      <c r="K173">
        <f>Append1[[#This Row],[temp]]*100</f>
        <v>18</v>
      </c>
      <c r="L173">
        <v>0.19700000000000001</v>
      </c>
      <c r="M173">
        <v>0.8</v>
      </c>
      <c r="N173">
        <v>0.16420000000000001</v>
      </c>
      <c r="O173">
        <v>5</v>
      </c>
      <c r="P173">
        <v>56</v>
      </c>
      <c r="Q173">
        <v>61</v>
      </c>
      <c r="R173" s="12" t="str">
        <f t="shared" si="10"/>
        <v>Mist/Cloudy</v>
      </c>
      <c r="S173" s="14" t="str">
        <f t="shared" si="11"/>
        <v>Winter</v>
      </c>
      <c r="T173" s="15" t="str">
        <f t="shared" si="12"/>
        <v>Saturday</v>
      </c>
      <c r="U173" t="str">
        <f t="shared" si="13"/>
        <v>January</v>
      </c>
      <c r="V173" s="16" t="str">
        <f t="shared" si="14"/>
        <v>MODERATE</v>
      </c>
    </row>
    <row r="174" spans="1:22" x14ac:dyDescent="0.3">
      <c r="A174">
        <v>173</v>
      </c>
      <c r="B174" s="1">
        <v>40551</v>
      </c>
      <c r="C174">
        <v>1</v>
      </c>
      <c r="D174">
        <v>0</v>
      </c>
      <c r="E174">
        <v>1</v>
      </c>
      <c r="F174">
        <v>11</v>
      </c>
      <c r="G174" t="b">
        <f>IF(COUNTIF(AB$4:AB$20,Append1[[#This Row],[dteday]]) &gt; 0, TRUE, FALSE)</f>
        <v>0</v>
      </c>
      <c r="H174">
        <v>6</v>
      </c>
      <c r="I174">
        <v>2</v>
      </c>
      <c r="J174">
        <v>0.2</v>
      </c>
      <c r="K174">
        <f>Append1[[#This Row],[temp]]*100</f>
        <v>20</v>
      </c>
      <c r="L174">
        <v>0.18179999999999999</v>
      </c>
      <c r="M174">
        <v>0.69</v>
      </c>
      <c r="N174">
        <v>0.3881</v>
      </c>
      <c r="O174">
        <v>2</v>
      </c>
      <c r="P174">
        <v>60</v>
      </c>
      <c r="Q174">
        <v>62</v>
      </c>
      <c r="R174" s="12" t="str">
        <f t="shared" si="10"/>
        <v>Mist/Cloudy</v>
      </c>
      <c r="S174" s="14" t="str">
        <f t="shared" si="11"/>
        <v>Winter</v>
      </c>
      <c r="T174" s="15" t="str">
        <f t="shared" si="12"/>
        <v>Saturday</v>
      </c>
      <c r="U174" t="str">
        <f t="shared" si="13"/>
        <v>January</v>
      </c>
      <c r="V174" s="16" t="str">
        <f t="shared" si="14"/>
        <v>MODERATE</v>
      </c>
    </row>
    <row r="175" spans="1:22" x14ac:dyDescent="0.3">
      <c r="A175">
        <v>174</v>
      </c>
      <c r="B175" s="1">
        <v>40551</v>
      </c>
      <c r="C175">
        <v>1</v>
      </c>
      <c r="D175">
        <v>0</v>
      </c>
      <c r="E175">
        <v>1</v>
      </c>
      <c r="F175">
        <v>12</v>
      </c>
      <c r="G175" t="b">
        <f>IF(COUNTIF(AB$4:AB$20,Append1[[#This Row],[dteday]]) &gt; 0, TRUE, FALSE)</f>
        <v>0</v>
      </c>
      <c r="H175">
        <v>6</v>
      </c>
      <c r="I175">
        <v>2</v>
      </c>
      <c r="J175">
        <v>0.2</v>
      </c>
      <c r="K175">
        <f>Append1[[#This Row],[temp]]*100</f>
        <v>20</v>
      </c>
      <c r="L175">
        <v>0.18179999999999999</v>
      </c>
      <c r="M175">
        <v>0.59</v>
      </c>
      <c r="N175">
        <v>0.35820000000000002</v>
      </c>
      <c r="O175">
        <v>8</v>
      </c>
      <c r="P175">
        <v>90</v>
      </c>
      <c r="Q175">
        <v>98</v>
      </c>
      <c r="R175" s="12" t="str">
        <f t="shared" si="10"/>
        <v>Mist/Cloudy</v>
      </c>
      <c r="S175" s="14" t="str">
        <f t="shared" si="11"/>
        <v>Winter</v>
      </c>
      <c r="T175" s="15" t="str">
        <f t="shared" si="12"/>
        <v>Saturday</v>
      </c>
      <c r="U175" t="str">
        <f t="shared" si="13"/>
        <v>January</v>
      </c>
      <c r="V175" s="16" t="str">
        <f t="shared" si="14"/>
        <v>MODERATE</v>
      </c>
    </row>
    <row r="176" spans="1:22" x14ac:dyDescent="0.3">
      <c r="A176">
        <v>175</v>
      </c>
      <c r="B176" s="1">
        <v>40551</v>
      </c>
      <c r="C176">
        <v>1</v>
      </c>
      <c r="D176">
        <v>0</v>
      </c>
      <c r="E176">
        <v>1</v>
      </c>
      <c r="F176">
        <v>13</v>
      </c>
      <c r="G176" t="b">
        <f>IF(COUNTIF(AB$4:AB$20,Append1[[#This Row],[dteday]]) &gt; 0, TRUE, FALSE)</f>
        <v>0</v>
      </c>
      <c r="H176">
        <v>6</v>
      </c>
      <c r="I176">
        <v>1</v>
      </c>
      <c r="J176">
        <v>0.2</v>
      </c>
      <c r="K176">
        <f>Append1[[#This Row],[temp]]*100</f>
        <v>20</v>
      </c>
      <c r="L176">
        <v>0.18179999999999999</v>
      </c>
      <c r="M176">
        <v>0.44</v>
      </c>
      <c r="N176">
        <v>0.32840000000000003</v>
      </c>
      <c r="O176">
        <v>7</v>
      </c>
      <c r="P176">
        <v>95</v>
      </c>
      <c r="Q176">
        <v>102</v>
      </c>
      <c r="R176" s="12" t="str">
        <f t="shared" si="10"/>
        <v>Clear/Few Clouds</v>
      </c>
      <c r="S176" s="14" t="str">
        <f t="shared" si="11"/>
        <v>Winter</v>
      </c>
      <c r="T176" s="15" t="str">
        <f t="shared" si="12"/>
        <v>Saturday</v>
      </c>
      <c r="U176" t="str">
        <f t="shared" si="13"/>
        <v>January</v>
      </c>
      <c r="V176" s="16" t="str">
        <f t="shared" si="14"/>
        <v>GOOD</v>
      </c>
    </row>
    <row r="177" spans="1:22" x14ac:dyDescent="0.3">
      <c r="A177">
        <v>176</v>
      </c>
      <c r="B177" s="1">
        <v>40551</v>
      </c>
      <c r="C177">
        <v>1</v>
      </c>
      <c r="D177">
        <v>0</v>
      </c>
      <c r="E177">
        <v>1</v>
      </c>
      <c r="F177">
        <v>14</v>
      </c>
      <c r="G177" t="b">
        <f>IF(COUNTIF(AB$4:AB$20,Append1[[#This Row],[dteday]]) &gt; 0, TRUE, FALSE)</f>
        <v>0</v>
      </c>
      <c r="H177">
        <v>6</v>
      </c>
      <c r="I177">
        <v>1</v>
      </c>
      <c r="J177">
        <v>0.2</v>
      </c>
      <c r="K177">
        <f>Append1[[#This Row],[temp]]*100</f>
        <v>20</v>
      </c>
      <c r="L177">
        <v>0.16669999999999999</v>
      </c>
      <c r="M177">
        <v>0.32</v>
      </c>
      <c r="N177">
        <v>0.49249999999999999</v>
      </c>
      <c r="O177">
        <v>12</v>
      </c>
      <c r="P177">
        <v>83</v>
      </c>
      <c r="Q177">
        <v>95</v>
      </c>
      <c r="R177" s="12" t="str">
        <f t="shared" si="10"/>
        <v>Clear/Few Clouds</v>
      </c>
      <c r="S177" s="14" t="str">
        <f t="shared" si="11"/>
        <v>Winter</v>
      </c>
      <c r="T177" s="15" t="str">
        <f t="shared" si="12"/>
        <v>Saturday</v>
      </c>
      <c r="U177" t="str">
        <f t="shared" si="13"/>
        <v>January</v>
      </c>
      <c r="V177" s="16" t="str">
        <f t="shared" si="14"/>
        <v>GOOD</v>
      </c>
    </row>
    <row r="178" spans="1:22" x14ac:dyDescent="0.3">
      <c r="A178">
        <v>177</v>
      </c>
      <c r="B178" s="1">
        <v>40551</v>
      </c>
      <c r="C178">
        <v>1</v>
      </c>
      <c r="D178">
        <v>0</v>
      </c>
      <c r="E178">
        <v>1</v>
      </c>
      <c r="F178">
        <v>15</v>
      </c>
      <c r="G178" t="b">
        <f>IF(COUNTIF(AB$4:AB$20,Append1[[#This Row],[dteday]]) &gt; 0, TRUE, FALSE)</f>
        <v>0</v>
      </c>
      <c r="H178">
        <v>6</v>
      </c>
      <c r="I178">
        <v>1</v>
      </c>
      <c r="J178">
        <v>0.2</v>
      </c>
      <c r="K178">
        <f>Append1[[#This Row],[temp]]*100</f>
        <v>20</v>
      </c>
      <c r="L178">
        <v>0.16669999999999999</v>
      </c>
      <c r="M178">
        <v>0.32</v>
      </c>
      <c r="N178">
        <v>0.44779999999999998</v>
      </c>
      <c r="O178">
        <v>5</v>
      </c>
      <c r="P178">
        <v>69</v>
      </c>
      <c r="Q178">
        <v>74</v>
      </c>
      <c r="R178" s="12" t="str">
        <f t="shared" si="10"/>
        <v>Clear/Few Clouds</v>
      </c>
      <c r="S178" s="14" t="str">
        <f t="shared" si="11"/>
        <v>Winter</v>
      </c>
      <c r="T178" s="15" t="str">
        <f t="shared" si="12"/>
        <v>Saturday</v>
      </c>
      <c r="U178" t="str">
        <f t="shared" si="13"/>
        <v>January</v>
      </c>
      <c r="V178" s="16" t="str">
        <f t="shared" si="14"/>
        <v>GOOD</v>
      </c>
    </row>
    <row r="179" spans="1:22" x14ac:dyDescent="0.3">
      <c r="A179">
        <v>178</v>
      </c>
      <c r="B179" s="1">
        <v>40551</v>
      </c>
      <c r="C179">
        <v>1</v>
      </c>
      <c r="D179">
        <v>0</v>
      </c>
      <c r="E179">
        <v>1</v>
      </c>
      <c r="F179">
        <v>16</v>
      </c>
      <c r="G179" t="b">
        <f>IF(COUNTIF(AB$4:AB$20,Append1[[#This Row],[dteday]]) &gt; 0, TRUE, FALSE)</f>
        <v>0</v>
      </c>
      <c r="H179">
        <v>6</v>
      </c>
      <c r="I179">
        <v>1</v>
      </c>
      <c r="J179">
        <v>0.18</v>
      </c>
      <c r="K179">
        <f>Append1[[#This Row],[temp]]*100</f>
        <v>18</v>
      </c>
      <c r="L179">
        <v>0.13639999999999999</v>
      </c>
      <c r="M179">
        <v>0.28999999999999998</v>
      </c>
      <c r="N179">
        <v>0.44779999999999998</v>
      </c>
      <c r="O179">
        <v>8</v>
      </c>
      <c r="P179">
        <v>68</v>
      </c>
      <c r="Q179">
        <v>76</v>
      </c>
      <c r="R179" s="12" t="str">
        <f t="shared" si="10"/>
        <v>Clear/Few Clouds</v>
      </c>
      <c r="S179" s="14" t="str">
        <f t="shared" si="11"/>
        <v>Winter</v>
      </c>
      <c r="T179" s="15" t="str">
        <f t="shared" si="12"/>
        <v>Saturday</v>
      </c>
      <c r="U179" t="str">
        <f t="shared" si="13"/>
        <v>January</v>
      </c>
      <c r="V179" s="16" t="str">
        <f t="shared" si="14"/>
        <v>GOOD</v>
      </c>
    </row>
    <row r="180" spans="1:22" x14ac:dyDescent="0.3">
      <c r="A180">
        <v>179</v>
      </c>
      <c r="B180" s="1">
        <v>40551</v>
      </c>
      <c r="C180">
        <v>1</v>
      </c>
      <c r="D180">
        <v>0</v>
      </c>
      <c r="E180">
        <v>1</v>
      </c>
      <c r="F180">
        <v>17</v>
      </c>
      <c r="G180" t="b">
        <f>IF(COUNTIF(AB$4:AB$20,Append1[[#This Row],[dteday]]) &gt; 0, TRUE, FALSE)</f>
        <v>0</v>
      </c>
      <c r="H180">
        <v>6</v>
      </c>
      <c r="I180">
        <v>1</v>
      </c>
      <c r="J180">
        <v>0.16</v>
      </c>
      <c r="K180">
        <f>Append1[[#This Row],[temp]]*100</f>
        <v>16</v>
      </c>
      <c r="L180">
        <v>0.1212</v>
      </c>
      <c r="M180">
        <v>0.37</v>
      </c>
      <c r="N180">
        <v>0.55220000000000002</v>
      </c>
      <c r="O180">
        <v>5</v>
      </c>
      <c r="P180">
        <v>64</v>
      </c>
      <c r="Q180">
        <v>69</v>
      </c>
      <c r="R180" s="12" t="str">
        <f t="shared" si="10"/>
        <v>Clear/Few Clouds</v>
      </c>
      <c r="S180" s="14" t="str">
        <f t="shared" si="11"/>
        <v>Winter</v>
      </c>
      <c r="T180" s="15" t="str">
        <f t="shared" si="12"/>
        <v>Saturday</v>
      </c>
      <c r="U180" t="str">
        <f t="shared" si="13"/>
        <v>January</v>
      </c>
      <c r="V180" s="16" t="str">
        <f t="shared" si="14"/>
        <v>GOOD</v>
      </c>
    </row>
    <row r="181" spans="1:22" x14ac:dyDescent="0.3">
      <c r="A181">
        <v>180</v>
      </c>
      <c r="B181" s="1">
        <v>40551</v>
      </c>
      <c r="C181">
        <v>1</v>
      </c>
      <c r="D181">
        <v>0</v>
      </c>
      <c r="E181">
        <v>1</v>
      </c>
      <c r="F181">
        <v>18</v>
      </c>
      <c r="G181" t="b">
        <f>IF(COUNTIF(AB$4:AB$20,Append1[[#This Row],[dteday]]) &gt; 0, TRUE, FALSE)</f>
        <v>0</v>
      </c>
      <c r="H181">
        <v>6</v>
      </c>
      <c r="I181">
        <v>1</v>
      </c>
      <c r="J181">
        <v>0.14000000000000001</v>
      </c>
      <c r="K181">
        <f>Append1[[#This Row],[temp]]*100</f>
        <v>14.000000000000002</v>
      </c>
      <c r="L181">
        <v>0.1212</v>
      </c>
      <c r="M181">
        <v>0.39</v>
      </c>
      <c r="N181">
        <v>0.29849999999999999</v>
      </c>
      <c r="O181">
        <v>3</v>
      </c>
      <c r="P181">
        <v>52</v>
      </c>
      <c r="Q181">
        <v>55</v>
      </c>
      <c r="R181" s="12" t="str">
        <f t="shared" si="10"/>
        <v>Clear/Few Clouds</v>
      </c>
      <c r="S181" s="14" t="str">
        <f t="shared" si="11"/>
        <v>Winter</v>
      </c>
      <c r="T181" s="15" t="str">
        <f t="shared" si="12"/>
        <v>Saturday</v>
      </c>
      <c r="U181" t="str">
        <f t="shared" si="13"/>
        <v>January</v>
      </c>
      <c r="V181" s="16" t="str">
        <f t="shared" si="14"/>
        <v>GOOD</v>
      </c>
    </row>
    <row r="182" spans="1:22" x14ac:dyDescent="0.3">
      <c r="A182">
        <v>181</v>
      </c>
      <c r="B182" s="1">
        <v>40551</v>
      </c>
      <c r="C182">
        <v>1</v>
      </c>
      <c r="D182">
        <v>0</v>
      </c>
      <c r="E182">
        <v>1</v>
      </c>
      <c r="F182">
        <v>19</v>
      </c>
      <c r="G182" t="b">
        <f>IF(COUNTIF(AB$4:AB$20,Append1[[#This Row],[dteday]]) &gt; 0, TRUE, FALSE)</f>
        <v>0</v>
      </c>
      <c r="H182">
        <v>6</v>
      </c>
      <c r="I182">
        <v>1</v>
      </c>
      <c r="J182">
        <v>0.14000000000000001</v>
      </c>
      <c r="K182">
        <f>Append1[[#This Row],[temp]]*100</f>
        <v>14.000000000000002</v>
      </c>
      <c r="L182">
        <v>0.1212</v>
      </c>
      <c r="M182">
        <v>0.36</v>
      </c>
      <c r="N182">
        <v>0.25369999999999998</v>
      </c>
      <c r="O182">
        <v>4</v>
      </c>
      <c r="P182">
        <v>26</v>
      </c>
      <c r="Q182">
        <v>30</v>
      </c>
      <c r="R182" s="12" t="str">
        <f t="shared" si="10"/>
        <v>Clear/Few Clouds</v>
      </c>
      <c r="S182" s="14" t="str">
        <f t="shared" si="11"/>
        <v>Winter</v>
      </c>
      <c r="T182" s="15" t="str">
        <f t="shared" si="12"/>
        <v>Saturday</v>
      </c>
      <c r="U182" t="str">
        <f t="shared" si="13"/>
        <v>January</v>
      </c>
      <c r="V182" s="16" t="str">
        <f t="shared" si="14"/>
        <v>GOOD</v>
      </c>
    </row>
    <row r="183" spans="1:22" x14ac:dyDescent="0.3">
      <c r="A183">
        <v>182</v>
      </c>
      <c r="B183" s="1">
        <v>40551</v>
      </c>
      <c r="C183">
        <v>1</v>
      </c>
      <c r="D183">
        <v>0</v>
      </c>
      <c r="E183">
        <v>1</v>
      </c>
      <c r="F183">
        <v>20</v>
      </c>
      <c r="G183" t="b">
        <f>IF(COUNTIF(AB$4:AB$20,Append1[[#This Row],[dteday]]) &gt; 0, TRUE, FALSE)</f>
        <v>0</v>
      </c>
      <c r="H183">
        <v>6</v>
      </c>
      <c r="I183">
        <v>1</v>
      </c>
      <c r="J183">
        <v>0.12</v>
      </c>
      <c r="K183">
        <f>Append1[[#This Row],[temp]]*100</f>
        <v>12</v>
      </c>
      <c r="L183">
        <v>0.1212</v>
      </c>
      <c r="M183">
        <v>0.36</v>
      </c>
      <c r="N183">
        <v>0.25369999999999998</v>
      </c>
      <c r="O183">
        <v>0</v>
      </c>
      <c r="P183">
        <v>28</v>
      </c>
      <c r="Q183">
        <v>28</v>
      </c>
      <c r="R183" s="12" t="str">
        <f t="shared" si="10"/>
        <v>Clear/Few Clouds</v>
      </c>
      <c r="S183" s="14" t="str">
        <f t="shared" si="11"/>
        <v>Winter</v>
      </c>
      <c r="T183" s="15" t="str">
        <f t="shared" si="12"/>
        <v>Saturday</v>
      </c>
      <c r="U183" t="str">
        <f t="shared" si="13"/>
        <v>January</v>
      </c>
      <c r="V183" s="16" t="str">
        <f t="shared" si="14"/>
        <v>GOOD</v>
      </c>
    </row>
    <row r="184" spans="1:22" x14ac:dyDescent="0.3">
      <c r="A184">
        <v>183</v>
      </c>
      <c r="B184" s="1">
        <v>40551</v>
      </c>
      <c r="C184">
        <v>1</v>
      </c>
      <c r="D184">
        <v>0</v>
      </c>
      <c r="E184">
        <v>1</v>
      </c>
      <c r="F184">
        <v>21</v>
      </c>
      <c r="G184" t="b">
        <f>IF(COUNTIF(AB$4:AB$20,Append1[[#This Row],[dteday]]) &gt; 0, TRUE, FALSE)</f>
        <v>0</v>
      </c>
      <c r="H184">
        <v>6</v>
      </c>
      <c r="I184">
        <v>1</v>
      </c>
      <c r="J184">
        <v>0.12</v>
      </c>
      <c r="K184">
        <f>Append1[[#This Row],[temp]]*100</f>
        <v>12</v>
      </c>
      <c r="L184">
        <v>0.1061</v>
      </c>
      <c r="M184">
        <v>0.39</v>
      </c>
      <c r="N184">
        <v>0.35820000000000002</v>
      </c>
      <c r="O184">
        <v>2</v>
      </c>
      <c r="P184">
        <v>35</v>
      </c>
      <c r="Q184">
        <v>37</v>
      </c>
      <c r="R184" s="12" t="str">
        <f t="shared" si="10"/>
        <v>Clear/Few Clouds</v>
      </c>
      <c r="S184" s="14" t="str">
        <f t="shared" si="11"/>
        <v>Winter</v>
      </c>
      <c r="T184" s="15" t="str">
        <f t="shared" si="12"/>
        <v>Saturday</v>
      </c>
      <c r="U184" t="str">
        <f t="shared" si="13"/>
        <v>January</v>
      </c>
      <c r="V184" s="16" t="str">
        <f t="shared" si="14"/>
        <v>GOOD</v>
      </c>
    </row>
    <row r="185" spans="1:22" x14ac:dyDescent="0.3">
      <c r="A185">
        <v>184</v>
      </c>
      <c r="B185" s="1">
        <v>40551</v>
      </c>
      <c r="C185">
        <v>1</v>
      </c>
      <c r="D185">
        <v>0</v>
      </c>
      <c r="E185">
        <v>1</v>
      </c>
      <c r="F185">
        <v>22</v>
      </c>
      <c r="G185" t="b">
        <f>IF(COUNTIF(AB$4:AB$20,Append1[[#This Row],[dteday]]) &gt; 0, TRUE, FALSE)</f>
        <v>0</v>
      </c>
      <c r="H185">
        <v>6</v>
      </c>
      <c r="I185">
        <v>1</v>
      </c>
      <c r="J185">
        <v>0.12</v>
      </c>
      <c r="K185">
        <f>Append1[[#This Row],[temp]]*100</f>
        <v>12</v>
      </c>
      <c r="L185">
        <v>0.1061</v>
      </c>
      <c r="M185">
        <v>0.36</v>
      </c>
      <c r="N185">
        <v>0.3881</v>
      </c>
      <c r="O185">
        <v>1</v>
      </c>
      <c r="P185">
        <v>33</v>
      </c>
      <c r="Q185">
        <v>34</v>
      </c>
      <c r="R185" s="12" t="str">
        <f t="shared" si="10"/>
        <v>Clear/Few Clouds</v>
      </c>
      <c r="S185" s="14" t="str">
        <f t="shared" si="11"/>
        <v>Winter</v>
      </c>
      <c r="T185" s="15" t="str">
        <f t="shared" si="12"/>
        <v>Saturday</v>
      </c>
      <c r="U185" t="str">
        <f t="shared" si="13"/>
        <v>January</v>
      </c>
      <c r="V185" s="16" t="str">
        <f t="shared" si="14"/>
        <v>GOOD</v>
      </c>
    </row>
    <row r="186" spans="1:22" x14ac:dyDescent="0.3">
      <c r="A186">
        <v>185</v>
      </c>
      <c r="B186" s="1">
        <v>40551</v>
      </c>
      <c r="C186">
        <v>1</v>
      </c>
      <c r="D186">
        <v>0</v>
      </c>
      <c r="E186">
        <v>1</v>
      </c>
      <c r="F186">
        <v>23</v>
      </c>
      <c r="G186" t="b">
        <f>IF(COUNTIF(AB$4:AB$20,Append1[[#This Row],[dteday]]) &gt; 0, TRUE, FALSE)</f>
        <v>0</v>
      </c>
      <c r="H186">
        <v>6</v>
      </c>
      <c r="I186">
        <v>1</v>
      </c>
      <c r="J186">
        <v>0.1</v>
      </c>
      <c r="K186">
        <f>Append1[[#This Row],[temp]]*100</f>
        <v>10</v>
      </c>
      <c r="L186">
        <v>6.0600000000000001E-2</v>
      </c>
      <c r="M186">
        <v>0.39</v>
      </c>
      <c r="N186">
        <v>0.44779999999999998</v>
      </c>
      <c r="O186">
        <v>0</v>
      </c>
      <c r="P186">
        <v>22</v>
      </c>
      <c r="Q186">
        <v>22</v>
      </c>
      <c r="R186" s="12" t="str">
        <f t="shared" si="10"/>
        <v>Clear/Few Clouds</v>
      </c>
      <c r="S186" s="14" t="str">
        <f t="shared" si="11"/>
        <v>Winter</v>
      </c>
      <c r="T186" s="15" t="str">
        <f t="shared" si="12"/>
        <v>Saturday</v>
      </c>
      <c r="U186" t="str">
        <f t="shared" si="13"/>
        <v>January</v>
      </c>
      <c r="V186" s="16" t="str">
        <f t="shared" si="14"/>
        <v>GOOD</v>
      </c>
    </row>
    <row r="187" spans="1:22" x14ac:dyDescent="0.3">
      <c r="A187">
        <v>186</v>
      </c>
      <c r="B187" s="1">
        <v>40552</v>
      </c>
      <c r="C187">
        <v>1</v>
      </c>
      <c r="D187">
        <v>0</v>
      </c>
      <c r="E187">
        <v>1</v>
      </c>
      <c r="F187">
        <v>0</v>
      </c>
      <c r="G187" t="b">
        <f>IF(COUNTIF(AB$4:AB$20,Append1[[#This Row],[dteday]]) &gt; 0, TRUE, FALSE)</f>
        <v>0</v>
      </c>
      <c r="H187">
        <v>0</v>
      </c>
      <c r="I187">
        <v>1</v>
      </c>
      <c r="J187">
        <v>0.1</v>
      </c>
      <c r="K187">
        <f>Append1[[#This Row],[temp]]*100</f>
        <v>10</v>
      </c>
      <c r="L187">
        <v>7.5800000000000006E-2</v>
      </c>
      <c r="M187">
        <v>0.42</v>
      </c>
      <c r="N187">
        <v>0.3881</v>
      </c>
      <c r="O187">
        <v>1</v>
      </c>
      <c r="P187">
        <v>24</v>
      </c>
      <c r="Q187">
        <v>25</v>
      </c>
      <c r="R187" s="12" t="str">
        <f t="shared" si="10"/>
        <v>Clear/Few Clouds</v>
      </c>
      <c r="S187" s="14" t="str">
        <f t="shared" si="11"/>
        <v>Winter</v>
      </c>
      <c r="T187" s="15" t="str">
        <f t="shared" si="12"/>
        <v>Sunday</v>
      </c>
      <c r="U187" t="str">
        <f t="shared" si="13"/>
        <v>January</v>
      </c>
      <c r="V187" s="16" t="str">
        <f t="shared" si="14"/>
        <v>GOOD</v>
      </c>
    </row>
    <row r="188" spans="1:22" x14ac:dyDescent="0.3">
      <c r="A188">
        <v>187</v>
      </c>
      <c r="B188" s="1">
        <v>40552</v>
      </c>
      <c r="C188">
        <v>1</v>
      </c>
      <c r="D188">
        <v>0</v>
      </c>
      <c r="E188">
        <v>1</v>
      </c>
      <c r="F188">
        <v>1</v>
      </c>
      <c r="G188" t="b">
        <f>IF(COUNTIF(AB$4:AB$20,Append1[[#This Row],[dteday]]) &gt; 0, TRUE, FALSE)</f>
        <v>0</v>
      </c>
      <c r="H188">
        <v>0</v>
      </c>
      <c r="I188">
        <v>1</v>
      </c>
      <c r="J188">
        <v>0.1</v>
      </c>
      <c r="K188">
        <f>Append1[[#This Row],[temp]]*100</f>
        <v>10</v>
      </c>
      <c r="L188">
        <v>6.0600000000000001E-2</v>
      </c>
      <c r="M188">
        <v>0.42</v>
      </c>
      <c r="N188">
        <v>0.4627</v>
      </c>
      <c r="O188">
        <v>0</v>
      </c>
      <c r="P188">
        <v>12</v>
      </c>
      <c r="Q188">
        <v>12</v>
      </c>
      <c r="R188" s="12" t="str">
        <f t="shared" si="10"/>
        <v>Clear/Few Clouds</v>
      </c>
      <c r="S188" s="14" t="str">
        <f t="shared" si="11"/>
        <v>Winter</v>
      </c>
      <c r="T188" s="15" t="str">
        <f t="shared" si="12"/>
        <v>Sunday</v>
      </c>
      <c r="U188" t="str">
        <f t="shared" si="13"/>
        <v>January</v>
      </c>
      <c r="V188" s="16" t="str">
        <f t="shared" si="14"/>
        <v>GOOD</v>
      </c>
    </row>
    <row r="189" spans="1:22" x14ac:dyDescent="0.3">
      <c r="A189">
        <v>188</v>
      </c>
      <c r="B189" s="1">
        <v>40552</v>
      </c>
      <c r="C189">
        <v>1</v>
      </c>
      <c r="D189">
        <v>0</v>
      </c>
      <c r="E189">
        <v>1</v>
      </c>
      <c r="F189">
        <v>2</v>
      </c>
      <c r="G189" t="b">
        <f>IF(COUNTIF(AB$4:AB$20,Append1[[#This Row],[dteday]]) &gt; 0, TRUE, FALSE)</f>
        <v>0</v>
      </c>
      <c r="H189">
        <v>0</v>
      </c>
      <c r="I189">
        <v>1</v>
      </c>
      <c r="J189">
        <v>0.1</v>
      </c>
      <c r="K189">
        <f>Append1[[#This Row],[temp]]*100</f>
        <v>10</v>
      </c>
      <c r="L189">
        <v>6.0600000000000001E-2</v>
      </c>
      <c r="M189">
        <v>0.46</v>
      </c>
      <c r="N189">
        <v>0.4627</v>
      </c>
      <c r="O189">
        <v>0</v>
      </c>
      <c r="P189">
        <v>11</v>
      </c>
      <c r="Q189">
        <v>11</v>
      </c>
      <c r="R189" s="12" t="str">
        <f t="shared" si="10"/>
        <v>Clear/Few Clouds</v>
      </c>
      <c r="S189" s="14" t="str">
        <f t="shared" si="11"/>
        <v>Winter</v>
      </c>
      <c r="T189" s="15" t="str">
        <f t="shared" si="12"/>
        <v>Sunday</v>
      </c>
      <c r="U189" t="str">
        <f t="shared" si="13"/>
        <v>January</v>
      </c>
      <c r="V189" s="16" t="str">
        <f t="shared" si="14"/>
        <v>GOOD</v>
      </c>
    </row>
    <row r="190" spans="1:22" x14ac:dyDescent="0.3">
      <c r="A190">
        <v>189</v>
      </c>
      <c r="B190" s="1">
        <v>40552</v>
      </c>
      <c r="C190">
        <v>1</v>
      </c>
      <c r="D190">
        <v>0</v>
      </c>
      <c r="E190">
        <v>1</v>
      </c>
      <c r="F190">
        <v>3</v>
      </c>
      <c r="G190" t="b">
        <f>IF(COUNTIF(AB$4:AB$20,Append1[[#This Row],[dteday]]) &gt; 0, TRUE, FALSE)</f>
        <v>0</v>
      </c>
      <c r="H190">
        <v>0</v>
      </c>
      <c r="I190">
        <v>1</v>
      </c>
      <c r="J190">
        <v>0.1</v>
      </c>
      <c r="K190">
        <f>Append1[[#This Row],[temp]]*100</f>
        <v>10</v>
      </c>
      <c r="L190">
        <v>7.5800000000000006E-2</v>
      </c>
      <c r="M190">
        <v>0.46</v>
      </c>
      <c r="N190">
        <v>0.41789999999999999</v>
      </c>
      <c r="O190">
        <v>0</v>
      </c>
      <c r="P190">
        <v>4</v>
      </c>
      <c r="Q190">
        <v>4</v>
      </c>
      <c r="R190" s="12" t="str">
        <f t="shared" si="10"/>
        <v>Clear/Few Clouds</v>
      </c>
      <c r="S190" s="14" t="str">
        <f t="shared" si="11"/>
        <v>Winter</v>
      </c>
      <c r="T190" s="15" t="str">
        <f t="shared" si="12"/>
        <v>Sunday</v>
      </c>
      <c r="U190" t="str">
        <f t="shared" si="13"/>
        <v>January</v>
      </c>
      <c r="V190" s="16" t="str">
        <f t="shared" si="14"/>
        <v>GOOD</v>
      </c>
    </row>
    <row r="191" spans="1:22" x14ac:dyDescent="0.3">
      <c r="A191">
        <v>190</v>
      </c>
      <c r="B191" s="1">
        <v>40552</v>
      </c>
      <c r="C191">
        <v>1</v>
      </c>
      <c r="D191">
        <v>0</v>
      </c>
      <c r="E191">
        <v>1</v>
      </c>
      <c r="F191">
        <v>4</v>
      </c>
      <c r="G191" t="b">
        <f>IF(COUNTIF(AB$4:AB$20,Append1[[#This Row],[dteday]]) &gt; 0, TRUE, FALSE)</f>
        <v>0</v>
      </c>
      <c r="H191">
        <v>0</v>
      </c>
      <c r="I191">
        <v>1</v>
      </c>
      <c r="J191">
        <v>0.08</v>
      </c>
      <c r="K191">
        <f>Append1[[#This Row],[temp]]*100</f>
        <v>8</v>
      </c>
      <c r="L191">
        <v>9.0899999999999995E-2</v>
      </c>
      <c r="M191">
        <v>0.53</v>
      </c>
      <c r="N191">
        <v>0.19400000000000001</v>
      </c>
      <c r="O191">
        <v>0</v>
      </c>
      <c r="P191">
        <v>1</v>
      </c>
      <c r="Q191">
        <v>1</v>
      </c>
      <c r="R191" s="12" t="str">
        <f t="shared" si="10"/>
        <v>Clear/Few Clouds</v>
      </c>
      <c r="S191" s="14" t="str">
        <f t="shared" si="11"/>
        <v>Winter</v>
      </c>
      <c r="T191" s="15" t="str">
        <f t="shared" si="12"/>
        <v>Sunday</v>
      </c>
      <c r="U191" t="str">
        <f t="shared" si="13"/>
        <v>January</v>
      </c>
      <c r="V191" s="16" t="str">
        <f t="shared" si="14"/>
        <v>GOOD</v>
      </c>
    </row>
    <row r="192" spans="1:22" x14ac:dyDescent="0.3">
      <c r="A192">
        <v>191</v>
      </c>
      <c r="B192" s="1">
        <v>40552</v>
      </c>
      <c r="C192">
        <v>1</v>
      </c>
      <c r="D192">
        <v>0</v>
      </c>
      <c r="E192">
        <v>1</v>
      </c>
      <c r="F192">
        <v>5</v>
      </c>
      <c r="G192" t="b">
        <f>IF(COUNTIF(AB$4:AB$20,Append1[[#This Row],[dteday]]) &gt; 0, TRUE, FALSE)</f>
        <v>0</v>
      </c>
      <c r="H192">
        <v>0</v>
      </c>
      <c r="I192">
        <v>1</v>
      </c>
      <c r="J192">
        <v>0.08</v>
      </c>
      <c r="K192">
        <f>Append1[[#This Row],[temp]]*100</f>
        <v>8</v>
      </c>
      <c r="L192">
        <v>9.0899999999999995E-2</v>
      </c>
      <c r="M192">
        <v>0.53</v>
      </c>
      <c r="N192">
        <v>0.19400000000000001</v>
      </c>
      <c r="O192">
        <v>0</v>
      </c>
      <c r="P192">
        <v>1</v>
      </c>
      <c r="Q192">
        <v>1</v>
      </c>
      <c r="R192" s="12" t="str">
        <f t="shared" si="10"/>
        <v>Clear/Few Clouds</v>
      </c>
      <c r="S192" s="14" t="str">
        <f t="shared" si="11"/>
        <v>Winter</v>
      </c>
      <c r="T192" s="15" t="str">
        <f t="shared" si="12"/>
        <v>Sunday</v>
      </c>
      <c r="U192" t="str">
        <f t="shared" si="13"/>
        <v>January</v>
      </c>
      <c r="V192" s="16" t="str">
        <f t="shared" si="14"/>
        <v>GOOD</v>
      </c>
    </row>
    <row r="193" spans="1:22" x14ac:dyDescent="0.3">
      <c r="A193">
        <v>192</v>
      </c>
      <c r="B193" s="1">
        <v>40552</v>
      </c>
      <c r="C193">
        <v>1</v>
      </c>
      <c r="D193">
        <v>0</v>
      </c>
      <c r="E193">
        <v>1</v>
      </c>
      <c r="F193">
        <v>6</v>
      </c>
      <c r="G193" t="b">
        <f>IF(COUNTIF(AB$4:AB$20,Append1[[#This Row],[dteday]]) &gt; 0, TRUE, FALSE)</f>
        <v>0</v>
      </c>
      <c r="H193">
        <v>0</v>
      </c>
      <c r="I193">
        <v>1</v>
      </c>
      <c r="J193">
        <v>0.1</v>
      </c>
      <c r="K193">
        <f>Append1[[#This Row],[temp]]*100</f>
        <v>10</v>
      </c>
      <c r="L193">
        <v>9.0899999999999995E-2</v>
      </c>
      <c r="M193">
        <v>0.49</v>
      </c>
      <c r="N193">
        <v>0.28360000000000002</v>
      </c>
      <c r="O193">
        <v>0</v>
      </c>
      <c r="P193">
        <v>1</v>
      </c>
      <c r="Q193">
        <v>1</v>
      </c>
      <c r="R193" s="12" t="str">
        <f t="shared" si="10"/>
        <v>Clear/Few Clouds</v>
      </c>
      <c r="S193" s="14" t="str">
        <f t="shared" si="11"/>
        <v>Winter</v>
      </c>
      <c r="T193" s="15" t="str">
        <f t="shared" si="12"/>
        <v>Sunday</v>
      </c>
      <c r="U193" t="str">
        <f t="shared" si="13"/>
        <v>January</v>
      </c>
      <c r="V193" s="16" t="str">
        <f t="shared" si="14"/>
        <v>GOOD</v>
      </c>
    </row>
    <row r="194" spans="1:22" x14ac:dyDescent="0.3">
      <c r="A194">
        <v>193</v>
      </c>
      <c r="B194" s="1">
        <v>40552</v>
      </c>
      <c r="C194">
        <v>1</v>
      </c>
      <c r="D194">
        <v>0</v>
      </c>
      <c r="E194">
        <v>1</v>
      </c>
      <c r="F194">
        <v>7</v>
      </c>
      <c r="G194" t="b">
        <f>IF(COUNTIF(AB$4:AB$20,Append1[[#This Row],[dteday]]) &gt; 0, TRUE, FALSE)</f>
        <v>0</v>
      </c>
      <c r="H194">
        <v>0</v>
      </c>
      <c r="I194">
        <v>1</v>
      </c>
      <c r="J194">
        <v>0.08</v>
      </c>
      <c r="K194">
        <f>Append1[[#This Row],[temp]]*100</f>
        <v>8</v>
      </c>
      <c r="L194">
        <v>9.0899999999999995E-2</v>
      </c>
      <c r="M194">
        <v>0.53</v>
      </c>
      <c r="N194">
        <v>0.19400000000000001</v>
      </c>
      <c r="O194">
        <v>1</v>
      </c>
      <c r="P194">
        <v>5</v>
      </c>
      <c r="Q194">
        <v>6</v>
      </c>
      <c r="R194" s="12" t="str">
        <f t="shared" ref="R194:R257" si="15">_xlfn.IFS(I194=1,"Clear/Few Clouds",I194=2,"Mist/Cloudy",I194=3,"Light Rain/Snow",I194=4,"Heavy Rain/Snow")</f>
        <v>Clear/Few Clouds</v>
      </c>
      <c r="S194" s="14" t="str">
        <f t="shared" ref="S194:S257" si="16">_xlfn.IFS(C194=1,"Winter",C194=2,"Spring",C194=3,"Summer",C194=4,"Autumn")</f>
        <v>Winter</v>
      </c>
      <c r="T194" s="15" t="str">
        <f t="shared" ref="T194:T257" si="17">TEXT(B194,"dddd")</f>
        <v>Sunday</v>
      </c>
      <c r="U194" t="str">
        <f t="shared" ref="U194:U257" si="18">TEXT(B194,"mmmm")</f>
        <v>January</v>
      </c>
      <c r="V194" s="16" t="str">
        <f t="shared" ref="V194:V257" si="19">_xlfn.IFS(I194=1,"GOOD",I194=2,"MODERATE",I194=3,"BAD",I194=4,"WORSE")</f>
        <v>GOOD</v>
      </c>
    </row>
    <row r="195" spans="1:22" x14ac:dyDescent="0.3">
      <c r="A195">
        <v>194</v>
      </c>
      <c r="B195" s="1">
        <v>40552</v>
      </c>
      <c r="C195">
        <v>1</v>
      </c>
      <c r="D195">
        <v>0</v>
      </c>
      <c r="E195">
        <v>1</v>
      </c>
      <c r="F195">
        <v>8</v>
      </c>
      <c r="G195" t="b">
        <f>IF(COUNTIF(AB$4:AB$20,Append1[[#This Row],[dteday]]) &gt; 0, TRUE, FALSE)</f>
        <v>0</v>
      </c>
      <c r="H195">
        <v>0</v>
      </c>
      <c r="I195">
        <v>1</v>
      </c>
      <c r="J195">
        <v>0.1</v>
      </c>
      <c r="K195">
        <f>Append1[[#This Row],[temp]]*100</f>
        <v>10</v>
      </c>
      <c r="L195">
        <v>9.0899999999999995E-2</v>
      </c>
      <c r="M195">
        <v>0.49</v>
      </c>
      <c r="N195">
        <v>0.28360000000000002</v>
      </c>
      <c r="O195">
        <v>0</v>
      </c>
      <c r="P195">
        <v>10</v>
      </c>
      <c r="Q195">
        <v>10</v>
      </c>
      <c r="R195" s="12" t="str">
        <f t="shared" si="15"/>
        <v>Clear/Few Clouds</v>
      </c>
      <c r="S195" s="14" t="str">
        <f t="shared" si="16"/>
        <v>Winter</v>
      </c>
      <c r="T195" s="15" t="str">
        <f t="shared" si="17"/>
        <v>Sunday</v>
      </c>
      <c r="U195" t="str">
        <f t="shared" si="18"/>
        <v>January</v>
      </c>
      <c r="V195" s="16" t="str">
        <f t="shared" si="19"/>
        <v>GOOD</v>
      </c>
    </row>
    <row r="196" spans="1:22" x14ac:dyDescent="0.3">
      <c r="A196">
        <v>195</v>
      </c>
      <c r="B196" s="1">
        <v>40552</v>
      </c>
      <c r="C196">
        <v>1</v>
      </c>
      <c r="D196">
        <v>0</v>
      </c>
      <c r="E196">
        <v>1</v>
      </c>
      <c r="F196">
        <v>9</v>
      </c>
      <c r="G196" t="b">
        <f>IF(COUNTIF(AB$4:AB$20,Append1[[#This Row],[dteday]]) &gt; 0, TRUE, FALSE)</f>
        <v>0</v>
      </c>
      <c r="H196">
        <v>0</v>
      </c>
      <c r="I196">
        <v>1</v>
      </c>
      <c r="J196">
        <v>0.12</v>
      </c>
      <c r="K196">
        <f>Append1[[#This Row],[temp]]*100</f>
        <v>12</v>
      </c>
      <c r="L196">
        <v>7.5800000000000006E-2</v>
      </c>
      <c r="M196">
        <v>0.46</v>
      </c>
      <c r="N196">
        <v>0.52239999999999998</v>
      </c>
      <c r="O196">
        <v>0</v>
      </c>
      <c r="P196">
        <v>19</v>
      </c>
      <c r="Q196">
        <v>19</v>
      </c>
      <c r="R196" s="12" t="str">
        <f t="shared" si="15"/>
        <v>Clear/Few Clouds</v>
      </c>
      <c r="S196" s="14" t="str">
        <f t="shared" si="16"/>
        <v>Winter</v>
      </c>
      <c r="T196" s="15" t="str">
        <f t="shared" si="17"/>
        <v>Sunday</v>
      </c>
      <c r="U196" t="str">
        <f t="shared" si="18"/>
        <v>January</v>
      </c>
      <c r="V196" s="16" t="str">
        <f t="shared" si="19"/>
        <v>GOOD</v>
      </c>
    </row>
    <row r="197" spans="1:22" x14ac:dyDescent="0.3">
      <c r="A197">
        <v>196</v>
      </c>
      <c r="B197" s="1">
        <v>40552</v>
      </c>
      <c r="C197">
        <v>1</v>
      </c>
      <c r="D197">
        <v>0</v>
      </c>
      <c r="E197">
        <v>1</v>
      </c>
      <c r="F197">
        <v>10</v>
      </c>
      <c r="G197" t="b">
        <f>IF(COUNTIF(AB$4:AB$20,Append1[[#This Row],[dteday]]) &gt; 0, TRUE, FALSE)</f>
        <v>0</v>
      </c>
      <c r="H197">
        <v>0</v>
      </c>
      <c r="I197">
        <v>1</v>
      </c>
      <c r="J197">
        <v>0.14000000000000001</v>
      </c>
      <c r="K197">
        <f>Append1[[#This Row],[temp]]*100</f>
        <v>14.000000000000002</v>
      </c>
      <c r="L197">
        <v>0.1061</v>
      </c>
      <c r="M197">
        <v>0.43</v>
      </c>
      <c r="N197">
        <v>0.3881</v>
      </c>
      <c r="O197">
        <v>0</v>
      </c>
      <c r="P197">
        <v>49</v>
      </c>
      <c r="Q197">
        <v>49</v>
      </c>
      <c r="R197" s="12" t="str">
        <f t="shared" si="15"/>
        <v>Clear/Few Clouds</v>
      </c>
      <c r="S197" s="14" t="str">
        <f t="shared" si="16"/>
        <v>Winter</v>
      </c>
      <c r="T197" s="15" t="str">
        <f t="shared" si="17"/>
        <v>Sunday</v>
      </c>
      <c r="U197" t="str">
        <f t="shared" si="18"/>
        <v>January</v>
      </c>
      <c r="V197" s="16" t="str">
        <f t="shared" si="19"/>
        <v>GOOD</v>
      </c>
    </row>
    <row r="198" spans="1:22" x14ac:dyDescent="0.3">
      <c r="A198">
        <v>197</v>
      </c>
      <c r="B198" s="1">
        <v>40552</v>
      </c>
      <c r="C198">
        <v>1</v>
      </c>
      <c r="D198">
        <v>0</v>
      </c>
      <c r="E198">
        <v>1</v>
      </c>
      <c r="F198">
        <v>11</v>
      </c>
      <c r="G198" t="b">
        <f>IF(COUNTIF(AB$4:AB$20,Append1[[#This Row],[dteday]]) &gt; 0, TRUE, FALSE)</f>
        <v>0</v>
      </c>
      <c r="H198">
        <v>0</v>
      </c>
      <c r="I198">
        <v>1</v>
      </c>
      <c r="J198">
        <v>0.16</v>
      </c>
      <c r="K198">
        <f>Append1[[#This Row],[temp]]*100</f>
        <v>16</v>
      </c>
      <c r="L198">
        <v>0.1212</v>
      </c>
      <c r="M198">
        <v>0.4</v>
      </c>
      <c r="N198">
        <v>0.52239999999999998</v>
      </c>
      <c r="O198">
        <v>2</v>
      </c>
      <c r="P198">
        <v>47</v>
      </c>
      <c r="Q198">
        <v>49</v>
      </c>
      <c r="R198" s="12" t="str">
        <f t="shared" si="15"/>
        <v>Clear/Few Clouds</v>
      </c>
      <c r="S198" s="14" t="str">
        <f t="shared" si="16"/>
        <v>Winter</v>
      </c>
      <c r="T198" s="15" t="str">
        <f t="shared" si="17"/>
        <v>Sunday</v>
      </c>
      <c r="U198" t="str">
        <f t="shared" si="18"/>
        <v>January</v>
      </c>
      <c r="V198" s="16" t="str">
        <f t="shared" si="19"/>
        <v>GOOD</v>
      </c>
    </row>
    <row r="199" spans="1:22" x14ac:dyDescent="0.3">
      <c r="A199">
        <v>198</v>
      </c>
      <c r="B199" s="1">
        <v>40552</v>
      </c>
      <c r="C199">
        <v>1</v>
      </c>
      <c r="D199">
        <v>0</v>
      </c>
      <c r="E199">
        <v>1</v>
      </c>
      <c r="F199">
        <v>12</v>
      </c>
      <c r="G199" t="b">
        <f>IF(COUNTIF(AB$4:AB$20,Append1[[#This Row],[dteday]]) &gt; 0, TRUE, FALSE)</f>
        <v>0</v>
      </c>
      <c r="H199">
        <v>0</v>
      </c>
      <c r="I199">
        <v>1</v>
      </c>
      <c r="J199">
        <v>0.18</v>
      </c>
      <c r="K199">
        <f>Append1[[#This Row],[temp]]*100</f>
        <v>18</v>
      </c>
      <c r="L199">
        <v>0.13639999999999999</v>
      </c>
      <c r="M199">
        <v>0.37</v>
      </c>
      <c r="N199">
        <v>0.44779999999999998</v>
      </c>
      <c r="O199">
        <v>4</v>
      </c>
      <c r="P199">
        <v>79</v>
      </c>
      <c r="Q199">
        <v>83</v>
      </c>
      <c r="R199" s="12" t="str">
        <f t="shared" si="15"/>
        <v>Clear/Few Clouds</v>
      </c>
      <c r="S199" s="14" t="str">
        <f t="shared" si="16"/>
        <v>Winter</v>
      </c>
      <c r="T199" s="15" t="str">
        <f t="shared" si="17"/>
        <v>Sunday</v>
      </c>
      <c r="U199" t="str">
        <f t="shared" si="18"/>
        <v>January</v>
      </c>
      <c r="V199" s="16" t="str">
        <f t="shared" si="19"/>
        <v>GOOD</v>
      </c>
    </row>
    <row r="200" spans="1:22" x14ac:dyDescent="0.3">
      <c r="A200">
        <v>199</v>
      </c>
      <c r="B200" s="1">
        <v>40552</v>
      </c>
      <c r="C200">
        <v>1</v>
      </c>
      <c r="D200">
        <v>0</v>
      </c>
      <c r="E200">
        <v>1</v>
      </c>
      <c r="F200">
        <v>13</v>
      </c>
      <c r="G200" t="b">
        <f>IF(COUNTIF(AB$4:AB$20,Append1[[#This Row],[dteday]]) &gt; 0, TRUE, FALSE)</f>
        <v>0</v>
      </c>
      <c r="H200">
        <v>0</v>
      </c>
      <c r="I200">
        <v>1</v>
      </c>
      <c r="J200">
        <v>0.2</v>
      </c>
      <c r="K200">
        <f>Append1[[#This Row],[temp]]*100</f>
        <v>20</v>
      </c>
      <c r="L200">
        <v>0.16669999999999999</v>
      </c>
      <c r="M200">
        <v>0.34</v>
      </c>
      <c r="N200">
        <v>0.44779999999999998</v>
      </c>
      <c r="O200">
        <v>6</v>
      </c>
      <c r="P200">
        <v>69</v>
      </c>
      <c r="Q200">
        <v>75</v>
      </c>
      <c r="R200" s="12" t="str">
        <f t="shared" si="15"/>
        <v>Clear/Few Clouds</v>
      </c>
      <c r="S200" s="14" t="str">
        <f t="shared" si="16"/>
        <v>Winter</v>
      </c>
      <c r="T200" s="15" t="str">
        <f t="shared" si="17"/>
        <v>Sunday</v>
      </c>
      <c r="U200" t="str">
        <f t="shared" si="18"/>
        <v>January</v>
      </c>
      <c r="V200" s="16" t="str">
        <f t="shared" si="19"/>
        <v>GOOD</v>
      </c>
    </row>
    <row r="201" spans="1:22" x14ac:dyDescent="0.3">
      <c r="A201">
        <v>200</v>
      </c>
      <c r="B201" s="1">
        <v>40552</v>
      </c>
      <c r="C201">
        <v>1</v>
      </c>
      <c r="D201">
        <v>0</v>
      </c>
      <c r="E201">
        <v>1</v>
      </c>
      <c r="F201">
        <v>14</v>
      </c>
      <c r="G201" t="b">
        <f>IF(COUNTIF(AB$4:AB$20,Append1[[#This Row],[dteday]]) &gt; 0, TRUE, FALSE)</f>
        <v>0</v>
      </c>
      <c r="H201">
        <v>0</v>
      </c>
      <c r="I201">
        <v>1</v>
      </c>
      <c r="J201">
        <v>0.22</v>
      </c>
      <c r="K201">
        <f>Append1[[#This Row],[temp]]*100</f>
        <v>22</v>
      </c>
      <c r="L201">
        <v>0.18179999999999999</v>
      </c>
      <c r="M201">
        <v>0.32</v>
      </c>
      <c r="N201">
        <v>0.4627</v>
      </c>
      <c r="O201">
        <v>8</v>
      </c>
      <c r="P201">
        <v>64</v>
      </c>
      <c r="Q201">
        <v>72</v>
      </c>
      <c r="R201" s="12" t="str">
        <f t="shared" si="15"/>
        <v>Clear/Few Clouds</v>
      </c>
      <c r="S201" s="14" t="str">
        <f t="shared" si="16"/>
        <v>Winter</v>
      </c>
      <c r="T201" s="15" t="str">
        <f t="shared" si="17"/>
        <v>Sunday</v>
      </c>
      <c r="U201" t="str">
        <f t="shared" si="18"/>
        <v>January</v>
      </c>
      <c r="V201" s="16" t="str">
        <f t="shared" si="19"/>
        <v>GOOD</v>
      </c>
    </row>
    <row r="202" spans="1:22" x14ac:dyDescent="0.3">
      <c r="A202">
        <v>201</v>
      </c>
      <c r="B202" s="1">
        <v>40552</v>
      </c>
      <c r="C202">
        <v>1</v>
      </c>
      <c r="D202">
        <v>0</v>
      </c>
      <c r="E202">
        <v>1</v>
      </c>
      <c r="F202">
        <v>15</v>
      </c>
      <c r="G202" t="b">
        <f>IF(COUNTIF(AB$4:AB$20,Append1[[#This Row],[dteday]]) &gt; 0, TRUE, FALSE)</f>
        <v>0</v>
      </c>
      <c r="H202">
        <v>0</v>
      </c>
      <c r="I202">
        <v>1</v>
      </c>
      <c r="J202">
        <v>0.22</v>
      </c>
      <c r="K202">
        <f>Append1[[#This Row],[temp]]*100</f>
        <v>22</v>
      </c>
      <c r="L202">
        <v>0.19700000000000001</v>
      </c>
      <c r="M202">
        <v>0.35</v>
      </c>
      <c r="N202">
        <v>0.35820000000000002</v>
      </c>
      <c r="O202">
        <v>5</v>
      </c>
      <c r="P202">
        <v>77</v>
      </c>
      <c r="Q202">
        <v>82</v>
      </c>
      <c r="R202" s="12" t="str">
        <f t="shared" si="15"/>
        <v>Clear/Few Clouds</v>
      </c>
      <c r="S202" s="14" t="str">
        <f t="shared" si="16"/>
        <v>Winter</v>
      </c>
      <c r="T202" s="15" t="str">
        <f t="shared" si="17"/>
        <v>Sunday</v>
      </c>
      <c r="U202" t="str">
        <f t="shared" si="18"/>
        <v>January</v>
      </c>
      <c r="V202" s="16" t="str">
        <f t="shared" si="19"/>
        <v>GOOD</v>
      </c>
    </row>
    <row r="203" spans="1:22" x14ac:dyDescent="0.3">
      <c r="A203">
        <v>202</v>
      </c>
      <c r="B203" s="1">
        <v>40552</v>
      </c>
      <c r="C203">
        <v>1</v>
      </c>
      <c r="D203">
        <v>0</v>
      </c>
      <c r="E203">
        <v>1</v>
      </c>
      <c r="F203">
        <v>16</v>
      </c>
      <c r="G203" t="b">
        <f>IF(COUNTIF(AB$4:AB$20,Append1[[#This Row],[dteday]]) &gt; 0, TRUE, FALSE)</f>
        <v>0</v>
      </c>
      <c r="H203">
        <v>0</v>
      </c>
      <c r="I203">
        <v>1</v>
      </c>
      <c r="J203">
        <v>0.2</v>
      </c>
      <c r="K203">
        <f>Append1[[#This Row],[temp]]*100</f>
        <v>20</v>
      </c>
      <c r="L203">
        <v>0.16669999999999999</v>
      </c>
      <c r="M203">
        <v>0.34</v>
      </c>
      <c r="N203">
        <v>0.44779999999999998</v>
      </c>
      <c r="O203">
        <v>13</v>
      </c>
      <c r="P203">
        <v>79</v>
      </c>
      <c r="Q203">
        <v>92</v>
      </c>
      <c r="R203" s="12" t="str">
        <f t="shared" si="15"/>
        <v>Clear/Few Clouds</v>
      </c>
      <c r="S203" s="14" t="str">
        <f t="shared" si="16"/>
        <v>Winter</v>
      </c>
      <c r="T203" s="15" t="str">
        <f t="shared" si="17"/>
        <v>Sunday</v>
      </c>
      <c r="U203" t="str">
        <f t="shared" si="18"/>
        <v>January</v>
      </c>
      <c r="V203" s="16" t="str">
        <f t="shared" si="19"/>
        <v>GOOD</v>
      </c>
    </row>
    <row r="204" spans="1:22" x14ac:dyDescent="0.3">
      <c r="A204">
        <v>203</v>
      </c>
      <c r="B204" s="1">
        <v>40552</v>
      </c>
      <c r="C204">
        <v>1</v>
      </c>
      <c r="D204">
        <v>0</v>
      </c>
      <c r="E204">
        <v>1</v>
      </c>
      <c r="F204">
        <v>17</v>
      </c>
      <c r="G204" t="b">
        <f>IF(COUNTIF(AB$4:AB$20,Append1[[#This Row],[dteday]]) &gt; 0, TRUE, FALSE)</f>
        <v>0</v>
      </c>
      <c r="H204">
        <v>0</v>
      </c>
      <c r="I204">
        <v>1</v>
      </c>
      <c r="J204">
        <v>0.18</v>
      </c>
      <c r="K204">
        <f>Append1[[#This Row],[temp]]*100</f>
        <v>18</v>
      </c>
      <c r="L204">
        <v>0.1515</v>
      </c>
      <c r="M204">
        <v>0.37</v>
      </c>
      <c r="N204">
        <v>0.3881</v>
      </c>
      <c r="O204">
        <v>3</v>
      </c>
      <c r="P204">
        <v>59</v>
      </c>
      <c r="Q204">
        <v>62</v>
      </c>
      <c r="R204" s="12" t="str">
        <f t="shared" si="15"/>
        <v>Clear/Few Clouds</v>
      </c>
      <c r="S204" s="14" t="str">
        <f t="shared" si="16"/>
        <v>Winter</v>
      </c>
      <c r="T204" s="15" t="str">
        <f t="shared" si="17"/>
        <v>Sunday</v>
      </c>
      <c r="U204" t="str">
        <f t="shared" si="18"/>
        <v>January</v>
      </c>
      <c r="V204" s="16" t="str">
        <f t="shared" si="19"/>
        <v>GOOD</v>
      </c>
    </row>
    <row r="205" spans="1:22" x14ac:dyDescent="0.3">
      <c r="A205">
        <v>204</v>
      </c>
      <c r="B205" s="1">
        <v>40552</v>
      </c>
      <c r="C205">
        <v>1</v>
      </c>
      <c r="D205">
        <v>0</v>
      </c>
      <c r="E205">
        <v>1</v>
      </c>
      <c r="F205">
        <v>18</v>
      </c>
      <c r="G205" t="b">
        <f>IF(COUNTIF(AB$4:AB$20,Append1[[#This Row],[dteday]]) &gt; 0, TRUE, FALSE)</f>
        <v>0</v>
      </c>
      <c r="H205">
        <v>0</v>
      </c>
      <c r="I205">
        <v>1</v>
      </c>
      <c r="J205">
        <v>0.16</v>
      </c>
      <c r="K205">
        <f>Append1[[#This Row],[temp]]*100</f>
        <v>16</v>
      </c>
      <c r="L205">
        <v>0.13639999999999999</v>
      </c>
      <c r="M205">
        <v>0.4</v>
      </c>
      <c r="N205">
        <v>0.32840000000000003</v>
      </c>
      <c r="O205">
        <v>4</v>
      </c>
      <c r="P205">
        <v>44</v>
      </c>
      <c r="Q205">
        <v>48</v>
      </c>
      <c r="R205" s="12" t="str">
        <f t="shared" si="15"/>
        <v>Clear/Few Clouds</v>
      </c>
      <c r="S205" s="14" t="str">
        <f t="shared" si="16"/>
        <v>Winter</v>
      </c>
      <c r="T205" s="15" t="str">
        <f t="shared" si="17"/>
        <v>Sunday</v>
      </c>
      <c r="U205" t="str">
        <f t="shared" si="18"/>
        <v>January</v>
      </c>
      <c r="V205" s="16" t="str">
        <f t="shared" si="19"/>
        <v>GOOD</v>
      </c>
    </row>
    <row r="206" spans="1:22" x14ac:dyDescent="0.3">
      <c r="A206">
        <v>205</v>
      </c>
      <c r="B206" s="1">
        <v>40552</v>
      </c>
      <c r="C206">
        <v>1</v>
      </c>
      <c r="D206">
        <v>0</v>
      </c>
      <c r="E206">
        <v>1</v>
      </c>
      <c r="F206">
        <v>19</v>
      </c>
      <c r="G206" t="b">
        <f>IF(COUNTIF(AB$4:AB$20,Append1[[#This Row],[dteday]]) &gt; 0, TRUE, FALSE)</f>
        <v>0</v>
      </c>
      <c r="H206">
        <v>0</v>
      </c>
      <c r="I206">
        <v>1</v>
      </c>
      <c r="J206">
        <v>0.16</v>
      </c>
      <c r="K206">
        <f>Append1[[#This Row],[temp]]*100</f>
        <v>16</v>
      </c>
      <c r="L206">
        <v>0.13639999999999999</v>
      </c>
      <c r="M206">
        <v>0.43</v>
      </c>
      <c r="N206">
        <v>0.32840000000000003</v>
      </c>
      <c r="O206">
        <v>1</v>
      </c>
      <c r="P206">
        <v>40</v>
      </c>
      <c r="Q206">
        <v>41</v>
      </c>
      <c r="R206" s="12" t="str">
        <f t="shared" si="15"/>
        <v>Clear/Few Clouds</v>
      </c>
      <c r="S206" s="14" t="str">
        <f t="shared" si="16"/>
        <v>Winter</v>
      </c>
      <c r="T206" s="15" t="str">
        <f t="shared" si="17"/>
        <v>Sunday</v>
      </c>
      <c r="U206" t="str">
        <f t="shared" si="18"/>
        <v>January</v>
      </c>
      <c r="V206" s="16" t="str">
        <f t="shared" si="19"/>
        <v>GOOD</v>
      </c>
    </row>
    <row r="207" spans="1:22" x14ac:dyDescent="0.3">
      <c r="A207">
        <v>206</v>
      </c>
      <c r="B207" s="1">
        <v>40552</v>
      </c>
      <c r="C207">
        <v>1</v>
      </c>
      <c r="D207">
        <v>0</v>
      </c>
      <c r="E207">
        <v>1</v>
      </c>
      <c r="F207">
        <v>20</v>
      </c>
      <c r="G207" t="b">
        <f>IF(COUNTIF(AB$4:AB$20,Append1[[#This Row],[dteday]]) &gt; 0, TRUE, FALSE)</f>
        <v>0</v>
      </c>
      <c r="H207">
        <v>0</v>
      </c>
      <c r="I207">
        <v>1</v>
      </c>
      <c r="J207">
        <v>0.14000000000000001</v>
      </c>
      <c r="K207">
        <f>Append1[[#This Row],[temp]]*100</f>
        <v>14.000000000000002</v>
      </c>
      <c r="L207">
        <v>0.1212</v>
      </c>
      <c r="M207">
        <v>0.46</v>
      </c>
      <c r="N207">
        <v>0.25369999999999998</v>
      </c>
      <c r="O207">
        <v>0</v>
      </c>
      <c r="P207">
        <v>38</v>
      </c>
      <c r="Q207">
        <v>38</v>
      </c>
      <c r="R207" s="12" t="str">
        <f t="shared" si="15"/>
        <v>Clear/Few Clouds</v>
      </c>
      <c r="S207" s="14" t="str">
        <f t="shared" si="16"/>
        <v>Winter</v>
      </c>
      <c r="T207" s="15" t="str">
        <f t="shared" si="17"/>
        <v>Sunday</v>
      </c>
      <c r="U207" t="str">
        <f t="shared" si="18"/>
        <v>January</v>
      </c>
      <c r="V207" s="16" t="str">
        <f t="shared" si="19"/>
        <v>GOOD</v>
      </c>
    </row>
    <row r="208" spans="1:22" x14ac:dyDescent="0.3">
      <c r="A208">
        <v>207</v>
      </c>
      <c r="B208" s="1">
        <v>40552</v>
      </c>
      <c r="C208">
        <v>1</v>
      </c>
      <c r="D208">
        <v>0</v>
      </c>
      <c r="E208">
        <v>1</v>
      </c>
      <c r="F208">
        <v>21</v>
      </c>
      <c r="G208" t="b">
        <f>IF(COUNTIF(AB$4:AB$20,Append1[[#This Row],[dteday]]) &gt; 0, TRUE, FALSE)</f>
        <v>0</v>
      </c>
      <c r="H208">
        <v>0</v>
      </c>
      <c r="I208">
        <v>1</v>
      </c>
      <c r="J208">
        <v>0.14000000000000001</v>
      </c>
      <c r="K208">
        <f>Append1[[#This Row],[temp]]*100</f>
        <v>14.000000000000002</v>
      </c>
      <c r="L208">
        <v>0.1061</v>
      </c>
      <c r="M208">
        <v>0.46</v>
      </c>
      <c r="N208">
        <v>0.41789999999999999</v>
      </c>
      <c r="O208">
        <v>1</v>
      </c>
      <c r="P208">
        <v>19</v>
      </c>
      <c r="Q208">
        <v>20</v>
      </c>
      <c r="R208" s="12" t="str">
        <f t="shared" si="15"/>
        <v>Clear/Few Clouds</v>
      </c>
      <c r="S208" s="14" t="str">
        <f t="shared" si="16"/>
        <v>Winter</v>
      </c>
      <c r="T208" s="15" t="str">
        <f t="shared" si="17"/>
        <v>Sunday</v>
      </c>
      <c r="U208" t="str">
        <f t="shared" si="18"/>
        <v>January</v>
      </c>
      <c r="V208" s="16" t="str">
        <f t="shared" si="19"/>
        <v>GOOD</v>
      </c>
    </row>
    <row r="209" spans="1:22" x14ac:dyDescent="0.3">
      <c r="A209">
        <v>208</v>
      </c>
      <c r="B209" s="1">
        <v>40552</v>
      </c>
      <c r="C209">
        <v>1</v>
      </c>
      <c r="D209">
        <v>0</v>
      </c>
      <c r="E209">
        <v>1</v>
      </c>
      <c r="F209">
        <v>22</v>
      </c>
      <c r="G209" t="b">
        <f>IF(COUNTIF(AB$4:AB$20,Append1[[#This Row],[dteday]]) &gt; 0, TRUE, FALSE)</f>
        <v>0</v>
      </c>
      <c r="H209">
        <v>0</v>
      </c>
      <c r="I209">
        <v>1</v>
      </c>
      <c r="J209">
        <v>0.14000000000000001</v>
      </c>
      <c r="K209">
        <f>Append1[[#This Row],[temp]]*100</f>
        <v>14.000000000000002</v>
      </c>
      <c r="L209">
        <v>0.1212</v>
      </c>
      <c r="M209">
        <v>0.46</v>
      </c>
      <c r="N209">
        <v>0.29849999999999999</v>
      </c>
      <c r="O209">
        <v>5</v>
      </c>
      <c r="P209">
        <v>10</v>
      </c>
      <c r="Q209">
        <v>15</v>
      </c>
      <c r="R209" s="12" t="str">
        <f t="shared" si="15"/>
        <v>Clear/Few Clouds</v>
      </c>
      <c r="S209" s="14" t="str">
        <f t="shared" si="16"/>
        <v>Winter</v>
      </c>
      <c r="T209" s="15" t="str">
        <f t="shared" si="17"/>
        <v>Sunday</v>
      </c>
      <c r="U209" t="str">
        <f t="shared" si="18"/>
        <v>January</v>
      </c>
      <c r="V209" s="16" t="str">
        <f t="shared" si="19"/>
        <v>GOOD</v>
      </c>
    </row>
    <row r="210" spans="1:22" x14ac:dyDescent="0.3">
      <c r="A210">
        <v>209</v>
      </c>
      <c r="B210" s="1">
        <v>40552</v>
      </c>
      <c r="C210">
        <v>1</v>
      </c>
      <c r="D210">
        <v>0</v>
      </c>
      <c r="E210">
        <v>1</v>
      </c>
      <c r="F210">
        <v>23</v>
      </c>
      <c r="G210" t="b">
        <f>IF(COUNTIF(AB$4:AB$20,Append1[[#This Row],[dteday]]) &gt; 0, TRUE, FALSE)</f>
        <v>0</v>
      </c>
      <c r="H210">
        <v>0</v>
      </c>
      <c r="I210">
        <v>1</v>
      </c>
      <c r="J210">
        <v>0.12</v>
      </c>
      <c r="K210">
        <f>Append1[[#This Row],[temp]]*100</f>
        <v>12</v>
      </c>
      <c r="L210">
        <v>0.13639999999999999</v>
      </c>
      <c r="M210">
        <v>0.5</v>
      </c>
      <c r="N210">
        <v>0.19400000000000001</v>
      </c>
      <c r="O210">
        <v>0</v>
      </c>
      <c r="P210">
        <v>6</v>
      </c>
      <c r="Q210">
        <v>6</v>
      </c>
      <c r="R210" s="12" t="str">
        <f t="shared" si="15"/>
        <v>Clear/Few Clouds</v>
      </c>
      <c r="S210" s="14" t="str">
        <f t="shared" si="16"/>
        <v>Winter</v>
      </c>
      <c r="T210" s="15" t="str">
        <f t="shared" si="17"/>
        <v>Sunday</v>
      </c>
      <c r="U210" t="str">
        <f t="shared" si="18"/>
        <v>January</v>
      </c>
      <c r="V210" s="16" t="str">
        <f t="shared" si="19"/>
        <v>GOOD</v>
      </c>
    </row>
    <row r="211" spans="1:22" x14ac:dyDescent="0.3">
      <c r="A211">
        <v>210</v>
      </c>
      <c r="B211" s="1">
        <v>40553</v>
      </c>
      <c r="C211">
        <v>1</v>
      </c>
      <c r="D211">
        <v>0</v>
      </c>
      <c r="E211">
        <v>1</v>
      </c>
      <c r="F211">
        <v>0</v>
      </c>
      <c r="G211" t="b">
        <f>IF(COUNTIF(AB$4:AB$20,Append1[[#This Row],[dteday]]) &gt; 0, TRUE, FALSE)</f>
        <v>0</v>
      </c>
      <c r="H211">
        <v>1</v>
      </c>
      <c r="I211">
        <v>1</v>
      </c>
      <c r="J211">
        <v>0.12</v>
      </c>
      <c r="K211">
        <f>Append1[[#This Row],[temp]]*100</f>
        <v>12</v>
      </c>
      <c r="L211">
        <v>0.1212</v>
      </c>
      <c r="M211">
        <v>0.5</v>
      </c>
      <c r="N211">
        <v>0.28360000000000002</v>
      </c>
      <c r="O211">
        <v>2</v>
      </c>
      <c r="P211">
        <v>3</v>
      </c>
      <c r="Q211">
        <v>5</v>
      </c>
      <c r="R211" s="12" t="str">
        <f t="shared" si="15"/>
        <v>Clear/Few Clouds</v>
      </c>
      <c r="S211" s="14" t="str">
        <f t="shared" si="16"/>
        <v>Winter</v>
      </c>
      <c r="T211" s="15" t="str">
        <f t="shared" si="17"/>
        <v>Monday</v>
      </c>
      <c r="U211" t="str">
        <f t="shared" si="18"/>
        <v>January</v>
      </c>
      <c r="V211" s="16" t="str">
        <f t="shared" si="19"/>
        <v>GOOD</v>
      </c>
    </row>
    <row r="212" spans="1:22" x14ac:dyDescent="0.3">
      <c r="A212">
        <v>211</v>
      </c>
      <c r="B212" s="1">
        <v>40553</v>
      </c>
      <c r="C212">
        <v>1</v>
      </c>
      <c r="D212">
        <v>0</v>
      </c>
      <c r="E212">
        <v>1</v>
      </c>
      <c r="F212">
        <v>1</v>
      </c>
      <c r="G212" t="b">
        <f>IF(COUNTIF(AB$4:AB$20,Append1[[#This Row],[dteday]]) &gt; 0, TRUE, FALSE)</f>
        <v>0</v>
      </c>
      <c r="H212">
        <v>1</v>
      </c>
      <c r="I212">
        <v>1</v>
      </c>
      <c r="J212">
        <v>0.12</v>
      </c>
      <c r="K212">
        <f>Append1[[#This Row],[temp]]*100</f>
        <v>12</v>
      </c>
      <c r="L212">
        <v>0.1212</v>
      </c>
      <c r="M212">
        <v>0.5</v>
      </c>
      <c r="N212">
        <v>0.28360000000000002</v>
      </c>
      <c r="O212">
        <v>1</v>
      </c>
      <c r="P212">
        <v>0</v>
      </c>
      <c r="Q212">
        <v>1</v>
      </c>
      <c r="R212" s="12" t="str">
        <f t="shared" si="15"/>
        <v>Clear/Few Clouds</v>
      </c>
      <c r="S212" s="14" t="str">
        <f t="shared" si="16"/>
        <v>Winter</v>
      </c>
      <c r="T212" s="15" t="str">
        <f t="shared" si="17"/>
        <v>Monday</v>
      </c>
      <c r="U212" t="str">
        <f t="shared" si="18"/>
        <v>January</v>
      </c>
      <c r="V212" s="16" t="str">
        <f t="shared" si="19"/>
        <v>GOOD</v>
      </c>
    </row>
    <row r="213" spans="1:22" x14ac:dyDescent="0.3">
      <c r="A213">
        <v>212</v>
      </c>
      <c r="B213" s="1">
        <v>40553</v>
      </c>
      <c r="C213">
        <v>1</v>
      </c>
      <c r="D213">
        <v>0</v>
      </c>
      <c r="E213">
        <v>1</v>
      </c>
      <c r="F213">
        <v>2</v>
      </c>
      <c r="G213" t="b">
        <f>IF(COUNTIF(AB$4:AB$20,Append1[[#This Row],[dteday]]) &gt; 0, TRUE, FALSE)</f>
        <v>0</v>
      </c>
      <c r="H213">
        <v>1</v>
      </c>
      <c r="I213">
        <v>1</v>
      </c>
      <c r="J213">
        <v>0.12</v>
      </c>
      <c r="K213">
        <f>Append1[[#This Row],[temp]]*100</f>
        <v>12</v>
      </c>
      <c r="L213">
        <v>0.1212</v>
      </c>
      <c r="M213">
        <v>0.5</v>
      </c>
      <c r="N213">
        <v>0.22389999999999999</v>
      </c>
      <c r="O213">
        <v>0</v>
      </c>
      <c r="P213">
        <v>3</v>
      </c>
      <c r="Q213">
        <v>3</v>
      </c>
      <c r="R213" s="12" t="str">
        <f t="shared" si="15"/>
        <v>Clear/Few Clouds</v>
      </c>
      <c r="S213" s="14" t="str">
        <f t="shared" si="16"/>
        <v>Winter</v>
      </c>
      <c r="T213" s="15" t="str">
        <f t="shared" si="17"/>
        <v>Monday</v>
      </c>
      <c r="U213" t="str">
        <f t="shared" si="18"/>
        <v>January</v>
      </c>
      <c r="V213" s="16" t="str">
        <f t="shared" si="19"/>
        <v>GOOD</v>
      </c>
    </row>
    <row r="214" spans="1:22" x14ac:dyDescent="0.3">
      <c r="A214">
        <v>213</v>
      </c>
      <c r="B214" s="1">
        <v>40553</v>
      </c>
      <c r="C214">
        <v>1</v>
      </c>
      <c r="D214">
        <v>0</v>
      </c>
      <c r="E214">
        <v>1</v>
      </c>
      <c r="F214">
        <v>3</v>
      </c>
      <c r="G214" t="b">
        <f>IF(COUNTIF(AB$4:AB$20,Append1[[#This Row],[dteday]]) &gt; 0, TRUE, FALSE)</f>
        <v>0</v>
      </c>
      <c r="H214">
        <v>1</v>
      </c>
      <c r="I214">
        <v>1</v>
      </c>
      <c r="J214">
        <v>0.12</v>
      </c>
      <c r="K214">
        <f>Append1[[#This Row],[temp]]*100</f>
        <v>12</v>
      </c>
      <c r="L214">
        <v>0.1212</v>
      </c>
      <c r="M214">
        <v>0.5</v>
      </c>
      <c r="N214">
        <v>0.22389999999999999</v>
      </c>
      <c r="O214">
        <v>0</v>
      </c>
      <c r="P214">
        <v>1</v>
      </c>
      <c r="Q214">
        <v>1</v>
      </c>
      <c r="R214" s="12" t="str">
        <f t="shared" si="15"/>
        <v>Clear/Few Clouds</v>
      </c>
      <c r="S214" s="14" t="str">
        <f t="shared" si="16"/>
        <v>Winter</v>
      </c>
      <c r="T214" s="15" t="str">
        <f t="shared" si="17"/>
        <v>Monday</v>
      </c>
      <c r="U214" t="str">
        <f t="shared" si="18"/>
        <v>January</v>
      </c>
      <c r="V214" s="16" t="str">
        <f t="shared" si="19"/>
        <v>GOOD</v>
      </c>
    </row>
    <row r="215" spans="1:22" x14ac:dyDescent="0.3">
      <c r="A215">
        <v>214</v>
      </c>
      <c r="B215" s="1">
        <v>40553</v>
      </c>
      <c r="C215">
        <v>1</v>
      </c>
      <c r="D215">
        <v>0</v>
      </c>
      <c r="E215">
        <v>1</v>
      </c>
      <c r="F215">
        <v>4</v>
      </c>
      <c r="G215" t="b">
        <f>IF(COUNTIF(AB$4:AB$20,Append1[[#This Row],[dteday]]) &gt; 0, TRUE, FALSE)</f>
        <v>0</v>
      </c>
      <c r="H215">
        <v>1</v>
      </c>
      <c r="I215">
        <v>1</v>
      </c>
      <c r="J215">
        <v>0.1</v>
      </c>
      <c r="K215">
        <f>Append1[[#This Row],[temp]]*100</f>
        <v>10</v>
      </c>
      <c r="L215">
        <v>0.1212</v>
      </c>
      <c r="M215">
        <v>0.54</v>
      </c>
      <c r="N215">
        <v>0.1343</v>
      </c>
      <c r="O215">
        <v>1</v>
      </c>
      <c r="P215">
        <v>2</v>
      </c>
      <c r="Q215">
        <v>3</v>
      </c>
      <c r="R215" s="12" t="str">
        <f t="shared" si="15"/>
        <v>Clear/Few Clouds</v>
      </c>
      <c r="S215" s="14" t="str">
        <f t="shared" si="16"/>
        <v>Winter</v>
      </c>
      <c r="T215" s="15" t="str">
        <f t="shared" si="17"/>
        <v>Monday</v>
      </c>
      <c r="U215" t="str">
        <f t="shared" si="18"/>
        <v>January</v>
      </c>
      <c r="V215" s="16" t="str">
        <f t="shared" si="19"/>
        <v>GOOD</v>
      </c>
    </row>
    <row r="216" spans="1:22" x14ac:dyDescent="0.3">
      <c r="A216">
        <v>215</v>
      </c>
      <c r="B216" s="1">
        <v>40553</v>
      </c>
      <c r="C216">
        <v>1</v>
      </c>
      <c r="D216">
        <v>0</v>
      </c>
      <c r="E216">
        <v>1</v>
      </c>
      <c r="F216">
        <v>5</v>
      </c>
      <c r="G216" t="b">
        <f>IF(COUNTIF(AB$4:AB$20,Append1[[#This Row],[dteday]]) &gt; 0, TRUE, FALSE)</f>
        <v>0</v>
      </c>
      <c r="H216">
        <v>1</v>
      </c>
      <c r="I216">
        <v>1</v>
      </c>
      <c r="J216">
        <v>0.1</v>
      </c>
      <c r="K216">
        <f>Append1[[#This Row],[temp]]*100</f>
        <v>10</v>
      </c>
      <c r="L216">
        <v>0.1061</v>
      </c>
      <c r="M216">
        <v>0.54</v>
      </c>
      <c r="N216">
        <v>0.25369999999999998</v>
      </c>
      <c r="O216">
        <v>0</v>
      </c>
      <c r="P216">
        <v>3</v>
      </c>
      <c r="Q216">
        <v>3</v>
      </c>
      <c r="R216" s="12" t="str">
        <f t="shared" si="15"/>
        <v>Clear/Few Clouds</v>
      </c>
      <c r="S216" s="14" t="str">
        <f t="shared" si="16"/>
        <v>Winter</v>
      </c>
      <c r="T216" s="15" t="str">
        <f t="shared" si="17"/>
        <v>Monday</v>
      </c>
      <c r="U216" t="str">
        <f t="shared" si="18"/>
        <v>January</v>
      </c>
      <c r="V216" s="16" t="str">
        <f t="shared" si="19"/>
        <v>GOOD</v>
      </c>
    </row>
    <row r="217" spans="1:22" x14ac:dyDescent="0.3">
      <c r="A217">
        <v>216</v>
      </c>
      <c r="B217" s="1">
        <v>40553</v>
      </c>
      <c r="C217">
        <v>1</v>
      </c>
      <c r="D217">
        <v>0</v>
      </c>
      <c r="E217">
        <v>1</v>
      </c>
      <c r="F217">
        <v>6</v>
      </c>
      <c r="G217" t="b">
        <f>IF(COUNTIF(AB$4:AB$20,Append1[[#This Row],[dteday]]) &gt; 0, TRUE, FALSE)</f>
        <v>0</v>
      </c>
      <c r="H217">
        <v>1</v>
      </c>
      <c r="I217">
        <v>1</v>
      </c>
      <c r="J217">
        <v>0.12</v>
      </c>
      <c r="K217">
        <f>Append1[[#This Row],[temp]]*100</f>
        <v>12</v>
      </c>
      <c r="L217">
        <v>0.1212</v>
      </c>
      <c r="M217">
        <v>0.5</v>
      </c>
      <c r="N217">
        <v>0.28360000000000002</v>
      </c>
      <c r="O217">
        <v>0</v>
      </c>
      <c r="P217">
        <v>31</v>
      </c>
      <c r="Q217">
        <v>31</v>
      </c>
      <c r="R217" s="12" t="str">
        <f t="shared" si="15"/>
        <v>Clear/Few Clouds</v>
      </c>
      <c r="S217" s="14" t="str">
        <f t="shared" si="16"/>
        <v>Winter</v>
      </c>
      <c r="T217" s="15" t="str">
        <f t="shared" si="17"/>
        <v>Monday</v>
      </c>
      <c r="U217" t="str">
        <f t="shared" si="18"/>
        <v>January</v>
      </c>
      <c r="V217" s="16" t="str">
        <f t="shared" si="19"/>
        <v>GOOD</v>
      </c>
    </row>
    <row r="218" spans="1:22" x14ac:dyDescent="0.3">
      <c r="A218">
        <v>217</v>
      </c>
      <c r="B218" s="1">
        <v>40553</v>
      </c>
      <c r="C218">
        <v>1</v>
      </c>
      <c r="D218">
        <v>0</v>
      </c>
      <c r="E218">
        <v>1</v>
      </c>
      <c r="F218">
        <v>7</v>
      </c>
      <c r="G218" t="b">
        <f>IF(COUNTIF(AB$4:AB$20,Append1[[#This Row],[dteday]]) &gt; 0, TRUE, FALSE)</f>
        <v>0</v>
      </c>
      <c r="H218">
        <v>1</v>
      </c>
      <c r="I218">
        <v>1</v>
      </c>
      <c r="J218">
        <v>0.12</v>
      </c>
      <c r="K218">
        <f>Append1[[#This Row],[temp]]*100</f>
        <v>12</v>
      </c>
      <c r="L218">
        <v>0.1212</v>
      </c>
      <c r="M218">
        <v>0.5</v>
      </c>
      <c r="N218">
        <v>0.22389999999999999</v>
      </c>
      <c r="O218">
        <v>2</v>
      </c>
      <c r="P218">
        <v>75</v>
      </c>
      <c r="Q218">
        <v>77</v>
      </c>
      <c r="R218" s="12" t="str">
        <f t="shared" si="15"/>
        <v>Clear/Few Clouds</v>
      </c>
      <c r="S218" s="14" t="str">
        <f t="shared" si="16"/>
        <v>Winter</v>
      </c>
      <c r="T218" s="15" t="str">
        <f t="shared" si="17"/>
        <v>Monday</v>
      </c>
      <c r="U218" t="str">
        <f t="shared" si="18"/>
        <v>January</v>
      </c>
      <c r="V218" s="16" t="str">
        <f t="shared" si="19"/>
        <v>GOOD</v>
      </c>
    </row>
    <row r="219" spans="1:22" x14ac:dyDescent="0.3">
      <c r="A219">
        <v>218</v>
      </c>
      <c r="B219" s="1">
        <v>40553</v>
      </c>
      <c r="C219">
        <v>1</v>
      </c>
      <c r="D219">
        <v>0</v>
      </c>
      <c r="E219">
        <v>1</v>
      </c>
      <c r="F219">
        <v>8</v>
      </c>
      <c r="G219" t="b">
        <f>IF(COUNTIF(AB$4:AB$20,Append1[[#This Row],[dteday]]) &gt; 0, TRUE, FALSE)</f>
        <v>0</v>
      </c>
      <c r="H219">
        <v>1</v>
      </c>
      <c r="I219">
        <v>2</v>
      </c>
      <c r="J219">
        <v>0.12</v>
      </c>
      <c r="K219">
        <f>Append1[[#This Row],[temp]]*100</f>
        <v>12</v>
      </c>
      <c r="L219">
        <v>0.1212</v>
      </c>
      <c r="M219">
        <v>0.5</v>
      </c>
      <c r="N219">
        <v>0.28360000000000002</v>
      </c>
      <c r="O219">
        <v>4</v>
      </c>
      <c r="P219">
        <v>184</v>
      </c>
      <c r="Q219">
        <v>188</v>
      </c>
      <c r="R219" s="12" t="str">
        <f t="shared" si="15"/>
        <v>Mist/Cloudy</v>
      </c>
      <c r="S219" s="14" t="str">
        <f t="shared" si="16"/>
        <v>Winter</v>
      </c>
      <c r="T219" s="15" t="str">
        <f t="shared" si="17"/>
        <v>Monday</v>
      </c>
      <c r="U219" t="str">
        <f t="shared" si="18"/>
        <v>January</v>
      </c>
      <c r="V219" s="16" t="str">
        <f t="shared" si="19"/>
        <v>MODERATE</v>
      </c>
    </row>
    <row r="220" spans="1:22" x14ac:dyDescent="0.3">
      <c r="A220">
        <v>219</v>
      </c>
      <c r="B220" s="1">
        <v>40553</v>
      </c>
      <c r="C220">
        <v>1</v>
      </c>
      <c r="D220">
        <v>0</v>
      </c>
      <c r="E220">
        <v>1</v>
      </c>
      <c r="F220">
        <v>9</v>
      </c>
      <c r="G220" t="b">
        <f>IF(COUNTIF(AB$4:AB$20,Append1[[#This Row],[dteday]]) &gt; 0, TRUE, FALSE)</f>
        <v>0</v>
      </c>
      <c r="H220">
        <v>1</v>
      </c>
      <c r="I220">
        <v>2</v>
      </c>
      <c r="J220">
        <v>0.14000000000000001</v>
      </c>
      <c r="K220">
        <f>Append1[[#This Row],[temp]]*100</f>
        <v>14.000000000000002</v>
      </c>
      <c r="L220">
        <v>0.1212</v>
      </c>
      <c r="M220">
        <v>0.5</v>
      </c>
      <c r="N220">
        <v>0.25369999999999998</v>
      </c>
      <c r="O220">
        <v>2</v>
      </c>
      <c r="P220">
        <v>92</v>
      </c>
      <c r="Q220">
        <v>94</v>
      </c>
      <c r="R220" s="12" t="str">
        <f t="shared" si="15"/>
        <v>Mist/Cloudy</v>
      </c>
      <c r="S220" s="14" t="str">
        <f t="shared" si="16"/>
        <v>Winter</v>
      </c>
      <c r="T220" s="15" t="str">
        <f t="shared" si="17"/>
        <v>Monday</v>
      </c>
      <c r="U220" t="str">
        <f t="shared" si="18"/>
        <v>January</v>
      </c>
      <c r="V220" s="16" t="str">
        <f t="shared" si="19"/>
        <v>MODERATE</v>
      </c>
    </row>
    <row r="221" spans="1:22" x14ac:dyDescent="0.3">
      <c r="A221">
        <v>220</v>
      </c>
      <c r="B221" s="1">
        <v>40553</v>
      </c>
      <c r="C221">
        <v>1</v>
      </c>
      <c r="D221">
        <v>0</v>
      </c>
      <c r="E221">
        <v>1</v>
      </c>
      <c r="F221">
        <v>10</v>
      </c>
      <c r="G221" t="b">
        <f>IF(COUNTIF(AB$4:AB$20,Append1[[#This Row],[dteday]]) &gt; 0, TRUE, FALSE)</f>
        <v>0</v>
      </c>
      <c r="H221">
        <v>1</v>
      </c>
      <c r="I221">
        <v>2</v>
      </c>
      <c r="J221">
        <v>0.14000000000000001</v>
      </c>
      <c r="K221">
        <f>Append1[[#This Row],[temp]]*100</f>
        <v>14.000000000000002</v>
      </c>
      <c r="L221">
        <v>0.1212</v>
      </c>
      <c r="M221">
        <v>0.5</v>
      </c>
      <c r="N221">
        <v>0.29849999999999999</v>
      </c>
      <c r="O221">
        <v>0</v>
      </c>
      <c r="P221">
        <v>31</v>
      </c>
      <c r="Q221">
        <v>31</v>
      </c>
      <c r="R221" s="12" t="str">
        <f t="shared" si="15"/>
        <v>Mist/Cloudy</v>
      </c>
      <c r="S221" s="14" t="str">
        <f t="shared" si="16"/>
        <v>Winter</v>
      </c>
      <c r="T221" s="15" t="str">
        <f t="shared" si="17"/>
        <v>Monday</v>
      </c>
      <c r="U221" t="str">
        <f t="shared" si="18"/>
        <v>January</v>
      </c>
      <c r="V221" s="16" t="str">
        <f t="shared" si="19"/>
        <v>MODERATE</v>
      </c>
    </row>
    <row r="222" spans="1:22" x14ac:dyDescent="0.3">
      <c r="A222">
        <v>221</v>
      </c>
      <c r="B222" s="1">
        <v>40553</v>
      </c>
      <c r="C222">
        <v>1</v>
      </c>
      <c r="D222">
        <v>0</v>
      </c>
      <c r="E222">
        <v>1</v>
      </c>
      <c r="F222">
        <v>11</v>
      </c>
      <c r="G222" t="b">
        <f>IF(COUNTIF(AB$4:AB$20,Append1[[#This Row],[dteday]]) &gt; 0, TRUE, FALSE)</f>
        <v>0</v>
      </c>
      <c r="H222">
        <v>1</v>
      </c>
      <c r="I222">
        <v>2</v>
      </c>
      <c r="J222">
        <v>0.16</v>
      </c>
      <c r="K222">
        <f>Append1[[#This Row],[temp]]*100</f>
        <v>16</v>
      </c>
      <c r="L222">
        <v>0.13639999999999999</v>
      </c>
      <c r="M222">
        <v>0.47</v>
      </c>
      <c r="N222">
        <v>0.28360000000000002</v>
      </c>
      <c r="O222">
        <v>2</v>
      </c>
      <c r="P222">
        <v>28</v>
      </c>
      <c r="Q222">
        <v>30</v>
      </c>
      <c r="R222" s="12" t="str">
        <f t="shared" si="15"/>
        <v>Mist/Cloudy</v>
      </c>
      <c r="S222" s="14" t="str">
        <f t="shared" si="16"/>
        <v>Winter</v>
      </c>
      <c r="T222" s="15" t="str">
        <f t="shared" si="17"/>
        <v>Monday</v>
      </c>
      <c r="U222" t="str">
        <f t="shared" si="18"/>
        <v>January</v>
      </c>
      <c r="V222" s="16" t="str">
        <f t="shared" si="19"/>
        <v>MODERATE</v>
      </c>
    </row>
    <row r="223" spans="1:22" x14ac:dyDescent="0.3">
      <c r="A223">
        <v>222</v>
      </c>
      <c r="B223" s="1">
        <v>40553</v>
      </c>
      <c r="C223">
        <v>1</v>
      </c>
      <c r="D223">
        <v>0</v>
      </c>
      <c r="E223">
        <v>1</v>
      </c>
      <c r="F223">
        <v>12</v>
      </c>
      <c r="G223" t="b">
        <f>IF(COUNTIF(AB$4:AB$20,Append1[[#This Row],[dteday]]) &gt; 0, TRUE, FALSE)</f>
        <v>0</v>
      </c>
      <c r="H223">
        <v>1</v>
      </c>
      <c r="I223">
        <v>2</v>
      </c>
      <c r="J223">
        <v>0.2</v>
      </c>
      <c r="K223">
        <f>Append1[[#This Row],[temp]]*100</f>
        <v>20</v>
      </c>
      <c r="L223">
        <v>0.18179999999999999</v>
      </c>
      <c r="M223">
        <v>0.4</v>
      </c>
      <c r="N223">
        <v>0.28360000000000002</v>
      </c>
      <c r="O223">
        <v>5</v>
      </c>
      <c r="P223">
        <v>47</v>
      </c>
      <c r="Q223">
        <v>52</v>
      </c>
      <c r="R223" s="12" t="str">
        <f t="shared" si="15"/>
        <v>Mist/Cloudy</v>
      </c>
      <c r="S223" s="14" t="str">
        <f t="shared" si="16"/>
        <v>Winter</v>
      </c>
      <c r="T223" s="15" t="str">
        <f t="shared" si="17"/>
        <v>Monday</v>
      </c>
      <c r="U223" t="str">
        <f t="shared" si="18"/>
        <v>January</v>
      </c>
      <c r="V223" s="16" t="str">
        <f t="shared" si="19"/>
        <v>MODERATE</v>
      </c>
    </row>
    <row r="224" spans="1:22" x14ac:dyDescent="0.3">
      <c r="A224">
        <v>223</v>
      </c>
      <c r="B224" s="1">
        <v>40553</v>
      </c>
      <c r="C224">
        <v>1</v>
      </c>
      <c r="D224">
        <v>0</v>
      </c>
      <c r="E224">
        <v>1</v>
      </c>
      <c r="F224">
        <v>13</v>
      </c>
      <c r="G224" t="b">
        <f>IF(COUNTIF(AB$4:AB$20,Append1[[#This Row],[dteday]]) &gt; 0, TRUE, FALSE)</f>
        <v>0</v>
      </c>
      <c r="H224">
        <v>1</v>
      </c>
      <c r="I224">
        <v>2</v>
      </c>
      <c r="J224">
        <v>0.2</v>
      </c>
      <c r="K224">
        <f>Append1[[#This Row],[temp]]*100</f>
        <v>20</v>
      </c>
      <c r="L224">
        <v>0.18179999999999999</v>
      </c>
      <c r="M224">
        <v>0.4</v>
      </c>
      <c r="N224">
        <v>0.28360000000000002</v>
      </c>
      <c r="O224">
        <v>4</v>
      </c>
      <c r="P224">
        <v>50</v>
      </c>
      <c r="Q224">
        <v>54</v>
      </c>
      <c r="R224" s="12" t="str">
        <f t="shared" si="15"/>
        <v>Mist/Cloudy</v>
      </c>
      <c r="S224" s="14" t="str">
        <f t="shared" si="16"/>
        <v>Winter</v>
      </c>
      <c r="T224" s="15" t="str">
        <f t="shared" si="17"/>
        <v>Monday</v>
      </c>
      <c r="U224" t="str">
        <f t="shared" si="18"/>
        <v>January</v>
      </c>
      <c r="V224" s="16" t="str">
        <f t="shared" si="19"/>
        <v>MODERATE</v>
      </c>
    </row>
    <row r="225" spans="1:22" x14ac:dyDescent="0.3">
      <c r="A225">
        <v>224</v>
      </c>
      <c r="B225" s="1">
        <v>40553</v>
      </c>
      <c r="C225">
        <v>1</v>
      </c>
      <c r="D225">
        <v>0</v>
      </c>
      <c r="E225">
        <v>1</v>
      </c>
      <c r="F225">
        <v>14</v>
      </c>
      <c r="G225" t="b">
        <f>IF(COUNTIF(AB$4:AB$20,Append1[[#This Row],[dteday]]) &gt; 0, TRUE, FALSE)</f>
        <v>0</v>
      </c>
      <c r="H225">
        <v>1</v>
      </c>
      <c r="I225">
        <v>2</v>
      </c>
      <c r="J225">
        <v>0.2</v>
      </c>
      <c r="K225">
        <f>Append1[[#This Row],[temp]]*100</f>
        <v>20</v>
      </c>
      <c r="L225">
        <v>0.19700000000000001</v>
      </c>
      <c r="M225">
        <v>0.4</v>
      </c>
      <c r="N225">
        <v>0.22389999999999999</v>
      </c>
      <c r="O225">
        <v>0</v>
      </c>
      <c r="P225">
        <v>47</v>
      </c>
      <c r="Q225">
        <v>47</v>
      </c>
      <c r="R225" s="12" t="str">
        <f t="shared" si="15"/>
        <v>Mist/Cloudy</v>
      </c>
      <c r="S225" s="14" t="str">
        <f t="shared" si="16"/>
        <v>Winter</v>
      </c>
      <c r="T225" s="15" t="str">
        <f t="shared" si="17"/>
        <v>Monday</v>
      </c>
      <c r="U225" t="str">
        <f t="shared" si="18"/>
        <v>January</v>
      </c>
      <c r="V225" s="16" t="str">
        <f t="shared" si="19"/>
        <v>MODERATE</v>
      </c>
    </row>
    <row r="226" spans="1:22" x14ac:dyDescent="0.3">
      <c r="A226">
        <v>225</v>
      </c>
      <c r="B226" s="1">
        <v>40553</v>
      </c>
      <c r="C226">
        <v>1</v>
      </c>
      <c r="D226">
        <v>0</v>
      </c>
      <c r="E226">
        <v>1</v>
      </c>
      <c r="F226">
        <v>15</v>
      </c>
      <c r="G226" t="b">
        <f>IF(COUNTIF(AB$4:AB$20,Append1[[#This Row],[dteday]]) &gt; 0, TRUE, FALSE)</f>
        <v>0</v>
      </c>
      <c r="H226">
        <v>1</v>
      </c>
      <c r="I226">
        <v>2</v>
      </c>
      <c r="J226">
        <v>0.2</v>
      </c>
      <c r="K226">
        <f>Append1[[#This Row],[temp]]*100</f>
        <v>20</v>
      </c>
      <c r="L226">
        <v>0.19700000000000001</v>
      </c>
      <c r="M226">
        <v>0.4</v>
      </c>
      <c r="N226">
        <v>0.22389999999999999</v>
      </c>
      <c r="O226">
        <v>2</v>
      </c>
      <c r="P226">
        <v>43</v>
      </c>
      <c r="Q226">
        <v>45</v>
      </c>
      <c r="R226" s="12" t="str">
        <f t="shared" si="15"/>
        <v>Mist/Cloudy</v>
      </c>
      <c r="S226" s="14" t="str">
        <f t="shared" si="16"/>
        <v>Winter</v>
      </c>
      <c r="T226" s="15" t="str">
        <f t="shared" si="17"/>
        <v>Monday</v>
      </c>
      <c r="U226" t="str">
        <f t="shared" si="18"/>
        <v>January</v>
      </c>
      <c r="V226" s="16" t="str">
        <f t="shared" si="19"/>
        <v>MODERATE</v>
      </c>
    </row>
    <row r="227" spans="1:22" x14ac:dyDescent="0.3">
      <c r="A227">
        <v>226</v>
      </c>
      <c r="B227" s="1">
        <v>40553</v>
      </c>
      <c r="C227">
        <v>1</v>
      </c>
      <c r="D227">
        <v>0</v>
      </c>
      <c r="E227">
        <v>1</v>
      </c>
      <c r="F227">
        <v>16</v>
      </c>
      <c r="G227" t="b">
        <f>IF(COUNTIF(AB$4:AB$20,Append1[[#This Row],[dteday]]) &gt; 0, TRUE, FALSE)</f>
        <v>0</v>
      </c>
      <c r="H227">
        <v>1</v>
      </c>
      <c r="I227">
        <v>1</v>
      </c>
      <c r="J227">
        <v>0.2</v>
      </c>
      <c r="K227">
        <f>Append1[[#This Row],[temp]]*100</f>
        <v>20</v>
      </c>
      <c r="L227">
        <v>0.21210000000000001</v>
      </c>
      <c r="M227">
        <v>0.4</v>
      </c>
      <c r="N227">
        <v>0.1343</v>
      </c>
      <c r="O227">
        <v>4</v>
      </c>
      <c r="P227">
        <v>70</v>
      </c>
      <c r="Q227">
        <v>74</v>
      </c>
      <c r="R227" s="12" t="str">
        <f t="shared" si="15"/>
        <v>Clear/Few Clouds</v>
      </c>
      <c r="S227" s="14" t="str">
        <f t="shared" si="16"/>
        <v>Winter</v>
      </c>
      <c r="T227" s="15" t="str">
        <f t="shared" si="17"/>
        <v>Monday</v>
      </c>
      <c r="U227" t="str">
        <f t="shared" si="18"/>
        <v>January</v>
      </c>
      <c r="V227" s="16" t="str">
        <f t="shared" si="19"/>
        <v>GOOD</v>
      </c>
    </row>
    <row r="228" spans="1:22" x14ac:dyDescent="0.3">
      <c r="A228">
        <v>227</v>
      </c>
      <c r="B228" s="1">
        <v>40553</v>
      </c>
      <c r="C228">
        <v>1</v>
      </c>
      <c r="D228">
        <v>0</v>
      </c>
      <c r="E228">
        <v>1</v>
      </c>
      <c r="F228">
        <v>17</v>
      </c>
      <c r="G228" t="b">
        <f>IF(COUNTIF(AB$4:AB$20,Append1[[#This Row],[dteday]]) &gt; 0, TRUE, FALSE)</f>
        <v>0</v>
      </c>
      <c r="H228">
        <v>1</v>
      </c>
      <c r="I228">
        <v>1</v>
      </c>
      <c r="J228">
        <v>0.2</v>
      </c>
      <c r="K228">
        <f>Append1[[#This Row],[temp]]*100</f>
        <v>20</v>
      </c>
      <c r="L228">
        <v>0.2273</v>
      </c>
      <c r="M228">
        <v>0.4</v>
      </c>
      <c r="N228">
        <v>0.1045</v>
      </c>
      <c r="O228">
        <v>4</v>
      </c>
      <c r="P228">
        <v>174</v>
      </c>
      <c r="Q228">
        <v>178</v>
      </c>
      <c r="R228" s="12" t="str">
        <f t="shared" si="15"/>
        <v>Clear/Few Clouds</v>
      </c>
      <c r="S228" s="14" t="str">
        <f t="shared" si="16"/>
        <v>Winter</v>
      </c>
      <c r="T228" s="15" t="str">
        <f t="shared" si="17"/>
        <v>Monday</v>
      </c>
      <c r="U228" t="str">
        <f t="shared" si="18"/>
        <v>January</v>
      </c>
      <c r="V228" s="16" t="str">
        <f t="shared" si="19"/>
        <v>GOOD</v>
      </c>
    </row>
    <row r="229" spans="1:22" x14ac:dyDescent="0.3">
      <c r="A229">
        <v>228</v>
      </c>
      <c r="B229" s="1">
        <v>40553</v>
      </c>
      <c r="C229">
        <v>1</v>
      </c>
      <c r="D229">
        <v>0</v>
      </c>
      <c r="E229">
        <v>1</v>
      </c>
      <c r="F229">
        <v>18</v>
      </c>
      <c r="G229" t="b">
        <f>IF(COUNTIF(AB$4:AB$20,Append1[[#This Row],[dteday]]) &gt; 0, TRUE, FALSE)</f>
        <v>0</v>
      </c>
      <c r="H229">
        <v>1</v>
      </c>
      <c r="I229">
        <v>1</v>
      </c>
      <c r="J229">
        <v>0.2</v>
      </c>
      <c r="K229">
        <f>Append1[[#This Row],[temp]]*100</f>
        <v>20</v>
      </c>
      <c r="L229">
        <v>0.19700000000000001</v>
      </c>
      <c r="M229">
        <v>0.4</v>
      </c>
      <c r="N229">
        <v>0.22389999999999999</v>
      </c>
      <c r="O229">
        <v>1</v>
      </c>
      <c r="P229">
        <v>154</v>
      </c>
      <c r="Q229">
        <v>155</v>
      </c>
      <c r="R229" s="12" t="str">
        <f t="shared" si="15"/>
        <v>Clear/Few Clouds</v>
      </c>
      <c r="S229" s="14" t="str">
        <f t="shared" si="16"/>
        <v>Winter</v>
      </c>
      <c r="T229" s="15" t="str">
        <f t="shared" si="17"/>
        <v>Monday</v>
      </c>
      <c r="U229" t="str">
        <f t="shared" si="18"/>
        <v>January</v>
      </c>
      <c r="V229" s="16" t="str">
        <f t="shared" si="19"/>
        <v>GOOD</v>
      </c>
    </row>
    <row r="230" spans="1:22" x14ac:dyDescent="0.3">
      <c r="A230">
        <v>229</v>
      </c>
      <c r="B230" s="1">
        <v>40553</v>
      </c>
      <c r="C230">
        <v>1</v>
      </c>
      <c r="D230">
        <v>0</v>
      </c>
      <c r="E230">
        <v>1</v>
      </c>
      <c r="F230">
        <v>19</v>
      </c>
      <c r="G230" t="b">
        <f>IF(COUNTIF(AB$4:AB$20,Append1[[#This Row],[dteday]]) &gt; 0, TRUE, FALSE)</f>
        <v>0</v>
      </c>
      <c r="H230">
        <v>1</v>
      </c>
      <c r="I230">
        <v>1</v>
      </c>
      <c r="J230">
        <v>0.16</v>
      </c>
      <c r="K230">
        <f>Append1[[#This Row],[temp]]*100</f>
        <v>16</v>
      </c>
      <c r="L230">
        <v>0.16669999999999999</v>
      </c>
      <c r="M230">
        <v>0.47</v>
      </c>
      <c r="N230">
        <v>0.16420000000000001</v>
      </c>
      <c r="O230">
        <v>3</v>
      </c>
      <c r="P230">
        <v>92</v>
      </c>
      <c r="Q230">
        <v>95</v>
      </c>
      <c r="R230" s="12" t="str">
        <f t="shared" si="15"/>
        <v>Clear/Few Clouds</v>
      </c>
      <c r="S230" s="14" t="str">
        <f t="shared" si="16"/>
        <v>Winter</v>
      </c>
      <c r="T230" s="15" t="str">
        <f t="shared" si="17"/>
        <v>Monday</v>
      </c>
      <c r="U230" t="str">
        <f t="shared" si="18"/>
        <v>January</v>
      </c>
      <c r="V230" s="16" t="str">
        <f t="shared" si="19"/>
        <v>GOOD</v>
      </c>
    </row>
    <row r="231" spans="1:22" x14ac:dyDescent="0.3">
      <c r="A231">
        <v>230</v>
      </c>
      <c r="B231" s="1">
        <v>40553</v>
      </c>
      <c r="C231">
        <v>1</v>
      </c>
      <c r="D231">
        <v>0</v>
      </c>
      <c r="E231">
        <v>1</v>
      </c>
      <c r="F231">
        <v>20</v>
      </c>
      <c r="G231" t="b">
        <f>IF(COUNTIF(AB$4:AB$20,Append1[[#This Row],[dteday]]) &gt; 0, TRUE, FALSE)</f>
        <v>0</v>
      </c>
      <c r="H231">
        <v>1</v>
      </c>
      <c r="I231">
        <v>1</v>
      </c>
      <c r="J231">
        <v>0.16</v>
      </c>
      <c r="K231">
        <f>Append1[[#This Row],[temp]]*100</f>
        <v>16</v>
      </c>
      <c r="L231">
        <v>0.16669999999999999</v>
      </c>
      <c r="M231">
        <v>0.5</v>
      </c>
      <c r="N231">
        <v>0.16420000000000001</v>
      </c>
      <c r="O231">
        <v>1</v>
      </c>
      <c r="P231">
        <v>73</v>
      </c>
      <c r="Q231">
        <v>74</v>
      </c>
      <c r="R231" s="12" t="str">
        <f t="shared" si="15"/>
        <v>Clear/Few Clouds</v>
      </c>
      <c r="S231" s="14" t="str">
        <f t="shared" si="16"/>
        <v>Winter</v>
      </c>
      <c r="T231" s="15" t="str">
        <f t="shared" si="17"/>
        <v>Monday</v>
      </c>
      <c r="U231" t="str">
        <f t="shared" si="18"/>
        <v>January</v>
      </c>
      <c r="V231" s="16" t="str">
        <f t="shared" si="19"/>
        <v>GOOD</v>
      </c>
    </row>
    <row r="232" spans="1:22" x14ac:dyDescent="0.3">
      <c r="A232">
        <v>231</v>
      </c>
      <c r="B232" s="1">
        <v>40553</v>
      </c>
      <c r="C232">
        <v>1</v>
      </c>
      <c r="D232">
        <v>0</v>
      </c>
      <c r="E232">
        <v>1</v>
      </c>
      <c r="F232">
        <v>21</v>
      </c>
      <c r="G232" t="b">
        <f>IF(COUNTIF(AB$4:AB$20,Append1[[#This Row],[dteday]]) &gt; 0, TRUE, FALSE)</f>
        <v>0</v>
      </c>
      <c r="H232">
        <v>1</v>
      </c>
      <c r="I232">
        <v>1</v>
      </c>
      <c r="J232">
        <v>0.14000000000000001</v>
      </c>
      <c r="K232">
        <f>Append1[[#This Row],[temp]]*100</f>
        <v>14.000000000000002</v>
      </c>
      <c r="L232">
        <v>0.13639999999999999</v>
      </c>
      <c r="M232">
        <v>0.59</v>
      </c>
      <c r="N232">
        <v>0.19400000000000001</v>
      </c>
      <c r="O232">
        <v>1</v>
      </c>
      <c r="P232">
        <v>37</v>
      </c>
      <c r="Q232">
        <v>38</v>
      </c>
      <c r="R232" s="12" t="str">
        <f t="shared" si="15"/>
        <v>Clear/Few Clouds</v>
      </c>
      <c r="S232" s="14" t="str">
        <f t="shared" si="16"/>
        <v>Winter</v>
      </c>
      <c r="T232" s="15" t="str">
        <f t="shared" si="17"/>
        <v>Monday</v>
      </c>
      <c r="U232" t="str">
        <f t="shared" si="18"/>
        <v>January</v>
      </c>
      <c r="V232" s="16" t="str">
        <f t="shared" si="19"/>
        <v>GOOD</v>
      </c>
    </row>
    <row r="233" spans="1:22" x14ac:dyDescent="0.3">
      <c r="A233">
        <v>232</v>
      </c>
      <c r="B233" s="1">
        <v>40553</v>
      </c>
      <c r="C233">
        <v>1</v>
      </c>
      <c r="D233">
        <v>0</v>
      </c>
      <c r="E233">
        <v>1</v>
      </c>
      <c r="F233">
        <v>22</v>
      </c>
      <c r="G233" t="b">
        <f>IF(COUNTIF(AB$4:AB$20,Append1[[#This Row],[dteday]]) &gt; 0, TRUE, FALSE)</f>
        <v>0</v>
      </c>
      <c r="H233">
        <v>1</v>
      </c>
      <c r="I233">
        <v>1</v>
      </c>
      <c r="J233">
        <v>0.14000000000000001</v>
      </c>
      <c r="K233">
        <f>Append1[[#This Row],[temp]]*100</f>
        <v>14.000000000000002</v>
      </c>
      <c r="L233">
        <v>0.1515</v>
      </c>
      <c r="M233">
        <v>0.59</v>
      </c>
      <c r="N233">
        <v>0.16420000000000001</v>
      </c>
      <c r="O233">
        <v>2</v>
      </c>
      <c r="P233">
        <v>22</v>
      </c>
      <c r="Q233">
        <v>24</v>
      </c>
      <c r="R233" s="12" t="str">
        <f t="shared" si="15"/>
        <v>Clear/Few Clouds</v>
      </c>
      <c r="S233" s="14" t="str">
        <f t="shared" si="16"/>
        <v>Winter</v>
      </c>
      <c r="T233" s="15" t="str">
        <f t="shared" si="17"/>
        <v>Monday</v>
      </c>
      <c r="U233" t="str">
        <f t="shared" si="18"/>
        <v>January</v>
      </c>
      <c r="V233" s="16" t="str">
        <f t="shared" si="19"/>
        <v>GOOD</v>
      </c>
    </row>
    <row r="234" spans="1:22" x14ac:dyDescent="0.3">
      <c r="A234">
        <v>233</v>
      </c>
      <c r="B234" s="1">
        <v>40553</v>
      </c>
      <c r="C234">
        <v>1</v>
      </c>
      <c r="D234">
        <v>0</v>
      </c>
      <c r="E234">
        <v>1</v>
      </c>
      <c r="F234">
        <v>23</v>
      </c>
      <c r="G234" t="b">
        <f>IF(COUNTIF(AB$4:AB$20,Append1[[#This Row],[dteday]]) &gt; 0, TRUE, FALSE)</f>
        <v>0</v>
      </c>
      <c r="H234">
        <v>1</v>
      </c>
      <c r="I234">
        <v>1</v>
      </c>
      <c r="J234">
        <v>0.14000000000000001</v>
      </c>
      <c r="K234">
        <f>Append1[[#This Row],[temp]]*100</f>
        <v>14.000000000000002</v>
      </c>
      <c r="L234">
        <v>0.1515</v>
      </c>
      <c r="M234">
        <v>0.59</v>
      </c>
      <c r="N234">
        <v>0.16420000000000001</v>
      </c>
      <c r="O234">
        <v>0</v>
      </c>
      <c r="P234">
        <v>18</v>
      </c>
      <c r="Q234">
        <v>18</v>
      </c>
      <c r="R234" s="12" t="str">
        <f t="shared" si="15"/>
        <v>Clear/Few Clouds</v>
      </c>
      <c r="S234" s="14" t="str">
        <f t="shared" si="16"/>
        <v>Winter</v>
      </c>
      <c r="T234" s="15" t="str">
        <f t="shared" si="17"/>
        <v>Monday</v>
      </c>
      <c r="U234" t="str">
        <f t="shared" si="18"/>
        <v>January</v>
      </c>
      <c r="V234" s="16" t="str">
        <f t="shared" si="19"/>
        <v>GOOD</v>
      </c>
    </row>
    <row r="235" spans="1:22" x14ac:dyDescent="0.3">
      <c r="A235">
        <v>234</v>
      </c>
      <c r="B235" s="1">
        <v>40554</v>
      </c>
      <c r="C235">
        <v>1</v>
      </c>
      <c r="D235">
        <v>0</v>
      </c>
      <c r="E235">
        <v>1</v>
      </c>
      <c r="F235">
        <v>0</v>
      </c>
      <c r="G235" t="b">
        <f>IF(COUNTIF(AB$4:AB$20,Append1[[#This Row],[dteday]]) &gt; 0, TRUE, FALSE)</f>
        <v>0</v>
      </c>
      <c r="H235">
        <v>2</v>
      </c>
      <c r="I235">
        <v>1</v>
      </c>
      <c r="J235">
        <v>0.14000000000000001</v>
      </c>
      <c r="K235">
        <f>Append1[[#This Row],[temp]]*100</f>
        <v>14.000000000000002</v>
      </c>
      <c r="L235">
        <v>0.16669999999999999</v>
      </c>
      <c r="M235">
        <v>0.59</v>
      </c>
      <c r="N235">
        <v>0.1045</v>
      </c>
      <c r="O235">
        <v>2</v>
      </c>
      <c r="P235">
        <v>10</v>
      </c>
      <c r="Q235">
        <v>12</v>
      </c>
      <c r="R235" s="12" t="str">
        <f t="shared" si="15"/>
        <v>Clear/Few Clouds</v>
      </c>
      <c r="S235" s="14" t="str">
        <f t="shared" si="16"/>
        <v>Winter</v>
      </c>
      <c r="T235" s="15" t="str">
        <f t="shared" si="17"/>
        <v>Tuesday</v>
      </c>
      <c r="U235" t="str">
        <f t="shared" si="18"/>
        <v>January</v>
      </c>
      <c r="V235" s="16" t="str">
        <f t="shared" si="19"/>
        <v>GOOD</v>
      </c>
    </row>
    <row r="236" spans="1:22" x14ac:dyDescent="0.3">
      <c r="A236">
        <v>235</v>
      </c>
      <c r="B236" s="1">
        <v>40554</v>
      </c>
      <c r="C236">
        <v>1</v>
      </c>
      <c r="D236">
        <v>0</v>
      </c>
      <c r="E236">
        <v>1</v>
      </c>
      <c r="F236">
        <v>1</v>
      </c>
      <c r="G236" t="b">
        <f>IF(COUNTIF(AB$4:AB$20,Append1[[#This Row],[dteday]]) &gt; 0, TRUE, FALSE)</f>
        <v>0</v>
      </c>
      <c r="H236">
        <v>2</v>
      </c>
      <c r="I236">
        <v>1</v>
      </c>
      <c r="J236">
        <v>0.14000000000000001</v>
      </c>
      <c r="K236">
        <f>Append1[[#This Row],[temp]]*100</f>
        <v>14.000000000000002</v>
      </c>
      <c r="L236">
        <v>0.1515</v>
      </c>
      <c r="M236">
        <v>0.59</v>
      </c>
      <c r="N236">
        <v>0.16420000000000001</v>
      </c>
      <c r="O236">
        <v>0</v>
      </c>
      <c r="P236">
        <v>3</v>
      </c>
      <c r="Q236">
        <v>3</v>
      </c>
      <c r="R236" s="12" t="str">
        <f t="shared" si="15"/>
        <v>Clear/Few Clouds</v>
      </c>
      <c r="S236" s="14" t="str">
        <f t="shared" si="16"/>
        <v>Winter</v>
      </c>
      <c r="T236" s="15" t="str">
        <f t="shared" si="17"/>
        <v>Tuesday</v>
      </c>
      <c r="U236" t="str">
        <f t="shared" si="18"/>
        <v>January</v>
      </c>
      <c r="V236" s="16" t="str">
        <f t="shared" si="19"/>
        <v>GOOD</v>
      </c>
    </row>
    <row r="237" spans="1:22" x14ac:dyDescent="0.3">
      <c r="A237">
        <v>236</v>
      </c>
      <c r="B237" s="1">
        <v>40554</v>
      </c>
      <c r="C237">
        <v>1</v>
      </c>
      <c r="D237">
        <v>0</v>
      </c>
      <c r="E237">
        <v>1</v>
      </c>
      <c r="F237">
        <v>2</v>
      </c>
      <c r="G237" t="b">
        <f>IF(COUNTIF(AB$4:AB$20,Append1[[#This Row],[dteday]]) &gt; 0, TRUE, FALSE)</f>
        <v>0</v>
      </c>
      <c r="H237">
        <v>2</v>
      </c>
      <c r="I237">
        <v>2</v>
      </c>
      <c r="J237">
        <v>0.16</v>
      </c>
      <c r="K237">
        <f>Append1[[#This Row],[temp]]*100</f>
        <v>16</v>
      </c>
      <c r="L237">
        <v>0.1515</v>
      </c>
      <c r="M237">
        <v>0.55000000000000004</v>
      </c>
      <c r="N237">
        <v>0.19400000000000001</v>
      </c>
      <c r="O237">
        <v>0</v>
      </c>
      <c r="P237">
        <v>3</v>
      </c>
      <c r="Q237">
        <v>3</v>
      </c>
      <c r="R237" s="12" t="str">
        <f t="shared" si="15"/>
        <v>Mist/Cloudy</v>
      </c>
      <c r="S237" s="14" t="str">
        <f t="shared" si="16"/>
        <v>Winter</v>
      </c>
      <c r="T237" s="15" t="str">
        <f t="shared" si="17"/>
        <v>Tuesday</v>
      </c>
      <c r="U237" t="str">
        <f t="shared" si="18"/>
        <v>January</v>
      </c>
      <c r="V237" s="16" t="str">
        <f t="shared" si="19"/>
        <v>MODERATE</v>
      </c>
    </row>
    <row r="238" spans="1:22" x14ac:dyDescent="0.3">
      <c r="A238">
        <v>237</v>
      </c>
      <c r="B238" s="1">
        <v>40554</v>
      </c>
      <c r="C238">
        <v>1</v>
      </c>
      <c r="D238">
        <v>0</v>
      </c>
      <c r="E238">
        <v>1</v>
      </c>
      <c r="F238">
        <v>5</v>
      </c>
      <c r="G238" t="b">
        <f>IF(COUNTIF(AB$4:AB$20,Append1[[#This Row],[dteday]]) &gt; 0, TRUE, FALSE)</f>
        <v>0</v>
      </c>
      <c r="H238">
        <v>2</v>
      </c>
      <c r="I238">
        <v>2</v>
      </c>
      <c r="J238">
        <v>0.16</v>
      </c>
      <c r="K238">
        <f>Append1[[#This Row],[temp]]*100</f>
        <v>16</v>
      </c>
      <c r="L238">
        <v>0.18179999999999999</v>
      </c>
      <c r="M238">
        <v>0.55000000000000004</v>
      </c>
      <c r="N238">
        <v>0.1343</v>
      </c>
      <c r="O238">
        <v>0</v>
      </c>
      <c r="P238">
        <v>6</v>
      </c>
      <c r="Q238">
        <v>6</v>
      </c>
      <c r="R238" s="12" t="str">
        <f t="shared" si="15"/>
        <v>Mist/Cloudy</v>
      </c>
      <c r="S238" s="14" t="str">
        <f t="shared" si="16"/>
        <v>Winter</v>
      </c>
      <c r="T238" s="15" t="str">
        <f t="shared" si="17"/>
        <v>Tuesday</v>
      </c>
      <c r="U238" t="str">
        <f t="shared" si="18"/>
        <v>January</v>
      </c>
      <c r="V238" s="16" t="str">
        <f t="shared" si="19"/>
        <v>MODERATE</v>
      </c>
    </row>
    <row r="239" spans="1:22" x14ac:dyDescent="0.3">
      <c r="A239">
        <v>238</v>
      </c>
      <c r="B239" s="1">
        <v>40554</v>
      </c>
      <c r="C239">
        <v>1</v>
      </c>
      <c r="D239">
        <v>0</v>
      </c>
      <c r="E239">
        <v>1</v>
      </c>
      <c r="F239">
        <v>6</v>
      </c>
      <c r="G239" t="b">
        <f>IF(COUNTIF(AB$4:AB$20,Append1[[#This Row],[dteday]]) &gt; 0, TRUE, FALSE)</f>
        <v>0</v>
      </c>
      <c r="H239">
        <v>2</v>
      </c>
      <c r="I239">
        <v>2</v>
      </c>
      <c r="J239">
        <v>0.16</v>
      </c>
      <c r="K239">
        <f>Append1[[#This Row],[temp]]*100</f>
        <v>16</v>
      </c>
      <c r="L239">
        <v>0.18179999999999999</v>
      </c>
      <c r="M239">
        <v>0.55000000000000004</v>
      </c>
      <c r="N239">
        <v>0.1343</v>
      </c>
      <c r="O239">
        <v>0</v>
      </c>
      <c r="P239">
        <v>27</v>
      </c>
      <c r="Q239">
        <v>27</v>
      </c>
      <c r="R239" s="12" t="str">
        <f t="shared" si="15"/>
        <v>Mist/Cloudy</v>
      </c>
      <c r="S239" s="14" t="str">
        <f t="shared" si="16"/>
        <v>Winter</v>
      </c>
      <c r="T239" s="15" t="str">
        <f t="shared" si="17"/>
        <v>Tuesday</v>
      </c>
      <c r="U239" t="str">
        <f t="shared" si="18"/>
        <v>January</v>
      </c>
      <c r="V239" s="16" t="str">
        <f t="shared" si="19"/>
        <v>MODERATE</v>
      </c>
    </row>
    <row r="240" spans="1:22" x14ac:dyDescent="0.3">
      <c r="A240">
        <v>239</v>
      </c>
      <c r="B240" s="1">
        <v>40554</v>
      </c>
      <c r="C240">
        <v>1</v>
      </c>
      <c r="D240">
        <v>0</v>
      </c>
      <c r="E240">
        <v>1</v>
      </c>
      <c r="F240">
        <v>7</v>
      </c>
      <c r="G240" t="b">
        <f>IF(COUNTIF(AB$4:AB$20,Append1[[#This Row],[dteday]]) &gt; 0, TRUE, FALSE)</f>
        <v>0</v>
      </c>
      <c r="H240">
        <v>2</v>
      </c>
      <c r="I240">
        <v>2</v>
      </c>
      <c r="J240">
        <v>0.16</v>
      </c>
      <c r="K240">
        <f>Append1[[#This Row],[temp]]*100</f>
        <v>16</v>
      </c>
      <c r="L240">
        <v>0.2273</v>
      </c>
      <c r="M240">
        <v>0.55000000000000004</v>
      </c>
      <c r="N240">
        <v>0</v>
      </c>
      <c r="O240">
        <v>2</v>
      </c>
      <c r="P240">
        <v>97</v>
      </c>
      <c r="Q240">
        <v>99</v>
      </c>
      <c r="R240" s="12" t="str">
        <f t="shared" si="15"/>
        <v>Mist/Cloudy</v>
      </c>
      <c r="S240" s="14" t="str">
        <f t="shared" si="16"/>
        <v>Winter</v>
      </c>
      <c r="T240" s="15" t="str">
        <f t="shared" si="17"/>
        <v>Tuesday</v>
      </c>
      <c r="U240" t="str">
        <f t="shared" si="18"/>
        <v>January</v>
      </c>
      <c r="V240" s="16" t="str">
        <f t="shared" si="19"/>
        <v>MODERATE</v>
      </c>
    </row>
    <row r="241" spans="1:22" x14ac:dyDescent="0.3">
      <c r="A241">
        <v>240</v>
      </c>
      <c r="B241" s="1">
        <v>40554</v>
      </c>
      <c r="C241">
        <v>1</v>
      </c>
      <c r="D241">
        <v>0</v>
      </c>
      <c r="E241">
        <v>1</v>
      </c>
      <c r="F241">
        <v>8</v>
      </c>
      <c r="G241" t="b">
        <f>IF(COUNTIF(AB$4:AB$20,Append1[[#This Row],[dteday]]) &gt; 0, TRUE, FALSE)</f>
        <v>0</v>
      </c>
      <c r="H241">
        <v>2</v>
      </c>
      <c r="I241">
        <v>2</v>
      </c>
      <c r="J241">
        <v>0.18</v>
      </c>
      <c r="K241">
        <f>Append1[[#This Row],[temp]]*100</f>
        <v>18</v>
      </c>
      <c r="L241">
        <v>0.21210000000000001</v>
      </c>
      <c r="M241">
        <v>0.51</v>
      </c>
      <c r="N241">
        <v>8.9599999999999999E-2</v>
      </c>
      <c r="O241">
        <v>3</v>
      </c>
      <c r="P241">
        <v>214</v>
      </c>
      <c r="Q241">
        <v>217</v>
      </c>
      <c r="R241" s="12" t="str">
        <f t="shared" si="15"/>
        <v>Mist/Cloudy</v>
      </c>
      <c r="S241" s="14" t="str">
        <f t="shared" si="16"/>
        <v>Winter</v>
      </c>
      <c r="T241" s="15" t="str">
        <f t="shared" si="17"/>
        <v>Tuesday</v>
      </c>
      <c r="U241" t="str">
        <f t="shared" si="18"/>
        <v>January</v>
      </c>
      <c r="V241" s="16" t="str">
        <f t="shared" si="19"/>
        <v>MODERATE</v>
      </c>
    </row>
    <row r="242" spans="1:22" x14ac:dyDescent="0.3">
      <c r="A242">
        <v>241</v>
      </c>
      <c r="B242" s="1">
        <v>40554</v>
      </c>
      <c r="C242">
        <v>1</v>
      </c>
      <c r="D242">
        <v>0</v>
      </c>
      <c r="E242">
        <v>1</v>
      </c>
      <c r="F242">
        <v>9</v>
      </c>
      <c r="G242" t="b">
        <f>IF(COUNTIF(AB$4:AB$20,Append1[[#This Row],[dteday]]) &gt; 0, TRUE, FALSE)</f>
        <v>0</v>
      </c>
      <c r="H242">
        <v>2</v>
      </c>
      <c r="I242">
        <v>2</v>
      </c>
      <c r="J242">
        <v>0.18</v>
      </c>
      <c r="K242">
        <f>Append1[[#This Row],[temp]]*100</f>
        <v>18</v>
      </c>
      <c r="L242">
        <v>0.19700000000000001</v>
      </c>
      <c r="M242">
        <v>0.51</v>
      </c>
      <c r="N242">
        <v>0.16420000000000001</v>
      </c>
      <c r="O242">
        <v>3</v>
      </c>
      <c r="P242">
        <v>127</v>
      </c>
      <c r="Q242">
        <v>130</v>
      </c>
      <c r="R242" s="12" t="str">
        <f t="shared" si="15"/>
        <v>Mist/Cloudy</v>
      </c>
      <c r="S242" s="14" t="str">
        <f t="shared" si="16"/>
        <v>Winter</v>
      </c>
      <c r="T242" s="15" t="str">
        <f t="shared" si="17"/>
        <v>Tuesday</v>
      </c>
      <c r="U242" t="str">
        <f t="shared" si="18"/>
        <v>January</v>
      </c>
      <c r="V242" s="16" t="str">
        <f t="shared" si="19"/>
        <v>MODERATE</v>
      </c>
    </row>
    <row r="243" spans="1:22" x14ac:dyDescent="0.3">
      <c r="A243">
        <v>242</v>
      </c>
      <c r="B243" s="1">
        <v>40554</v>
      </c>
      <c r="C243">
        <v>1</v>
      </c>
      <c r="D243">
        <v>0</v>
      </c>
      <c r="E243">
        <v>1</v>
      </c>
      <c r="F243">
        <v>10</v>
      </c>
      <c r="G243" t="b">
        <f>IF(COUNTIF(AB$4:AB$20,Append1[[#This Row],[dteday]]) &gt; 0, TRUE, FALSE)</f>
        <v>0</v>
      </c>
      <c r="H243">
        <v>2</v>
      </c>
      <c r="I243">
        <v>2</v>
      </c>
      <c r="J243">
        <v>0.2</v>
      </c>
      <c r="K243">
        <f>Append1[[#This Row],[temp]]*100</f>
        <v>20</v>
      </c>
      <c r="L243">
        <v>0.21210000000000001</v>
      </c>
      <c r="M243">
        <v>0.51</v>
      </c>
      <c r="N243">
        <v>0.16420000000000001</v>
      </c>
      <c r="O243">
        <v>3</v>
      </c>
      <c r="P243">
        <v>51</v>
      </c>
      <c r="Q243">
        <v>54</v>
      </c>
      <c r="R243" s="12" t="str">
        <f t="shared" si="15"/>
        <v>Mist/Cloudy</v>
      </c>
      <c r="S243" s="14" t="str">
        <f t="shared" si="16"/>
        <v>Winter</v>
      </c>
      <c r="T243" s="15" t="str">
        <f t="shared" si="17"/>
        <v>Tuesday</v>
      </c>
      <c r="U243" t="str">
        <f t="shared" si="18"/>
        <v>January</v>
      </c>
      <c r="V243" s="16" t="str">
        <f t="shared" si="19"/>
        <v>MODERATE</v>
      </c>
    </row>
    <row r="244" spans="1:22" x14ac:dyDescent="0.3">
      <c r="A244">
        <v>243</v>
      </c>
      <c r="B244" s="1">
        <v>40554</v>
      </c>
      <c r="C244">
        <v>1</v>
      </c>
      <c r="D244">
        <v>0</v>
      </c>
      <c r="E244">
        <v>1</v>
      </c>
      <c r="F244">
        <v>11</v>
      </c>
      <c r="G244" t="b">
        <f>IF(COUNTIF(AB$4:AB$20,Append1[[#This Row],[dteday]]) &gt; 0, TRUE, FALSE)</f>
        <v>0</v>
      </c>
      <c r="H244">
        <v>2</v>
      </c>
      <c r="I244">
        <v>2</v>
      </c>
      <c r="J244">
        <v>0.2</v>
      </c>
      <c r="K244">
        <f>Append1[[#This Row],[temp]]*100</f>
        <v>20</v>
      </c>
      <c r="L244">
        <v>0.21210000000000001</v>
      </c>
      <c r="M244">
        <v>0.47</v>
      </c>
      <c r="N244">
        <v>0.1343</v>
      </c>
      <c r="O244">
        <v>4</v>
      </c>
      <c r="P244">
        <v>31</v>
      </c>
      <c r="Q244">
        <v>35</v>
      </c>
      <c r="R244" s="12" t="str">
        <f t="shared" si="15"/>
        <v>Mist/Cloudy</v>
      </c>
      <c r="S244" s="14" t="str">
        <f t="shared" si="16"/>
        <v>Winter</v>
      </c>
      <c r="T244" s="15" t="str">
        <f t="shared" si="17"/>
        <v>Tuesday</v>
      </c>
      <c r="U244" t="str">
        <f t="shared" si="18"/>
        <v>January</v>
      </c>
      <c r="V244" s="16" t="str">
        <f t="shared" si="19"/>
        <v>MODERATE</v>
      </c>
    </row>
    <row r="245" spans="1:22" x14ac:dyDescent="0.3">
      <c r="A245">
        <v>244</v>
      </c>
      <c r="B245" s="1">
        <v>40554</v>
      </c>
      <c r="C245">
        <v>1</v>
      </c>
      <c r="D245">
        <v>0</v>
      </c>
      <c r="E245">
        <v>1</v>
      </c>
      <c r="F245">
        <v>12</v>
      </c>
      <c r="G245" t="b">
        <f>IF(COUNTIF(AB$4:AB$20,Append1[[#This Row],[dteday]]) &gt; 0, TRUE, FALSE)</f>
        <v>0</v>
      </c>
      <c r="H245">
        <v>2</v>
      </c>
      <c r="I245">
        <v>2</v>
      </c>
      <c r="J245">
        <v>0.2</v>
      </c>
      <c r="K245">
        <f>Append1[[#This Row],[temp]]*100</f>
        <v>20</v>
      </c>
      <c r="L245">
        <v>0.2273</v>
      </c>
      <c r="M245">
        <v>0.51</v>
      </c>
      <c r="N245">
        <v>0.1045</v>
      </c>
      <c r="O245">
        <v>2</v>
      </c>
      <c r="P245">
        <v>55</v>
      </c>
      <c r="Q245">
        <v>57</v>
      </c>
      <c r="R245" s="12" t="str">
        <f t="shared" si="15"/>
        <v>Mist/Cloudy</v>
      </c>
      <c r="S245" s="14" t="str">
        <f t="shared" si="16"/>
        <v>Winter</v>
      </c>
      <c r="T245" s="15" t="str">
        <f t="shared" si="17"/>
        <v>Tuesday</v>
      </c>
      <c r="U245" t="str">
        <f t="shared" si="18"/>
        <v>January</v>
      </c>
      <c r="V245" s="16" t="str">
        <f t="shared" si="19"/>
        <v>MODERATE</v>
      </c>
    </row>
    <row r="246" spans="1:22" x14ac:dyDescent="0.3">
      <c r="A246">
        <v>245</v>
      </c>
      <c r="B246" s="1">
        <v>40554</v>
      </c>
      <c r="C246">
        <v>1</v>
      </c>
      <c r="D246">
        <v>0</v>
      </c>
      <c r="E246">
        <v>1</v>
      </c>
      <c r="F246">
        <v>13</v>
      </c>
      <c r="G246" t="b">
        <f>IF(COUNTIF(AB$4:AB$20,Append1[[#This Row],[dteday]]) &gt; 0, TRUE, FALSE)</f>
        <v>0</v>
      </c>
      <c r="H246">
        <v>2</v>
      </c>
      <c r="I246">
        <v>2</v>
      </c>
      <c r="J246">
        <v>0.2</v>
      </c>
      <c r="K246">
        <f>Append1[[#This Row],[temp]]*100</f>
        <v>20</v>
      </c>
      <c r="L246">
        <v>0.2273</v>
      </c>
      <c r="M246">
        <v>0.59</v>
      </c>
      <c r="N246">
        <v>8.9599999999999999E-2</v>
      </c>
      <c r="O246">
        <v>6</v>
      </c>
      <c r="P246">
        <v>46</v>
      </c>
      <c r="Q246">
        <v>52</v>
      </c>
      <c r="R246" s="12" t="str">
        <f t="shared" si="15"/>
        <v>Mist/Cloudy</v>
      </c>
      <c r="S246" s="14" t="str">
        <f t="shared" si="16"/>
        <v>Winter</v>
      </c>
      <c r="T246" s="15" t="str">
        <f t="shared" si="17"/>
        <v>Tuesday</v>
      </c>
      <c r="U246" t="str">
        <f t="shared" si="18"/>
        <v>January</v>
      </c>
      <c r="V246" s="16" t="str">
        <f t="shared" si="19"/>
        <v>MODERATE</v>
      </c>
    </row>
    <row r="247" spans="1:22" x14ac:dyDescent="0.3">
      <c r="A247">
        <v>246</v>
      </c>
      <c r="B247" s="1">
        <v>40554</v>
      </c>
      <c r="C247">
        <v>1</v>
      </c>
      <c r="D247">
        <v>0</v>
      </c>
      <c r="E247">
        <v>1</v>
      </c>
      <c r="F247">
        <v>14</v>
      </c>
      <c r="G247" t="b">
        <f>IF(COUNTIF(AB$4:AB$20,Append1[[#This Row],[dteday]]) &gt; 0, TRUE, FALSE)</f>
        <v>0</v>
      </c>
      <c r="H247">
        <v>2</v>
      </c>
      <c r="I247">
        <v>2</v>
      </c>
      <c r="J247">
        <v>0.2</v>
      </c>
      <c r="K247">
        <f>Append1[[#This Row],[temp]]*100</f>
        <v>20</v>
      </c>
      <c r="L247">
        <v>0.2273</v>
      </c>
      <c r="M247">
        <v>0.59</v>
      </c>
      <c r="N247">
        <v>8.9599999999999999E-2</v>
      </c>
      <c r="O247">
        <v>3</v>
      </c>
      <c r="P247">
        <v>60</v>
      </c>
      <c r="Q247">
        <v>63</v>
      </c>
      <c r="R247" s="12" t="str">
        <f t="shared" si="15"/>
        <v>Mist/Cloudy</v>
      </c>
      <c r="S247" s="14" t="str">
        <f t="shared" si="16"/>
        <v>Winter</v>
      </c>
      <c r="T247" s="15" t="str">
        <f t="shared" si="17"/>
        <v>Tuesday</v>
      </c>
      <c r="U247" t="str">
        <f t="shared" si="18"/>
        <v>January</v>
      </c>
      <c r="V247" s="16" t="str">
        <f t="shared" si="19"/>
        <v>MODERATE</v>
      </c>
    </row>
    <row r="248" spans="1:22" x14ac:dyDescent="0.3">
      <c r="A248">
        <v>247</v>
      </c>
      <c r="B248" s="1">
        <v>40554</v>
      </c>
      <c r="C248">
        <v>1</v>
      </c>
      <c r="D248">
        <v>0</v>
      </c>
      <c r="E248">
        <v>1</v>
      </c>
      <c r="F248">
        <v>15</v>
      </c>
      <c r="G248" t="b">
        <f>IF(COUNTIF(AB$4:AB$20,Append1[[#This Row],[dteday]]) &gt; 0, TRUE, FALSE)</f>
        <v>0</v>
      </c>
      <c r="H248">
        <v>2</v>
      </c>
      <c r="I248">
        <v>2</v>
      </c>
      <c r="J248">
        <v>0.16</v>
      </c>
      <c r="K248">
        <f>Append1[[#This Row],[temp]]*100</f>
        <v>16</v>
      </c>
      <c r="L248">
        <v>0.19700000000000001</v>
      </c>
      <c r="M248">
        <v>0.8</v>
      </c>
      <c r="N248">
        <v>8.9599999999999999E-2</v>
      </c>
      <c r="O248">
        <v>2</v>
      </c>
      <c r="P248">
        <v>45</v>
      </c>
      <c r="Q248">
        <v>47</v>
      </c>
      <c r="R248" s="12" t="str">
        <f t="shared" si="15"/>
        <v>Mist/Cloudy</v>
      </c>
      <c r="S248" s="14" t="str">
        <f t="shared" si="16"/>
        <v>Winter</v>
      </c>
      <c r="T248" s="15" t="str">
        <f t="shared" si="17"/>
        <v>Tuesday</v>
      </c>
      <c r="U248" t="str">
        <f t="shared" si="18"/>
        <v>January</v>
      </c>
      <c r="V248" s="16" t="str">
        <f t="shared" si="19"/>
        <v>MODERATE</v>
      </c>
    </row>
    <row r="249" spans="1:22" x14ac:dyDescent="0.3">
      <c r="A249">
        <v>248</v>
      </c>
      <c r="B249" s="1">
        <v>40554</v>
      </c>
      <c r="C249">
        <v>1</v>
      </c>
      <c r="D249">
        <v>0</v>
      </c>
      <c r="E249">
        <v>1</v>
      </c>
      <c r="F249">
        <v>16</v>
      </c>
      <c r="G249" t="b">
        <f>IF(COUNTIF(AB$4:AB$20,Append1[[#This Row],[dteday]]) &gt; 0, TRUE, FALSE)</f>
        <v>0</v>
      </c>
      <c r="H249">
        <v>2</v>
      </c>
      <c r="I249">
        <v>2</v>
      </c>
      <c r="J249">
        <v>0.16</v>
      </c>
      <c r="K249">
        <f>Append1[[#This Row],[temp]]*100</f>
        <v>16</v>
      </c>
      <c r="L249">
        <v>0.1515</v>
      </c>
      <c r="M249">
        <v>0.86</v>
      </c>
      <c r="N249">
        <v>0.22389999999999999</v>
      </c>
      <c r="O249">
        <v>4</v>
      </c>
      <c r="P249">
        <v>72</v>
      </c>
      <c r="Q249">
        <v>76</v>
      </c>
      <c r="R249" s="12" t="str">
        <f t="shared" si="15"/>
        <v>Mist/Cloudy</v>
      </c>
      <c r="S249" s="14" t="str">
        <f t="shared" si="16"/>
        <v>Winter</v>
      </c>
      <c r="T249" s="15" t="str">
        <f t="shared" si="17"/>
        <v>Tuesday</v>
      </c>
      <c r="U249" t="str">
        <f t="shared" si="18"/>
        <v>January</v>
      </c>
      <c r="V249" s="16" t="str">
        <f t="shared" si="19"/>
        <v>MODERATE</v>
      </c>
    </row>
    <row r="250" spans="1:22" x14ac:dyDescent="0.3">
      <c r="A250">
        <v>249</v>
      </c>
      <c r="B250" s="1">
        <v>40554</v>
      </c>
      <c r="C250">
        <v>1</v>
      </c>
      <c r="D250">
        <v>0</v>
      </c>
      <c r="E250">
        <v>1</v>
      </c>
      <c r="F250">
        <v>17</v>
      </c>
      <c r="G250" t="b">
        <f>IF(COUNTIF(AB$4:AB$20,Append1[[#This Row],[dteday]]) &gt; 0, TRUE, FALSE)</f>
        <v>0</v>
      </c>
      <c r="H250">
        <v>2</v>
      </c>
      <c r="I250">
        <v>2</v>
      </c>
      <c r="J250">
        <v>0.16</v>
      </c>
      <c r="K250">
        <f>Append1[[#This Row],[temp]]*100</f>
        <v>16</v>
      </c>
      <c r="L250">
        <v>0.1515</v>
      </c>
      <c r="M250">
        <v>0.86</v>
      </c>
      <c r="N250">
        <v>0.22389999999999999</v>
      </c>
      <c r="O250">
        <v>6</v>
      </c>
      <c r="P250">
        <v>130</v>
      </c>
      <c r="Q250">
        <v>136</v>
      </c>
      <c r="R250" s="12" t="str">
        <f t="shared" si="15"/>
        <v>Mist/Cloudy</v>
      </c>
      <c r="S250" s="14" t="str">
        <f t="shared" si="16"/>
        <v>Winter</v>
      </c>
      <c r="T250" s="15" t="str">
        <f t="shared" si="17"/>
        <v>Tuesday</v>
      </c>
      <c r="U250" t="str">
        <f t="shared" si="18"/>
        <v>January</v>
      </c>
      <c r="V250" s="16" t="str">
        <f t="shared" si="19"/>
        <v>MODERATE</v>
      </c>
    </row>
    <row r="251" spans="1:22" x14ac:dyDescent="0.3">
      <c r="A251">
        <v>250</v>
      </c>
      <c r="B251" s="1">
        <v>40554</v>
      </c>
      <c r="C251">
        <v>1</v>
      </c>
      <c r="D251">
        <v>0</v>
      </c>
      <c r="E251">
        <v>1</v>
      </c>
      <c r="F251">
        <v>18</v>
      </c>
      <c r="G251" t="b">
        <f>IF(COUNTIF(AB$4:AB$20,Append1[[#This Row],[dteday]]) &gt; 0, TRUE, FALSE)</f>
        <v>0</v>
      </c>
      <c r="H251">
        <v>2</v>
      </c>
      <c r="I251">
        <v>3</v>
      </c>
      <c r="J251">
        <v>0.16</v>
      </c>
      <c r="K251">
        <f>Append1[[#This Row],[temp]]*100</f>
        <v>16</v>
      </c>
      <c r="L251">
        <v>0.18179999999999999</v>
      </c>
      <c r="M251">
        <v>0.93</v>
      </c>
      <c r="N251">
        <v>0.1045</v>
      </c>
      <c r="O251">
        <v>1</v>
      </c>
      <c r="P251">
        <v>94</v>
      </c>
      <c r="Q251">
        <v>95</v>
      </c>
      <c r="R251" s="12" t="str">
        <f t="shared" si="15"/>
        <v>Light Rain/Snow</v>
      </c>
      <c r="S251" s="14" t="str">
        <f t="shared" si="16"/>
        <v>Winter</v>
      </c>
      <c r="T251" s="15" t="str">
        <f t="shared" si="17"/>
        <v>Tuesday</v>
      </c>
      <c r="U251" t="str">
        <f t="shared" si="18"/>
        <v>January</v>
      </c>
      <c r="V251" s="16" t="str">
        <f t="shared" si="19"/>
        <v>BAD</v>
      </c>
    </row>
    <row r="252" spans="1:22" x14ac:dyDescent="0.3">
      <c r="A252">
        <v>251</v>
      </c>
      <c r="B252" s="1">
        <v>40554</v>
      </c>
      <c r="C252">
        <v>1</v>
      </c>
      <c r="D252">
        <v>0</v>
      </c>
      <c r="E252">
        <v>1</v>
      </c>
      <c r="F252">
        <v>19</v>
      </c>
      <c r="G252" t="b">
        <f>IF(COUNTIF(AB$4:AB$20,Append1[[#This Row],[dteday]]) &gt; 0, TRUE, FALSE)</f>
        <v>0</v>
      </c>
      <c r="H252">
        <v>2</v>
      </c>
      <c r="I252">
        <v>3</v>
      </c>
      <c r="J252">
        <v>0.16</v>
      </c>
      <c r="K252">
        <f>Append1[[#This Row],[temp]]*100</f>
        <v>16</v>
      </c>
      <c r="L252">
        <v>0.2273</v>
      </c>
      <c r="M252">
        <v>0.93</v>
      </c>
      <c r="N252">
        <v>0</v>
      </c>
      <c r="O252">
        <v>0</v>
      </c>
      <c r="P252">
        <v>51</v>
      </c>
      <c r="Q252">
        <v>51</v>
      </c>
      <c r="R252" s="12" t="str">
        <f t="shared" si="15"/>
        <v>Light Rain/Snow</v>
      </c>
      <c r="S252" s="14" t="str">
        <f t="shared" si="16"/>
        <v>Winter</v>
      </c>
      <c r="T252" s="15" t="str">
        <f t="shared" si="17"/>
        <v>Tuesday</v>
      </c>
      <c r="U252" t="str">
        <f t="shared" si="18"/>
        <v>January</v>
      </c>
      <c r="V252" s="16" t="str">
        <f t="shared" si="19"/>
        <v>BAD</v>
      </c>
    </row>
    <row r="253" spans="1:22" x14ac:dyDescent="0.3">
      <c r="A253">
        <v>252</v>
      </c>
      <c r="B253" s="1">
        <v>40554</v>
      </c>
      <c r="C253">
        <v>1</v>
      </c>
      <c r="D253">
        <v>0</v>
      </c>
      <c r="E253">
        <v>1</v>
      </c>
      <c r="F253">
        <v>20</v>
      </c>
      <c r="G253" t="b">
        <f>IF(COUNTIF(AB$4:AB$20,Append1[[#This Row],[dteday]]) &gt; 0, TRUE, FALSE)</f>
        <v>0</v>
      </c>
      <c r="H253">
        <v>2</v>
      </c>
      <c r="I253">
        <v>3</v>
      </c>
      <c r="J253">
        <v>0.16</v>
      </c>
      <c r="K253">
        <f>Append1[[#This Row],[temp]]*100</f>
        <v>16</v>
      </c>
      <c r="L253">
        <v>0.1515</v>
      </c>
      <c r="M253">
        <v>0.93</v>
      </c>
      <c r="N253">
        <v>0.19400000000000001</v>
      </c>
      <c r="O253">
        <v>0</v>
      </c>
      <c r="P253">
        <v>32</v>
      </c>
      <c r="Q253">
        <v>32</v>
      </c>
      <c r="R253" s="12" t="str">
        <f t="shared" si="15"/>
        <v>Light Rain/Snow</v>
      </c>
      <c r="S253" s="14" t="str">
        <f t="shared" si="16"/>
        <v>Winter</v>
      </c>
      <c r="T253" s="15" t="str">
        <f t="shared" si="17"/>
        <v>Tuesday</v>
      </c>
      <c r="U253" t="str">
        <f t="shared" si="18"/>
        <v>January</v>
      </c>
      <c r="V253" s="16" t="str">
        <f t="shared" si="19"/>
        <v>BAD</v>
      </c>
    </row>
    <row r="254" spans="1:22" x14ac:dyDescent="0.3">
      <c r="A254">
        <v>253</v>
      </c>
      <c r="B254" s="1">
        <v>40554</v>
      </c>
      <c r="C254">
        <v>1</v>
      </c>
      <c r="D254">
        <v>0</v>
      </c>
      <c r="E254">
        <v>1</v>
      </c>
      <c r="F254">
        <v>21</v>
      </c>
      <c r="G254" t="b">
        <f>IF(COUNTIF(AB$4:AB$20,Append1[[#This Row],[dteday]]) &gt; 0, TRUE, FALSE)</f>
        <v>0</v>
      </c>
      <c r="H254">
        <v>2</v>
      </c>
      <c r="I254">
        <v>3</v>
      </c>
      <c r="J254">
        <v>0.16</v>
      </c>
      <c r="K254">
        <f>Append1[[#This Row],[temp]]*100</f>
        <v>16</v>
      </c>
      <c r="L254">
        <v>0.19700000000000001</v>
      </c>
      <c r="M254">
        <v>0.86</v>
      </c>
      <c r="N254">
        <v>8.9599999999999999E-2</v>
      </c>
      <c r="O254">
        <v>0</v>
      </c>
      <c r="P254">
        <v>20</v>
      </c>
      <c r="Q254">
        <v>20</v>
      </c>
      <c r="R254" s="12" t="str">
        <f t="shared" si="15"/>
        <v>Light Rain/Snow</v>
      </c>
      <c r="S254" s="14" t="str">
        <f t="shared" si="16"/>
        <v>Winter</v>
      </c>
      <c r="T254" s="15" t="str">
        <f t="shared" si="17"/>
        <v>Tuesday</v>
      </c>
      <c r="U254" t="str">
        <f t="shared" si="18"/>
        <v>January</v>
      </c>
      <c r="V254" s="16" t="str">
        <f t="shared" si="19"/>
        <v>BAD</v>
      </c>
    </row>
    <row r="255" spans="1:22" x14ac:dyDescent="0.3">
      <c r="A255">
        <v>254</v>
      </c>
      <c r="B255" s="1">
        <v>40554</v>
      </c>
      <c r="C255">
        <v>1</v>
      </c>
      <c r="D255">
        <v>0</v>
      </c>
      <c r="E255">
        <v>1</v>
      </c>
      <c r="F255">
        <v>22</v>
      </c>
      <c r="G255" t="b">
        <f>IF(COUNTIF(AB$4:AB$20,Append1[[#This Row],[dteday]]) &gt; 0, TRUE, FALSE)</f>
        <v>0</v>
      </c>
      <c r="H255">
        <v>2</v>
      </c>
      <c r="I255">
        <v>3</v>
      </c>
      <c r="J255">
        <v>0.16</v>
      </c>
      <c r="K255">
        <f>Append1[[#This Row],[temp]]*100</f>
        <v>16</v>
      </c>
      <c r="L255">
        <v>0.18179999999999999</v>
      </c>
      <c r="M255">
        <v>0.93</v>
      </c>
      <c r="N255">
        <v>0.1045</v>
      </c>
      <c r="O255">
        <v>1</v>
      </c>
      <c r="P255">
        <v>28</v>
      </c>
      <c r="Q255">
        <v>29</v>
      </c>
      <c r="R255" s="12" t="str">
        <f t="shared" si="15"/>
        <v>Light Rain/Snow</v>
      </c>
      <c r="S255" s="14" t="str">
        <f t="shared" si="16"/>
        <v>Winter</v>
      </c>
      <c r="T255" s="15" t="str">
        <f t="shared" si="17"/>
        <v>Tuesday</v>
      </c>
      <c r="U255" t="str">
        <f t="shared" si="18"/>
        <v>January</v>
      </c>
      <c r="V255" s="16" t="str">
        <f t="shared" si="19"/>
        <v>BAD</v>
      </c>
    </row>
    <row r="256" spans="1:22" x14ac:dyDescent="0.3">
      <c r="A256">
        <v>255</v>
      </c>
      <c r="B256" s="1">
        <v>40554</v>
      </c>
      <c r="C256">
        <v>1</v>
      </c>
      <c r="D256">
        <v>0</v>
      </c>
      <c r="E256">
        <v>1</v>
      </c>
      <c r="F256">
        <v>23</v>
      </c>
      <c r="G256" t="b">
        <f>IF(COUNTIF(AB$4:AB$20,Append1[[#This Row],[dteday]]) &gt; 0, TRUE, FALSE)</f>
        <v>0</v>
      </c>
      <c r="H256">
        <v>2</v>
      </c>
      <c r="I256">
        <v>3</v>
      </c>
      <c r="J256">
        <v>0.16</v>
      </c>
      <c r="K256">
        <f>Append1[[#This Row],[temp]]*100</f>
        <v>16</v>
      </c>
      <c r="L256">
        <v>0.19700000000000001</v>
      </c>
      <c r="M256">
        <v>0.93</v>
      </c>
      <c r="N256">
        <v>8.9599999999999999E-2</v>
      </c>
      <c r="O256">
        <v>1</v>
      </c>
      <c r="P256">
        <v>18</v>
      </c>
      <c r="Q256">
        <v>19</v>
      </c>
      <c r="R256" s="12" t="str">
        <f t="shared" si="15"/>
        <v>Light Rain/Snow</v>
      </c>
      <c r="S256" s="14" t="str">
        <f t="shared" si="16"/>
        <v>Winter</v>
      </c>
      <c r="T256" s="15" t="str">
        <f t="shared" si="17"/>
        <v>Tuesday</v>
      </c>
      <c r="U256" t="str">
        <f t="shared" si="18"/>
        <v>January</v>
      </c>
      <c r="V256" s="16" t="str">
        <f t="shared" si="19"/>
        <v>BAD</v>
      </c>
    </row>
    <row r="257" spans="1:22" x14ac:dyDescent="0.3">
      <c r="A257">
        <v>256</v>
      </c>
      <c r="B257" s="1">
        <v>40555</v>
      </c>
      <c r="C257">
        <v>1</v>
      </c>
      <c r="D257">
        <v>0</v>
      </c>
      <c r="E257">
        <v>1</v>
      </c>
      <c r="F257">
        <v>0</v>
      </c>
      <c r="G257" t="b">
        <f>IF(COUNTIF(AB$4:AB$20,Append1[[#This Row],[dteday]]) &gt; 0, TRUE, FALSE)</f>
        <v>0</v>
      </c>
      <c r="H257">
        <v>3</v>
      </c>
      <c r="I257">
        <v>2</v>
      </c>
      <c r="J257">
        <v>0.16</v>
      </c>
      <c r="K257">
        <f>Append1[[#This Row],[temp]]*100</f>
        <v>16</v>
      </c>
      <c r="L257">
        <v>0.19700000000000001</v>
      </c>
      <c r="M257">
        <v>0.86</v>
      </c>
      <c r="N257">
        <v>8.9599999999999999E-2</v>
      </c>
      <c r="O257">
        <v>0</v>
      </c>
      <c r="P257">
        <v>7</v>
      </c>
      <c r="Q257">
        <v>7</v>
      </c>
      <c r="R257" s="12" t="str">
        <f t="shared" si="15"/>
        <v>Mist/Cloudy</v>
      </c>
      <c r="S257" s="14" t="str">
        <f t="shared" si="16"/>
        <v>Winter</v>
      </c>
      <c r="T257" s="15" t="str">
        <f t="shared" si="17"/>
        <v>Wednesday</v>
      </c>
      <c r="U257" t="str">
        <f t="shared" si="18"/>
        <v>January</v>
      </c>
      <c r="V257" s="16" t="str">
        <f t="shared" si="19"/>
        <v>MODERATE</v>
      </c>
    </row>
    <row r="258" spans="1:22" x14ac:dyDescent="0.3">
      <c r="A258">
        <v>257</v>
      </c>
      <c r="B258" s="1">
        <v>40555</v>
      </c>
      <c r="C258">
        <v>1</v>
      </c>
      <c r="D258">
        <v>0</v>
      </c>
      <c r="E258">
        <v>1</v>
      </c>
      <c r="F258">
        <v>1</v>
      </c>
      <c r="G258" t="b">
        <f>IF(COUNTIF(AB$4:AB$20,Append1[[#This Row],[dteday]]) &gt; 0, TRUE, FALSE)</f>
        <v>0</v>
      </c>
      <c r="H258">
        <v>3</v>
      </c>
      <c r="I258">
        <v>2</v>
      </c>
      <c r="J258">
        <v>0.16</v>
      </c>
      <c r="K258">
        <f>Append1[[#This Row],[temp]]*100</f>
        <v>16</v>
      </c>
      <c r="L258">
        <v>0.18179999999999999</v>
      </c>
      <c r="M258">
        <v>0.86</v>
      </c>
      <c r="N258">
        <v>0.1045</v>
      </c>
      <c r="O258">
        <v>0</v>
      </c>
      <c r="P258">
        <v>6</v>
      </c>
      <c r="Q258">
        <v>6</v>
      </c>
      <c r="R258" s="12" t="str">
        <f t="shared" ref="R258:R321" si="20">_xlfn.IFS(I258=1,"Clear/Few Clouds",I258=2,"Mist/Cloudy",I258=3,"Light Rain/Snow",I258=4,"Heavy Rain/Snow")</f>
        <v>Mist/Cloudy</v>
      </c>
      <c r="S258" s="14" t="str">
        <f t="shared" ref="S258:S321" si="21">_xlfn.IFS(C258=1,"Winter",C258=2,"Spring",C258=3,"Summer",C258=4,"Autumn")</f>
        <v>Winter</v>
      </c>
      <c r="T258" s="15" t="str">
        <f t="shared" ref="T258:T321" si="22">TEXT(B258,"dddd")</f>
        <v>Wednesday</v>
      </c>
      <c r="U258" t="str">
        <f t="shared" ref="U258:U321" si="23">TEXT(B258,"mmmm")</f>
        <v>January</v>
      </c>
      <c r="V258" s="16" t="str">
        <f t="shared" ref="V258:V321" si="24">_xlfn.IFS(I258=1,"GOOD",I258=2,"MODERATE",I258=3,"BAD",I258=4,"WORSE")</f>
        <v>MODERATE</v>
      </c>
    </row>
    <row r="259" spans="1:22" x14ac:dyDescent="0.3">
      <c r="A259">
        <v>258</v>
      </c>
      <c r="B259" s="1">
        <v>40555</v>
      </c>
      <c r="C259">
        <v>1</v>
      </c>
      <c r="D259">
        <v>0</v>
      </c>
      <c r="E259">
        <v>1</v>
      </c>
      <c r="F259">
        <v>2</v>
      </c>
      <c r="G259" t="b">
        <f>IF(COUNTIF(AB$4:AB$20,Append1[[#This Row],[dteday]]) &gt; 0, TRUE, FALSE)</f>
        <v>0</v>
      </c>
      <c r="H259">
        <v>3</v>
      </c>
      <c r="I259">
        <v>1</v>
      </c>
      <c r="J259">
        <v>0.14000000000000001</v>
      </c>
      <c r="K259">
        <f>Append1[[#This Row],[temp]]*100</f>
        <v>14.000000000000002</v>
      </c>
      <c r="L259">
        <v>0.1515</v>
      </c>
      <c r="M259">
        <v>0.86</v>
      </c>
      <c r="N259">
        <v>0.1343</v>
      </c>
      <c r="O259">
        <v>0</v>
      </c>
      <c r="P259">
        <v>1</v>
      </c>
      <c r="Q259">
        <v>1</v>
      </c>
      <c r="R259" s="12" t="str">
        <f t="shared" si="20"/>
        <v>Clear/Few Clouds</v>
      </c>
      <c r="S259" s="14" t="str">
        <f t="shared" si="21"/>
        <v>Winter</v>
      </c>
      <c r="T259" s="15" t="str">
        <f t="shared" si="22"/>
        <v>Wednesday</v>
      </c>
      <c r="U259" t="str">
        <f t="shared" si="23"/>
        <v>January</v>
      </c>
      <c r="V259" s="16" t="str">
        <f t="shared" si="24"/>
        <v>GOOD</v>
      </c>
    </row>
    <row r="260" spans="1:22" x14ac:dyDescent="0.3">
      <c r="A260">
        <v>259</v>
      </c>
      <c r="B260" s="1">
        <v>40555</v>
      </c>
      <c r="C260">
        <v>1</v>
      </c>
      <c r="D260">
        <v>0</v>
      </c>
      <c r="E260">
        <v>1</v>
      </c>
      <c r="F260">
        <v>5</v>
      </c>
      <c r="G260" t="b">
        <f>IF(COUNTIF(AB$4:AB$20,Append1[[#This Row],[dteday]]) &gt; 0, TRUE, FALSE)</f>
        <v>0</v>
      </c>
      <c r="H260">
        <v>3</v>
      </c>
      <c r="I260">
        <v>1</v>
      </c>
      <c r="J260">
        <v>0.14000000000000001</v>
      </c>
      <c r="K260">
        <f>Append1[[#This Row],[temp]]*100</f>
        <v>14.000000000000002</v>
      </c>
      <c r="L260">
        <v>0.1515</v>
      </c>
      <c r="M260">
        <v>0.86</v>
      </c>
      <c r="N260">
        <v>0.16420000000000001</v>
      </c>
      <c r="O260">
        <v>0</v>
      </c>
      <c r="P260">
        <v>5</v>
      </c>
      <c r="Q260">
        <v>5</v>
      </c>
      <c r="R260" s="12" t="str">
        <f t="shared" si="20"/>
        <v>Clear/Few Clouds</v>
      </c>
      <c r="S260" s="14" t="str">
        <f t="shared" si="21"/>
        <v>Winter</v>
      </c>
      <c r="T260" s="15" t="str">
        <f t="shared" si="22"/>
        <v>Wednesday</v>
      </c>
      <c r="U260" t="str">
        <f t="shared" si="23"/>
        <v>January</v>
      </c>
      <c r="V260" s="16" t="str">
        <f t="shared" si="24"/>
        <v>GOOD</v>
      </c>
    </row>
    <row r="261" spans="1:22" x14ac:dyDescent="0.3">
      <c r="A261">
        <v>260</v>
      </c>
      <c r="B261" s="1">
        <v>40555</v>
      </c>
      <c r="C261">
        <v>1</v>
      </c>
      <c r="D261">
        <v>0</v>
      </c>
      <c r="E261">
        <v>1</v>
      </c>
      <c r="F261">
        <v>6</v>
      </c>
      <c r="G261" t="b">
        <f>IF(COUNTIF(AB$4:AB$20,Append1[[#This Row],[dteday]]) &gt; 0, TRUE, FALSE)</f>
        <v>0</v>
      </c>
      <c r="H261">
        <v>3</v>
      </c>
      <c r="I261">
        <v>1</v>
      </c>
      <c r="J261">
        <v>0.12</v>
      </c>
      <c r="K261">
        <f>Append1[[#This Row],[temp]]*100</f>
        <v>12</v>
      </c>
      <c r="L261">
        <v>0.1515</v>
      </c>
      <c r="M261">
        <v>0.93</v>
      </c>
      <c r="N261">
        <v>0.1343</v>
      </c>
      <c r="O261">
        <v>0</v>
      </c>
      <c r="P261">
        <v>16</v>
      </c>
      <c r="Q261">
        <v>16</v>
      </c>
      <c r="R261" s="12" t="str">
        <f t="shared" si="20"/>
        <v>Clear/Few Clouds</v>
      </c>
      <c r="S261" s="14" t="str">
        <f t="shared" si="21"/>
        <v>Winter</v>
      </c>
      <c r="T261" s="15" t="str">
        <f t="shared" si="22"/>
        <v>Wednesday</v>
      </c>
      <c r="U261" t="str">
        <f t="shared" si="23"/>
        <v>January</v>
      </c>
      <c r="V261" s="16" t="str">
        <f t="shared" si="24"/>
        <v>GOOD</v>
      </c>
    </row>
    <row r="262" spans="1:22" x14ac:dyDescent="0.3">
      <c r="A262">
        <v>261</v>
      </c>
      <c r="B262" s="1">
        <v>40555</v>
      </c>
      <c r="C262">
        <v>1</v>
      </c>
      <c r="D262">
        <v>0</v>
      </c>
      <c r="E262">
        <v>1</v>
      </c>
      <c r="F262">
        <v>7</v>
      </c>
      <c r="G262" t="b">
        <f>IF(COUNTIF(AB$4:AB$20,Append1[[#This Row],[dteday]]) &gt; 0, TRUE, FALSE)</f>
        <v>0</v>
      </c>
      <c r="H262">
        <v>3</v>
      </c>
      <c r="I262">
        <v>1</v>
      </c>
      <c r="J262">
        <v>0.14000000000000001</v>
      </c>
      <c r="K262">
        <f>Append1[[#This Row],[temp]]*100</f>
        <v>14.000000000000002</v>
      </c>
      <c r="L262">
        <v>0.1515</v>
      </c>
      <c r="M262">
        <v>0.69</v>
      </c>
      <c r="N262">
        <v>0.1343</v>
      </c>
      <c r="O262">
        <v>0</v>
      </c>
      <c r="P262">
        <v>54</v>
      </c>
      <c r="Q262">
        <v>54</v>
      </c>
      <c r="R262" s="12" t="str">
        <f t="shared" si="20"/>
        <v>Clear/Few Clouds</v>
      </c>
      <c r="S262" s="14" t="str">
        <f t="shared" si="21"/>
        <v>Winter</v>
      </c>
      <c r="T262" s="15" t="str">
        <f t="shared" si="22"/>
        <v>Wednesday</v>
      </c>
      <c r="U262" t="str">
        <f t="shared" si="23"/>
        <v>January</v>
      </c>
      <c r="V262" s="16" t="str">
        <f t="shared" si="24"/>
        <v>GOOD</v>
      </c>
    </row>
    <row r="263" spans="1:22" x14ac:dyDescent="0.3">
      <c r="A263">
        <v>262</v>
      </c>
      <c r="B263" s="1">
        <v>40555</v>
      </c>
      <c r="C263">
        <v>1</v>
      </c>
      <c r="D263">
        <v>0</v>
      </c>
      <c r="E263">
        <v>1</v>
      </c>
      <c r="F263">
        <v>8</v>
      </c>
      <c r="G263" t="b">
        <f>IF(COUNTIF(AB$4:AB$20,Append1[[#This Row],[dteday]]) &gt; 0, TRUE, FALSE)</f>
        <v>0</v>
      </c>
      <c r="H263">
        <v>3</v>
      </c>
      <c r="I263">
        <v>1</v>
      </c>
      <c r="J263">
        <v>0.16</v>
      </c>
      <c r="K263">
        <f>Append1[[#This Row],[temp]]*100</f>
        <v>16</v>
      </c>
      <c r="L263">
        <v>0.16669999999999999</v>
      </c>
      <c r="M263">
        <v>0.59</v>
      </c>
      <c r="N263">
        <v>0.16420000000000001</v>
      </c>
      <c r="O263">
        <v>3</v>
      </c>
      <c r="P263">
        <v>125</v>
      </c>
      <c r="Q263">
        <v>128</v>
      </c>
      <c r="R263" s="12" t="str">
        <f t="shared" si="20"/>
        <v>Clear/Few Clouds</v>
      </c>
      <c r="S263" s="14" t="str">
        <f t="shared" si="21"/>
        <v>Winter</v>
      </c>
      <c r="T263" s="15" t="str">
        <f t="shared" si="22"/>
        <v>Wednesday</v>
      </c>
      <c r="U263" t="str">
        <f t="shared" si="23"/>
        <v>January</v>
      </c>
      <c r="V263" s="16" t="str">
        <f t="shared" si="24"/>
        <v>GOOD</v>
      </c>
    </row>
    <row r="264" spans="1:22" x14ac:dyDescent="0.3">
      <c r="A264">
        <v>263</v>
      </c>
      <c r="B264" s="1">
        <v>40555</v>
      </c>
      <c r="C264">
        <v>1</v>
      </c>
      <c r="D264">
        <v>0</v>
      </c>
      <c r="E264">
        <v>1</v>
      </c>
      <c r="F264">
        <v>9</v>
      </c>
      <c r="G264" t="b">
        <f>IF(COUNTIF(AB$4:AB$20,Append1[[#This Row],[dteday]]) &gt; 0, TRUE, FALSE)</f>
        <v>0</v>
      </c>
      <c r="H264">
        <v>3</v>
      </c>
      <c r="I264">
        <v>1</v>
      </c>
      <c r="J264">
        <v>0.16</v>
      </c>
      <c r="K264">
        <f>Append1[[#This Row],[temp]]*100</f>
        <v>16</v>
      </c>
      <c r="L264">
        <v>0.13639999999999999</v>
      </c>
      <c r="M264">
        <v>0.59</v>
      </c>
      <c r="N264">
        <v>0.32840000000000003</v>
      </c>
      <c r="O264">
        <v>3</v>
      </c>
      <c r="P264">
        <v>78</v>
      </c>
      <c r="Q264">
        <v>81</v>
      </c>
      <c r="R264" s="12" t="str">
        <f t="shared" si="20"/>
        <v>Clear/Few Clouds</v>
      </c>
      <c r="S264" s="14" t="str">
        <f t="shared" si="21"/>
        <v>Winter</v>
      </c>
      <c r="T264" s="15" t="str">
        <f t="shared" si="22"/>
        <v>Wednesday</v>
      </c>
      <c r="U264" t="str">
        <f t="shared" si="23"/>
        <v>January</v>
      </c>
      <c r="V264" s="16" t="str">
        <f t="shared" si="24"/>
        <v>GOOD</v>
      </c>
    </row>
    <row r="265" spans="1:22" x14ac:dyDescent="0.3">
      <c r="A265">
        <v>264</v>
      </c>
      <c r="B265" s="1">
        <v>40555</v>
      </c>
      <c r="C265">
        <v>1</v>
      </c>
      <c r="D265">
        <v>0</v>
      </c>
      <c r="E265">
        <v>1</v>
      </c>
      <c r="F265">
        <v>10</v>
      </c>
      <c r="G265" t="b">
        <f>IF(COUNTIF(AB$4:AB$20,Append1[[#This Row],[dteday]]) &gt; 0, TRUE, FALSE)</f>
        <v>0</v>
      </c>
      <c r="H265">
        <v>3</v>
      </c>
      <c r="I265">
        <v>1</v>
      </c>
      <c r="J265">
        <v>0.18</v>
      </c>
      <c r="K265">
        <f>Append1[[#This Row],[temp]]*100</f>
        <v>18</v>
      </c>
      <c r="L265">
        <v>0.18179999999999999</v>
      </c>
      <c r="M265">
        <v>0.55000000000000004</v>
      </c>
      <c r="N265">
        <v>0.22389999999999999</v>
      </c>
      <c r="O265">
        <v>0</v>
      </c>
      <c r="P265">
        <v>39</v>
      </c>
      <c r="Q265">
        <v>39</v>
      </c>
      <c r="R265" s="12" t="str">
        <f t="shared" si="20"/>
        <v>Clear/Few Clouds</v>
      </c>
      <c r="S265" s="14" t="str">
        <f t="shared" si="21"/>
        <v>Winter</v>
      </c>
      <c r="T265" s="15" t="str">
        <f t="shared" si="22"/>
        <v>Wednesday</v>
      </c>
      <c r="U265" t="str">
        <f t="shared" si="23"/>
        <v>January</v>
      </c>
      <c r="V265" s="16" t="str">
        <f t="shared" si="24"/>
        <v>GOOD</v>
      </c>
    </row>
    <row r="266" spans="1:22" x14ac:dyDescent="0.3">
      <c r="A266">
        <v>265</v>
      </c>
      <c r="B266" s="1">
        <v>40555</v>
      </c>
      <c r="C266">
        <v>1</v>
      </c>
      <c r="D266">
        <v>0</v>
      </c>
      <c r="E266">
        <v>1</v>
      </c>
      <c r="F266">
        <v>11</v>
      </c>
      <c r="G266" t="b">
        <f>IF(COUNTIF(AB$4:AB$20,Append1[[#This Row],[dteday]]) &gt; 0, TRUE, FALSE)</f>
        <v>0</v>
      </c>
      <c r="H266">
        <v>3</v>
      </c>
      <c r="I266">
        <v>1</v>
      </c>
      <c r="J266">
        <v>0.2</v>
      </c>
      <c r="K266">
        <f>Append1[[#This Row],[temp]]*100</f>
        <v>20</v>
      </c>
      <c r="L266">
        <v>0.18179999999999999</v>
      </c>
      <c r="M266">
        <v>0.51</v>
      </c>
      <c r="N266">
        <v>0.3881</v>
      </c>
      <c r="O266">
        <v>3</v>
      </c>
      <c r="P266">
        <v>32</v>
      </c>
      <c r="Q266">
        <v>35</v>
      </c>
      <c r="R266" s="12" t="str">
        <f t="shared" si="20"/>
        <v>Clear/Few Clouds</v>
      </c>
      <c r="S266" s="14" t="str">
        <f t="shared" si="21"/>
        <v>Winter</v>
      </c>
      <c r="T266" s="15" t="str">
        <f t="shared" si="22"/>
        <v>Wednesday</v>
      </c>
      <c r="U266" t="str">
        <f t="shared" si="23"/>
        <v>January</v>
      </c>
      <c r="V266" s="16" t="str">
        <f t="shared" si="24"/>
        <v>GOOD</v>
      </c>
    </row>
    <row r="267" spans="1:22" x14ac:dyDescent="0.3">
      <c r="A267">
        <v>266</v>
      </c>
      <c r="B267" s="1">
        <v>40555</v>
      </c>
      <c r="C267">
        <v>1</v>
      </c>
      <c r="D267">
        <v>0</v>
      </c>
      <c r="E267">
        <v>1</v>
      </c>
      <c r="F267">
        <v>12</v>
      </c>
      <c r="G267" t="b">
        <f>IF(COUNTIF(AB$4:AB$20,Append1[[#This Row],[dteday]]) &gt; 0, TRUE, FALSE)</f>
        <v>0</v>
      </c>
      <c r="H267">
        <v>3</v>
      </c>
      <c r="I267">
        <v>1</v>
      </c>
      <c r="J267">
        <v>0.2</v>
      </c>
      <c r="K267">
        <f>Append1[[#This Row],[temp]]*100</f>
        <v>20</v>
      </c>
      <c r="L267">
        <v>0.1515</v>
      </c>
      <c r="M267">
        <v>0.47</v>
      </c>
      <c r="N267">
        <v>0.58209999999999995</v>
      </c>
      <c r="O267">
        <v>3</v>
      </c>
      <c r="P267">
        <v>52</v>
      </c>
      <c r="Q267">
        <v>55</v>
      </c>
      <c r="R267" s="12" t="str">
        <f t="shared" si="20"/>
        <v>Clear/Few Clouds</v>
      </c>
      <c r="S267" s="14" t="str">
        <f t="shared" si="21"/>
        <v>Winter</v>
      </c>
      <c r="T267" s="15" t="str">
        <f t="shared" si="22"/>
        <v>Wednesday</v>
      </c>
      <c r="U267" t="str">
        <f t="shared" si="23"/>
        <v>January</v>
      </c>
      <c r="V267" s="16" t="str">
        <f t="shared" si="24"/>
        <v>GOOD</v>
      </c>
    </row>
    <row r="268" spans="1:22" x14ac:dyDescent="0.3">
      <c r="A268">
        <v>267</v>
      </c>
      <c r="B268" s="1">
        <v>40555</v>
      </c>
      <c r="C268">
        <v>1</v>
      </c>
      <c r="D268">
        <v>0</v>
      </c>
      <c r="E268">
        <v>1</v>
      </c>
      <c r="F268">
        <v>13</v>
      </c>
      <c r="G268" t="b">
        <f>IF(COUNTIF(AB$4:AB$20,Append1[[#This Row],[dteday]]) &gt; 0, TRUE, FALSE)</f>
        <v>0</v>
      </c>
      <c r="H268">
        <v>3</v>
      </c>
      <c r="I268">
        <v>1</v>
      </c>
      <c r="J268">
        <v>0.22</v>
      </c>
      <c r="K268">
        <f>Append1[[#This Row],[temp]]*100</f>
        <v>22</v>
      </c>
      <c r="L268">
        <v>0.19700000000000001</v>
      </c>
      <c r="M268">
        <v>0.44</v>
      </c>
      <c r="N268">
        <v>0.35820000000000002</v>
      </c>
      <c r="O268">
        <v>0</v>
      </c>
      <c r="P268">
        <v>49</v>
      </c>
      <c r="Q268">
        <v>49</v>
      </c>
      <c r="R268" s="12" t="str">
        <f t="shared" si="20"/>
        <v>Clear/Few Clouds</v>
      </c>
      <c r="S268" s="14" t="str">
        <f t="shared" si="21"/>
        <v>Winter</v>
      </c>
      <c r="T268" s="15" t="str">
        <f t="shared" si="22"/>
        <v>Wednesday</v>
      </c>
      <c r="U268" t="str">
        <f t="shared" si="23"/>
        <v>January</v>
      </c>
      <c r="V268" s="16" t="str">
        <f t="shared" si="24"/>
        <v>GOOD</v>
      </c>
    </row>
    <row r="269" spans="1:22" x14ac:dyDescent="0.3">
      <c r="A269">
        <v>268</v>
      </c>
      <c r="B269" s="1">
        <v>40555</v>
      </c>
      <c r="C269">
        <v>1</v>
      </c>
      <c r="D269">
        <v>0</v>
      </c>
      <c r="E269">
        <v>1</v>
      </c>
      <c r="F269">
        <v>14</v>
      </c>
      <c r="G269" t="b">
        <f>IF(COUNTIF(AB$4:AB$20,Append1[[#This Row],[dteday]]) &gt; 0, TRUE, FALSE)</f>
        <v>0</v>
      </c>
      <c r="H269">
        <v>3</v>
      </c>
      <c r="I269">
        <v>1</v>
      </c>
      <c r="J269">
        <v>0.2</v>
      </c>
      <c r="K269">
        <f>Append1[[#This Row],[temp]]*100</f>
        <v>20</v>
      </c>
      <c r="L269">
        <v>0.18179999999999999</v>
      </c>
      <c r="M269">
        <v>0.47</v>
      </c>
      <c r="N269">
        <v>0.32840000000000003</v>
      </c>
      <c r="O269">
        <v>0</v>
      </c>
      <c r="P269">
        <v>44</v>
      </c>
      <c r="Q269">
        <v>44</v>
      </c>
      <c r="R269" s="12" t="str">
        <f t="shared" si="20"/>
        <v>Clear/Few Clouds</v>
      </c>
      <c r="S269" s="14" t="str">
        <f t="shared" si="21"/>
        <v>Winter</v>
      </c>
      <c r="T269" s="15" t="str">
        <f t="shared" si="22"/>
        <v>Wednesday</v>
      </c>
      <c r="U269" t="str">
        <f t="shared" si="23"/>
        <v>January</v>
      </c>
      <c r="V269" s="16" t="str">
        <f t="shared" si="24"/>
        <v>GOOD</v>
      </c>
    </row>
    <row r="270" spans="1:22" x14ac:dyDescent="0.3">
      <c r="A270">
        <v>269</v>
      </c>
      <c r="B270" s="1">
        <v>40555</v>
      </c>
      <c r="C270">
        <v>1</v>
      </c>
      <c r="D270">
        <v>0</v>
      </c>
      <c r="E270">
        <v>1</v>
      </c>
      <c r="F270">
        <v>15</v>
      </c>
      <c r="G270" t="b">
        <f>IF(COUNTIF(AB$4:AB$20,Append1[[#This Row],[dteday]]) &gt; 0, TRUE, FALSE)</f>
        <v>0</v>
      </c>
      <c r="H270">
        <v>3</v>
      </c>
      <c r="I270">
        <v>1</v>
      </c>
      <c r="J270">
        <v>0.2</v>
      </c>
      <c r="K270">
        <f>Append1[[#This Row],[temp]]*100</f>
        <v>20</v>
      </c>
      <c r="L270">
        <v>0.16669999999999999</v>
      </c>
      <c r="M270">
        <v>0.47</v>
      </c>
      <c r="N270">
        <v>0.41789999999999999</v>
      </c>
      <c r="O270">
        <v>1</v>
      </c>
      <c r="P270">
        <v>48</v>
      </c>
      <c r="Q270">
        <v>49</v>
      </c>
      <c r="R270" s="12" t="str">
        <f t="shared" si="20"/>
        <v>Clear/Few Clouds</v>
      </c>
      <c r="S270" s="14" t="str">
        <f t="shared" si="21"/>
        <v>Winter</v>
      </c>
      <c r="T270" s="15" t="str">
        <f t="shared" si="22"/>
        <v>Wednesday</v>
      </c>
      <c r="U270" t="str">
        <f t="shared" si="23"/>
        <v>January</v>
      </c>
      <c r="V270" s="16" t="str">
        <f t="shared" si="24"/>
        <v>GOOD</v>
      </c>
    </row>
    <row r="271" spans="1:22" x14ac:dyDescent="0.3">
      <c r="A271">
        <v>270</v>
      </c>
      <c r="B271" s="1">
        <v>40555</v>
      </c>
      <c r="C271">
        <v>1</v>
      </c>
      <c r="D271">
        <v>0</v>
      </c>
      <c r="E271">
        <v>1</v>
      </c>
      <c r="F271">
        <v>16</v>
      </c>
      <c r="G271" t="b">
        <f>IF(COUNTIF(AB$4:AB$20,Append1[[#This Row],[dteday]]) &gt; 0, TRUE, FALSE)</f>
        <v>0</v>
      </c>
      <c r="H271">
        <v>3</v>
      </c>
      <c r="I271">
        <v>1</v>
      </c>
      <c r="J271">
        <v>0.22</v>
      </c>
      <c r="K271">
        <f>Append1[[#This Row],[temp]]*100</f>
        <v>22</v>
      </c>
      <c r="L271">
        <v>0.19700000000000001</v>
      </c>
      <c r="M271">
        <v>0.44</v>
      </c>
      <c r="N271">
        <v>0.32840000000000003</v>
      </c>
      <c r="O271">
        <v>5</v>
      </c>
      <c r="P271">
        <v>63</v>
      </c>
      <c r="Q271">
        <v>68</v>
      </c>
      <c r="R271" s="12" t="str">
        <f t="shared" si="20"/>
        <v>Clear/Few Clouds</v>
      </c>
      <c r="S271" s="14" t="str">
        <f t="shared" si="21"/>
        <v>Winter</v>
      </c>
      <c r="T271" s="15" t="str">
        <f t="shared" si="22"/>
        <v>Wednesday</v>
      </c>
      <c r="U271" t="str">
        <f t="shared" si="23"/>
        <v>January</v>
      </c>
      <c r="V271" s="16" t="str">
        <f t="shared" si="24"/>
        <v>GOOD</v>
      </c>
    </row>
    <row r="272" spans="1:22" x14ac:dyDescent="0.3">
      <c r="A272">
        <v>271</v>
      </c>
      <c r="B272" s="1">
        <v>40555</v>
      </c>
      <c r="C272">
        <v>1</v>
      </c>
      <c r="D272">
        <v>0</v>
      </c>
      <c r="E272">
        <v>1</v>
      </c>
      <c r="F272">
        <v>17</v>
      </c>
      <c r="G272" t="b">
        <f>IF(COUNTIF(AB$4:AB$20,Append1[[#This Row],[dteday]]) &gt; 0, TRUE, FALSE)</f>
        <v>0</v>
      </c>
      <c r="H272">
        <v>3</v>
      </c>
      <c r="I272">
        <v>1</v>
      </c>
      <c r="J272">
        <v>0.2</v>
      </c>
      <c r="K272">
        <f>Append1[[#This Row],[temp]]*100</f>
        <v>20</v>
      </c>
      <c r="L272">
        <v>0.18179999999999999</v>
      </c>
      <c r="M272">
        <v>0.47</v>
      </c>
      <c r="N272">
        <v>0.35820000000000002</v>
      </c>
      <c r="O272">
        <v>0</v>
      </c>
      <c r="P272">
        <v>139</v>
      </c>
      <c r="Q272">
        <v>139</v>
      </c>
      <c r="R272" s="12" t="str">
        <f t="shared" si="20"/>
        <v>Clear/Few Clouds</v>
      </c>
      <c r="S272" s="14" t="str">
        <f t="shared" si="21"/>
        <v>Winter</v>
      </c>
      <c r="T272" s="15" t="str">
        <f t="shared" si="22"/>
        <v>Wednesday</v>
      </c>
      <c r="U272" t="str">
        <f t="shared" si="23"/>
        <v>January</v>
      </c>
      <c r="V272" s="16" t="str">
        <f t="shared" si="24"/>
        <v>GOOD</v>
      </c>
    </row>
    <row r="273" spans="1:22" x14ac:dyDescent="0.3">
      <c r="A273">
        <v>272</v>
      </c>
      <c r="B273" s="1">
        <v>40555</v>
      </c>
      <c r="C273">
        <v>1</v>
      </c>
      <c r="D273">
        <v>0</v>
      </c>
      <c r="E273">
        <v>1</v>
      </c>
      <c r="F273">
        <v>18</v>
      </c>
      <c r="G273" t="b">
        <f>IF(COUNTIF(AB$4:AB$20,Append1[[#This Row],[dteday]]) &gt; 0, TRUE, FALSE)</f>
        <v>0</v>
      </c>
      <c r="H273">
        <v>3</v>
      </c>
      <c r="I273">
        <v>1</v>
      </c>
      <c r="J273">
        <v>0.2</v>
      </c>
      <c r="K273">
        <f>Append1[[#This Row],[temp]]*100</f>
        <v>20</v>
      </c>
      <c r="L273">
        <v>0.1515</v>
      </c>
      <c r="M273">
        <v>0.47</v>
      </c>
      <c r="N273">
        <v>0.52239999999999998</v>
      </c>
      <c r="O273">
        <v>2</v>
      </c>
      <c r="P273">
        <v>135</v>
      </c>
      <c r="Q273">
        <v>137</v>
      </c>
      <c r="R273" s="12" t="str">
        <f t="shared" si="20"/>
        <v>Clear/Few Clouds</v>
      </c>
      <c r="S273" s="14" t="str">
        <f t="shared" si="21"/>
        <v>Winter</v>
      </c>
      <c r="T273" s="15" t="str">
        <f t="shared" si="22"/>
        <v>Wednesday</v>
      </c>
      <c r="U273" t="str">
        <f t="shared" si="23"/>
        <v>January</v>
      </c>
      <c r="V273" s="16" t="str">
        <f t="shared" si="24"/>
        <v>GOOD</v>
      </c>
    </row>
    <row r="274" spans="1:22" x14ac:dyDescent="0.3">
      <c r="A274">
        <v>273</v>
      </c>
      <c r="B274" s="1">
        <v>40555</v>
      </c>
      <c r="C274">
        <v>1</v>
      </c>
      <c r="D274">
        <v>0</v>
      </c>
      <c r="E274">
        <v>1</v>
      </c>
      <c r="F274">
        <v>19</v>
      </c>
      <c r="G274" t="b">
        <f>IF(COUNTIF(AB$4:AB$20,Append1[[#This Row],[dteday]]) &gt; 0, TRUE, FALSE)</f>
        <v>0</v>
      </c>
      <c r="H274">
        <v>3</v>
      </c>
      <c r="I274">
        <v>1</v>
      </c>
      <c r="J274">
        <v>0.18</v>
      </c>
      <c r="K274">
        <f>Append1[[#This Row],[temp]]*100</f>
        <v>18</v>
      </c>
      <c r="L274">
        <v>0.1515</v>
      </c>
      <c r="M274">
        <v>0.47</v>
      </c>
      <c r="N274">
        <v>0.41789999999999999</v>
      </c>
      <c r="O274">
        <v>1</v>
      </c>
      <c r="P274">
        <v>82</v>
      </c>
      <c r="Q274">
        <v>83</v>
      </c>
      <c r="R274" s="12" t="str">
        <f t="shared" si="20"/>
        <v>Clear/Few Clouds</v>
      </c>
      <c r="S274" s="14" t="str">
        <f t="shared" si="21"/>
        <v>Winter</v>
      </c>
      <c r="T274" s="15" t="str">
        <f t="shared" si="22"/>
        <v>Wednesday</v>
      </c>
      <c r="U274" t="str">
        <f t="shared" si="23"/>
        <v>January</v>
      </c>
      <c r="V274" s="16" t="str">
        <f t="shared" si="24"/>
        <v>GOOD</v>
      </c>
    </row>
    <row r="275" spans="1:22" x14ac:dyDescent="0.3">
      <c r="A275">
        <v>274</v>
      </c>
      <c r="B275" s="1">
        <v>40555</v>
      </c>
      <c r="C275">
        <v>1</v>
      </c>
      <c r="D275">
        <v>0</v>
      </c>
      <c r="E275">
        <v>1</v>
      </c>
      <c r="F275">
        <v>20</v>
      </c>
      <c r="G275" t="b">
        <f>IF(COUNTIF(AB$4:AB$20,Append1[[#This Row],[dteday]]) &gt; 0, TRUE, FALSE)</f>
        <v>0</v>
      </c>
      <c r="H275">
        <v>3</v>
      </c>
      <c r="I275">
        <v>1</v>
      </c>
      <c r="J275">
        <v>0.16</v>
      </c>
      <c r="K275">
        <f>Append1[[#This Row],[temp]]*100</f>
        <v>16</v>
      </c>
      <c r="L275">
        <v>0.13639999999999999</v>
      </c>
      <c r="M275">
        <v>0.5</v>
      </c>
      <c r="N275">
        <v>0.32840000000000003</v>
      </c>
      <c r="O275">
        <v>2</v>
      </c>
      <c r="P275">
        <v>54</v>
      </c>
      <c r="Q275">
        <v>56</v>
      </c>
      <c r="R275" s="12" t="str">
        <f t="shared" si="20"/>
        <v>Clear/Few Clouds</v>
      </c>
      <c r="S275" s="14" t="str">
        <f t="shared" si="21"/>
        <v>Winter</v>
      </c>
      <c r="T275" s="15" t="str">
        <f t="shared" si="22"/>
        <v>Wednesday</v>
      </c>
      <c r="U275" t="str">
        <f t="shared" si="23"/>
        <v>January</v>
      </c>
      <c r="V275" s="16" t="str">
        <f t="shared" si="24"/>
        <v>GOOD</v>
      </c>
    </row>
    <row r="276" spans="1:22" x14ac:dyDescent="0.3">
      <c r="A276">
        <v>275</v>
      </c>
      <c r="B276" s="1">
        <v>40555</v>
      </c>
      <c r="C276">
        <v>1</v>
      </c>
      <c r="D276">
        <v>0</v>
      </c>
      <c r="E276">
        <v>1</v>
      </c>
      <c r="F276">
        <v>21</v>
      </c>
      <c r="G276" t="b">
        <f>IF(COUNTIF(AB$4:AB$20,Append1[[#This Row],[dteday]]) &gt; 0, TRUE, FALSE)</f>
        <v>0</v>
      </c>
      <c r="H276">
        <v>3</v>
      </c>
      <c r="I276">
        <v>1</v>
      </c>
      <c r="J276">
        <v>0.16</v>
      </c>
      <c r="K276">
        <f>Append1[[#This Row],[temp]]*100</f>
        <v>16</v>
      </c>
      <c r="L276">
        <v>0.13639999999999999</v>
      </c>
      <c r="M276">
        <v>0.55000000000000004</v>
      </c>
      <c r="N276">
        <v>0.32840000000000003</v>
      </c>
      <c r="O276">
        <v>0</v>
      </c>
      <c r="P276">
        <v>57</v>
      </c>
      <c r="Q276">
        <v>57</v>
      </c>
      <c r="R276" s="12" t="str">
        <f t="shared" si="20"/>
        <v>Clear/Few Clouds</v>
      </c>
      <c r="S276" s="14" t="str">
        <f t="shared" si="21"/>
        <v>Winter</v>
      </c>
      <c r="T276" s="15" t="str">
        <f t="shared" si="22"/>
        <v>Wednesday</v>
      </c>
      <c r="U276" t="str">
        <f t="shared" si="23"/>
        <v>January</v>
      </c>
      <c r="V276" s="16" t="str">
        <f t="shared" si="24"/>
        <v>GOOD</v>
      </c>
    </row>
    <row r="277" spans="1:22" x14ac:dyDescent="0.3">
      <c r="A277">
        <v>276</v>
      </c>
      <c r="B277" s="1">
        <v>40555</v>
      </c>
      <c r="C277">
        <v>1</v>
      </c>
      <c r="D277">
        <v>0</v>
      </c>
      <c r="E277">
        <v>1</v>
      </c>
      <c r="F277">
        <v>22</v>
      </c>
      <c r="G277" t="b">
        <f>IF(COUNTIF(AB$4:AB$20,Append1[[#This Row],[dteday]]) &gt; 0, TRUE, FALSE)</f>
        <v>0</v>
      </c>
      <c r="H277">
        <v>3</v>
      </c>
      <c r="I277">
        <v>1</v>
      </c>
      <c r="J277">
        <v>0.16</v>
      </c>
      <c r="K277">
        <f>Append1[[#This Row],[temp]]*100</f>
        <v>16</v>
      </c>
      <c r="L277">
        <v>0.1212</v>
      </c>
      <c r="M277">
        <v>0.55000000000000004</v>
      </c>
      <c r="N277">
        <v>0.44779999999999998</v>
      </c>
      <c r="O277">
        <v>1</v>
      </c>
      <c r="P277">
        <v>32</v>
      </c>
      <c r="Q277">
        <v>33</v>
      </c>
      <c r="R277" s="12" t="str">
        <f t="shared" si="20"/>
        <v>Clear/Few Clouds</v>
      </c>
      <c r="S277" s="14" t="str">
        <f t="shared" si="21"/>
        <v>Winter</v>
      </c>
      <c r="T277" s="15" t="str">
        <f t="shared" si="22"/>
        <v>Wednesday</v>
      </c>
      <c r="U277" t="str">
        <f t="shared" si="23"/>
        <v>January</v>
      </c>
      <c r="V277" s="16" t="str">
        <f t="shared" si="24"/>
        <v>GOOD</v>
      </c>
    </row>
    <row r="278" spans="1:22" x14ac:dyDescent="0.3">
      <c r="A278">
        <v>277</v>
      </c>
      <c r="B278" s="1">
        <v>40555</v>
      </c>
      <c r="C278">
        <v>1</v>
      </c>
      <c r="D278">
        <v>0</v>
      </c>
      <c r="E278">
        <v>1</v>
      </c>
      <c r="F278">
        <v>23</v>
      </c>
      <c r="G278" t="b">
        <f>IF(COUNTIF(AB$4:AB$20,Append1[[#This Row],[dteday]]) &gt; 0, TRUE, FALSE)</f>
        <v>0</v>
      </c>
      <c r="H278">
        <v>3</v>
      </c>
      <c r="I278">
        <v>1</v>
      </c>
      <c r="J278">
        <v>0.14000000000000001</v>
      </c>
      <c r="K278">
        <f>Append1[[#This Row],[temp]]*100</f>
        <v>14.000000000000002</v>
      </c>
      <c r="L278">
        <v>0.1061</v>
      </c>
      <c r="M278">
        <v>0.59</v>
      </c>
      <c r="N278">
        <v>0.41789999999999999</v>
      </c>
      <c r="O278">
        <v>1</v>
      </c>
      <c r="P278">
        <v>19</v>
      </c>
      <c r="Q278">
        <v>20</v>
      </c>
      <c r="R278" s="12" t="str">
        <f t="shared" si="20"/>
        <v>Clear/Few Clouds</v>
      </c>
      <c r="S278" s="14" t="str">
        <f t="shared" si="21"/>
        <v>Winter</v>
      </c>
      <c r="T278" s="15" t="str">
        <f t="shared" si="22"/>
        <v>Wednesday</v>
      </c>
      <c r="U278" t="str">
        <f t="shared" si="23"/>
        <v>January</v>
      </c>
      <c r="V278" s="16" t="str">
        <f t="shared" si="24"/>
        <v>GOOD</v>
      </c>
    </row>
    <row r="279" spans="1:22" x14ac:dyDescent="0.3">
      <c r="A279">
        <v>278</v>
      </c>
      <c r="B279" s="1">
        <v>40556</v>
      </c>
      <c r="C279">
        <v>1</v>
      </c>
      <c r="D279">
        <v>0</v>
      </c>
      <c r="E279">
        <v>1</v>
      </c>
      <c r="F279">
        <v>0</v>
      </c>
      <c r="G279" t="b">
        <f>IF(COUNTIF(AB$4:AB$20,Append1[[#This Row],[dteday]]) &gt; 0, TRUE, FALSE)</f>
        <v>0</v>
      </c>
      <c r="H279">
        <v>4</v>
      </c>
      <c r="I279">
        <v>1</v>
      </c>
      <c r="J279">
        <v>0.14000000000000001</v>
      </c>
      <c r="K279">
        <f>Append1[[#This Row],[temp]]*100</f>
        <v>14.000000000000002</v>
      </c>
      <c r="L279">
        <v>0.1212</v>
      </c>
      <c r="M279">
        <v>0.59</v>
      </c>
      <c r="N279">
        <v>0.28360000000000002</v>
      </c>
      <c r="O279">
        <v>1</v>
      </c>
      <c r="P279">
        <v>6</v>
      </c>
      <c r="Q279">
        <v>7</v>
      </c>
      <c r="R279" s="12" t="str">
        <f t="shared" si="20"/>
        <v>Clear/Few Clouds</v>
      </c>
      <c r="S279" s="14" t="str">
        <f t="shared" si="21"/>
        <v>Winter</v>
      </c>
      <c r="T279" s="15" t="str">
        <f t="shared" si="22"/>
        <v>Thursday</v>
      </c>
      <c r="U279" t="str">
        <f t="shared" si="23"/>
        <v>January</v>
      </c>
      <c r="V279" s="16" t="str">
        <f t="shared" si="24"/>
        <v>GOOD</v>
      </c>
    </row>
    <row r="280" spans="1:22" x14ac:dyDescent="0.3">
      <c r="A280">
        <v>279</v>
      </c>
      <c r="B280" s="1">
        <v>40556</v>
      </c>
      <c r="C280">
        <v>1</v>
      </c>
      <c r="D280">
        <v>0</v>
      </c>
      <c r="E280">
        <v>1</v>
      </c>
      <c r="F280">
        <v>1</v>
      </c>
      <c r="G280" t="b">
        <f>IF(COUNTIF(AB$4:AB$20,Append1[[#This Row],[dteday]]) &gt; 0, TRUE, FALSE)</f>
        <v>0</v>
      </c>
      <c r="H280">
        <v>4</v>
      </c>
      <c r="I280">
        <v>1</v>
      </c>
      <c r="J280">
        <v>0.14000000000000001</v>
      </c>
      <c r="K280">
        <f>Append1[[#This Row],[temp]]*100</f>
        <v>14.000000000000002</v>
      </c>
      <c r="L280">
        <v>0.1212</v>
      </c>
      <c r="M280">
        <v>0.5</v>
      </c>
      <c r="N280">
        <v>0.28360000000000002</v>
      </c>
      <c r="O280">
        <v>0</v>
      </c>
      <c r="P280">
        <v>2</v>
      </c>
      <c r="Q280">
        <v>2</v>
      </c>
      <c r="R280" s="12" t="str">
        <f t="shared" si="20"/>
        <v>Clear/Few Clouds</v>
      </c>
      <c r="S280" s="14" t="str">
        <f t="shared" si="21"/>
        <v>Winter</v>
      </c>
      <c r="T280" s="15" t="str">
        <f t="shared" si="22"/>
        <v>Thursday</v>
      </c>
      <c r="U280" t="str">
        <f t="shared" si="23"/>
        <v>January</v>
      </c>
      <c r="V280" s="16" t="str">
        <f t="shared" si="24"/>
        <v>GOOD</v>
      </c>
    </row>
    <row r="281" spans="1:22" x14ac:dyDescent="0.3">
      <c r="A281">
        <v>280</v>
      </c>
      <c r="B281" s="1">
        <v>40556</v>
      </c>
      <c r="C281">
        <v>1</v>
      </c>
      <c r="D281">
        <v>0</v>
      </c>
      <c r="E281">
        <v>1</v>
      </c>
      <c r="F281">
        <v>2</v>
      </c>
      <c r="G281" t="b">
        <f>IF(COUNTIF(AB$4:AB$20,Append1[[#This Row],[dteday]]) &gt; 0, TRUE, FALSE)</f>
        <v>0</v>
      </c>
      <c r="H281">
        <v>4</v>
      </c>
      <c r="I281">
        <v>1</v>
      </c>
      <c r="J281">
        <v>0.14000000000000001</v>
      </c>
      <c r="K281">
        <f>Append1[[#This Row],[temp]]*100</f>
        <v>14.000000000000002</v>
      </c>
      <c r="L281">
        <v>0.1212</v>
      </c>
      <c r="M281">
        <v>0.5</v>
      </c>
      <c r="N281">
        <v>0.35820000000000002</v>
      </c>
      <c r="O281">
        <v>0</v>
      </c>
      <c r="P281">
        <v>2</v>
      </c>
      <c r="Q281">
        <v>2</v>
      </c>
      <c r="R281" s="12" t="str">
        <f t="shared" si="20"/>
        <v>Clear/Few Clouds</v>
      </c>
      <c r="S281" s="14" t="str">
        <f t="shared" si="21"/>
        <v>Winter</v>
      </c>
      <c r="T281" s="15" t="str">
        <f t="shared" si="22"/>
        <v>Thursday</v>
      </c>
      <c r="U281" t="str">
        <f t="shared" si="23"/>
        <v>January</v>
      </c>
      <c r="V281" s="16" t="str">
        <f t="shared" si="24"/>
        <v>GOOD</v>
      </c>
    </row>
    <row r="282" spans="1:22" x14ac:dyDescent="0.3">
      <c r="A282">
        <v>281</v>
      </c>
      <c r="B282" s="1">
        <v>40556</v>
      </c>
      <c r="C282">
        <v>1</v>
      </c>
      <c r="D282">
        <v>0</v>
      </c>
      <c r="E282">
        <v>1</v>
      </c>
      <c r="F282">
        <v>3</v>
      </c>
      <c r="G282" t="b">
        <f>IF(COUNTIF(AB$4:AB$20,Append1[[#This Row],[dteday]]) &gt; 0, TRUE, FALSE)</f>
        <v>0</v>
      </c>
      <c r="H282">
        <v>4</v>
      </c>
      <c r="I282">
        <v>1</v>
      </c>
      <c r="J282">
        <v>0.14000000000000001</v>
      </c>
      <c r="K282">
        <f>Append1[[#This Row],[temp]]*100</f>
        <v>14.000000000000002</v>
      </c>
      <c r="L282">
        <v>0.1212</v>
      </c>
      <c r="M282">
        <v>0.5</v>
      </c>
      <c r="N282">
        <v>0.32840000000000003</v>
      </c>
      <c r="O282">
        <v>0</v>
      </c>
      <c r="P282">
        <v>3</v>
      </c>
      <c r="Q282">
        <v>3</v>
      </c>
      <c r="R282" s="12" t="str">
        <f t="shared" si="20"/>
        <v>Clear/Few Clouds</v>
      </c>
      <c r="S282" s="14" t="str">
        <f t="shared" si="21"/>
        <v>Winter</v>
      </c>
      <c r="T282" s="15" t="str">
        <f t="shared" si="22"/>
        <v>Thursday</v>
      </c>
      <c r="U282" t="str">
        <f t="shared" si="23"/>
        <v>January</v>
      </c>
      <c r="V282" s="16" t="str">
        <f t="shared" si="24"/>
        <v>GOOD</v>
      </c>
    </row>
    <row r="283" spans="1:22" x14ac:dyDescent="0.3">
      <c r="A283">
        <v>282</v>
      </c>
      <c r="B283" s="1">
        <v>40556</v>
      </c>
      <c r="C283">
        <v>1</v>
      </c>
      <c r="D283">
        <v>0</v>
      </c>
      <c r="E283">
        <v>1</v>
      </c>
      <c r="F283">
        <v>4</v>
      </c>
      <c r="G283" t="b">
        <f>IF(COUNTIF(AB$4:AB$20,Append1[[#This Row],[dteday]]) &gt; 0, TRUE, FALSE)</f>
        <v>0</v>
      </c>
      <c r="H283">
        <v>4</v>
      </c>
      <c r="I283">
        <v>1</v>
      </c>
      <c r="J283">
        <v>0.14000000000000001</v>
      </c>
      <c r="K283">
        <f>Append1[[#This Row],[temp]]*100</f>
        <v>14.000000000000002</v>
      </c>
      <c r="L283">
        <v>0.1212</v>
      </c>
      <c r="M283">
        <v>0.5</v>
      </c>
      <c r="N283">
        <v>0.25369999999999998</v>
      </c>
      <c r="O283">
        <v>0</v>
      </c>
      <c r="P283">
        <v>4</v>
      </c>
      <c r="Q283">
        <v>4</v>
      </c>
      <c r="R283" s="12" t="str">
        <f t="shared" si="20"/>
        <v>Clear/Few Clouds</v>
      </c>
      <c r="S283" s="14" t="str">
        <f t="shared" si="21"/>
        <v>Winter</v>
      </c>
      <c r="T283" s="15" t="str">
        <f t="shared" si="22"/>
        <v>Thursday</v>
      </c>
      <c r="U283" t="str">
        <f t="shared" si="23"/>
        <v>January</v>
      </c>
      <c r="V283" s="16" t="str">
        <f t="shared" si="24"/>
        <v>GOOD</v>
      </c>
    </row>
    <row r="284" spans="1:22" x14ac:dyDescent="0.3">
      <c r="A284">
        <v>283</v>
      </c>
      <c r="B284" s="1">
        <v>40556</v>
      </c>
      <c r="C284">
        <v>1</v>
      </c>
      <c r="D284">
        <v>0</v>
      </c>
      <c r="E284">
        <v>1</v>
      </c>
      <c r="F284">
        <v>5</v>
      </c>
      <c r="G284" t="b">
        <f>IF(COUNTIF(AB$4:AB$20,Append1[[#This Row],[dteday]]) &gt; 0, TRUE, FALSE)</f>
        <v>0</v>
      </c>
      <c r="H284">
        <v>4</v>
      </c>
      <c r="I284">
        <v>1</v>
      </c>
      <c r="J284">
        <v>0.14000000000000001</v>
      </c>
      <c r="K284">
        <f>Append1[[#This Row],[temp]]*100</f>
        <v>14.000000000000002</v>
      </c>
      <c r="L284">
        <v>0.1212</v>
      </c>
      <c r="M284">
        <v>0.5</v>
      </c>
      <c r="N284">
        <v>0.29849999999999999</v>
      </c>
      <c r="O284">
        <v>0</v>
      </c>
      <c r="P284">
        <v>3</v>
      </c>
      <c r="Q284">
        <v>3</v>
      </c>
      <c r="R284" s="12" t="str">
        <f t="shared" si="20"/>
        <v>Clear/Few Clouds</v>
      </c>
      <c r="S284" s="14" t="str">
        <f t="shared" si="21"/>
        <v>Winter</v>
      </c>
      <c r="T284" s="15" t="str">
        <f t="shared" si="22"/>
        <v>Thursday</v>
      </c>
      <c r="U284" t="str">
        <f t="shared" si="23"/>
        <v>January</v>
      </c>
      <c r="V284" s="16" t="str">
        <f t="shared" si="24"/>
        <v>GOOD</v>
      </c>
    </row>
    <row r="285" spans="1:22" x14ac:dyDescent="0.3">
      <c r="A285">
        <v>284</v>
      </c>
      <c r="B285" s="1">
        <v>40556</v>
      </c>
      <c r="C285">
        <v>1</v>
      </c>
      <c r="D285">
        <v>0</v>
      </c>
      <c r="E285">
        <v>1</v>
      </c>
      <c r="F285">
        <v>6</v>
      </c>
      <c r="G285" t="b">
        <f>IF(COUNTIF(AB$4:AB$20,Append1[[#This Row],[dteday]]) &gt; 0, TRUE, FALSE)</f>
        <v>0</v>
      </c>
      <c r="H285">
        <v>4</v>
      </c>
      <c r="I285">
        <v>1</v>
      </c>
      <c r="J285">
        <v>0.12</v>
      </c>
      <c r="K285">
        <f>Append1[[#This Row],[temp]]*100</f>
        <v>12</v>
      </c>
      <c r="L285">
        <v>0.1515</v>
      </c>
      <c r="M285">
        <v>0.54</v>
      </c>
      <c r="N285">
        <v>0.1343</v>
      </c>
      <c r="O285">
        <v>0</v>
      </c>
      <c r="P285">
        <v>28</v>
      </c>
      <c r="Q285">
        <v>28</v>
      </c>
      <c r="R285" s="12" t="str">
        <f t="shared" si="20"/>
        <v>Clear/Few Clouds</v>
      </c>
      <c r="S285" s="14" t="str">
        <f t="shared" si="21"/>
        <v>Winter</v>
      </c>
      <c r="T285" s="15" t="str">
        <f t="shared" si="22"/>
        <v>Thursday</v>
      </c>
      <c r="U285" t="str">
        <f t="shared" si="23"/>
        <v>January</v>
      </c>
      <c r="V285" s="16" t="str">
        <f t="shared" si="24"/>
        <v>GOOD</v>
      </c>
    </row>
    <row r="286" spans="1:22" x14ac:dyDescent="0.3">
      <c r="A286">
        <v>285</v>
      </c>
      <c r="B286" s="1">
        <v>40556</v>
      </c>
      <c r="C286">
        <v>1</v>
      </c>
      <c r="D286">
        <v>0</v>
      </c>
      <c r="E286">
        <v>1</v>
      </c>
      <c r="F286">
        <v>7</v>
      </c>
      <c r="G286" t="b">
        <f>IF(COUNTIF(AB$4:AB$20,Append1[[#This Row],[dteday]]) &gt; 0, TRUE, FALSE)</f>
        <v>0</v>
      </c>
      <c r="H286">
        <v>4</v>
      </c>
      <c r="I286">
        <v>1</v>
      </c>
      <c r="J286">
        <v>0.12</v>
      </c>
      <c r="K286">
        <f>Append1[[#This Row],[temp]]*100</f>
        <v>12</v>
      </c>
      <c r="L286">
        <v>0.1515</v>
      </c>
      <c r="M286">
        <v>0.54</v>
      </c>
      <c r="N286">
        <v>0.1343</v>
      </c>
      <c r="O286">
        <v>0</v>
      </c>
      <c r="P286">
        <v>72</v>
      </c>
      <c r="Q286">
        <v>72</v>
      </c>
      <c r="R286" s="12" t="str">
        <f t="shared" si="20"/>
        <v>Clear/Few Clouds</v>
      </c>
      <c r="S286" s="14" t="str">
        <f t="shared" si="21"/>
        <v>Winter</v>
      </c>
      <c r="T286" s="15" t="str">
        <f t="shared" si="22"/>
        <v>Thursday</v>
      </c>
      <c r="U286" t="str">
        <f t="shared" si="23"/>
        <v>January</v>
      </c>
      <c r="V286" s="16" t="str">
        <f t="shared" si="24"/>
        <v>GOOD</v>
      </c>
    </row>
    <row r="287" spans="1:22" x14ac:dyDescent="0.3">
      <c r="A287">
        <v>286</v>
      </c>
      <c r="B287" s="1">
        <v>40556</v>
      </c>
      <c r="C287">
        <v>1</v>
      </c>
      <c r="D287">
        <v>0</v>
      </c>
      <c r="E287">
        <v>1</v>
      </c>
      <c r="F287">
        <v>8</v>
      </c>
      <c r="G287" t="b">
        <f>IF(COUNTIF(AB$4:AB$20,Append1[[#This Row],[dteday]]) &gt; 0, TRUE, FALSE)</f>
        <v>0</v>
      </c>
      <c r="H287">
        <v>4</v>
      </c>
      <c r="I287">
        <v>1</v>
      </c>
      <c r="J287">
        <v>0.14000000000000001</v>
      </c>
      <c r="K287">
        <f>Append1[[#This Row],[temp]]*100</f>
        <v>14.000000000000002</v>
      </c>
      <c r="L287">
        <v>0.13639999999999999</v>
      </c>
      <c r="M287">
        <v>0.5</v>
      </c>
      <c r="N287">
        <v>0.19400000000000001</v>
      </c>
      <c r="O287">
        <v>5</v>
      </c>
      <c r="P287">
        <v>197</v>
      </c>
      <c r="Q287">
        <v>202</v>
      </c>
      <c r="R287" s="12" t="str">
        <f t="shared" si="20"/>
        <v>Clear/Few Clouds</v>
      </c>
      <c r="S287" s="14" t="str">
        <f t="shared" si="21"/>
        <v>Winter</v>
      </c>
      <c r="T287" s="15" t="str">
        <f t="shared" si="22"/>
        <v>Thursday</v>
      </c>
      <c r="U287" t="str">
        <f t="shared" si="23"/>
        <v>January</v>
      </c>
      <c r="V287" s="16" t="str">
        <f t="shared" si="24"/>
        <v>GOOD</v>
      </c>
    </row>
    <row r="288" spans="1:22" x14ac:dyDescent="0.3">
      <c r="A288">
        <v>287</v>
      </c>
      <c r="B288" s="1">
        <v>40556</v>
      </c>
      <c r="C288">
        <v>1</v>
      </c>
      <c r="D288">
        <v>0</v>
      </c>
      <c r="E288">
        <v>1</v>
      </c>
      <c r="F288">
        <v>9</v>
      </c>
      <c r="G288" t="b">
        <f>IF(COUNTIF(AB$4:AB$20,Append1[[#This Row],[dteday]]) &gt; 0, TRUE, FALSE)</f>
        <v>0</v>
      </c>
      <c r="H288">
        <v>4</v>
      </c>
      <c r="I288">
        <v>1</v>
      </c>
      <c r="J288">
        <v>0.14000000000000001</v>
      </c>
      <c r="K288">
        <f>Append1[[#This Row],[temp]]*100</f>
        <v>14.000000000000002</v>
      </c>
      <c r="L288">
        <v>0.1212</v>
      </c>
      <c r="M288">
        <v>0.5</v>
      </c>
      <c r="N288">
        <v>0.32840000000000003</v>
      </c>
      <c r="O288">
        <v>2</v>
      </c>
      <c r="P288">
        <v>137</v>
      </c>
      <c r="Q288">
        <v>139</v>
      </c>
      <c r="R288" s="12" t="str">
        <f t="shared" si="20"/>
        <v>Clear/Few Clouds</v>
      </c>
      <c r="S288" s="14" t="str">
        <f t="shared" si="21"/>
        <v>Winter</v>
      </c>
      <c r="T288" s="15" t="str">
        <f t="shared" si="22"/>
        <v>Thursday</v>
      </c>
      <c r="U288" t="str">
        <f t="shared" si="23"/>
        <v>January</v>
      </c>
      <c r="V288" s="16" t="str">
        <f t="shared" si="24"/>
        <v>GOOD</v>
      </c>
    </row>
    <row r="289" spans="1:22" x14ac:dyDescent="0.3">
      <c r="A289">
        <v>288</v>
      </c>
      <c r="B289" s="1">
        <v>40556</v>
      </c>
      <c r="C289">
        <v>1</v>
      </c>
      <c r="D289">
        <v>0</v>
      </c>
      <c r="E289">
        <v>1</v>
      </c>
      <c r="F289">
        <v>10</v>
      </c>
      <c r="G289" t="b">
        <f>IF(COUNTIF(AB$4:AB$20,Append1[[#This Row],[dteday]]) &gt; 0, TRUE, FALSE)</f>
        <v>0</v>
      </c>
      <c r="H289">
        <v>4</v>
      </c>
      <c r="I289">
        <v>2</v>
      </c>
      <c r="J289">
        <v>0.16</v>
      </c>
      <c r="K289">
        <f>Append1[[#This Row],[temp]]*100</f>
        <v>16</v>
      </c>
      <c r="L289">
        <v>0.13639999999999999</v>
      </c>
      <c r="M289">
        <v>0.5</v>
      </c>
      <c r="N289">
        <v>0.35820000000000002</v>
      </c>
      <c r="O289">
        <v>2</v>
      </c>
      <c r="P289">
        <v>36</v>
      </c>
      <c r="Q289">
        <v>38</v>
      </c>
      <c r="R289" s="12" t="str">
        <f t="shared" si="20"/>
        <v>Mist/Cloudy</v>
      </c>
      <c r="S289" s="14" t="str">
        <f t="shared" si="21"/>
        <v>Winter</v>
      </c>
      <c r="T289" s="15" t="str">
        <f t="shared" si="22"/>
        <v>Thursday</v>
      </c>
      <c r="U289" t="str">
        <f t="shared" si="23"/>
        <v>January</v>
      </c>
      <c r="V289" s="16" t="str">
        <f t="shared" si="24"/>
        <v>MODERATE</v>
      </c>
    </row>
    <row r="290" spans="1:22" x14ac:dyDescent="0.3">
      <c r="A290">
        <v>289</v>
      </c>
      <c r="B290" s="1">
        <v>40556</v>
      </c>
      <c r="C290">
        <v>1</v>
      </c>
      <c r="D290">
        <v>0</v>
      </c>
      <c r="E290">
        <v>1</v>
      </c>
      <c r="F290">
        <v>11</v>
      </c>
      <c r="G290" t="b">
        <f>IF(COUNTIF(AB$4:AB$20,Append1[[#This Row],[dteday]]) &gt; 0, TRUE, FALSE)</f>
        <v>0</v>
      </c>
      <c r="H290">
        <v>4</v>
      </c>
      <c r="I290">
        <v>2</v>
      </c>
      <c r="J290">
        <v>0.2</v>
      </c>
      <c r="K290">
        <f>Append1[[#This Row],[temp]]*100</f>
        <v>20</v>
      </c>
      <c r="L290">
        <v>0.16669999999999999</v>
      </c>
      <c r="M290">
        <v>0.44</v>
      </c>
      <c r="N290">
        <v>0.44779999999999998</v>
      </c>
      <c r="O290">
        <v>4</v>
      </c>
      <c r="P290">
        <v>33</v>
      </c>
      <c r="Q290">
        <v>37</v>
      </c>
      <c r="R290" s="12" t="str">
        <f t="shared" si="20"/>
        <v>Mist/Cloudy</v>
      </c>
      <c r="S290" s="14" t="str">
        <f t="shared" si="21"/>
        <v>Winter</v>
      </c>
      <c r="T290" s="15" t="str">
        <f t="shared" si="22"/>
        <v>Thursday</v>
      </c>
      <c r="U290" t="str">
        <f t="shared" si="23"/>
        <v>January</v>
      </c>
      <c r="V290" s="16" t="str">
        <f t="shared" si="24"/>
        <v>MODERATE</v>
      </c>
    </row>
    <row r="291" spans="1:22" x14ac:dyDescent="0.3">
      <c r="A291">
        <v>290</v>
      </c>
      <c r="B291" s="1">
        <v>40556</v>
      </c>
      <c r="C291">
        <v>1</v>
      </c>
      <c r="D291">
        <v>0</v>
      </c>
      <c r="E291">
        <v>1</v>
      </c>
      <c r="F291">
        <v>12</v>
      </c>
      <c r="G291" t="b">
        <f>IF(COUNTIF(AB$4:AB$20,Append1[[#This Row],[dteday]]) &gt; 0, TRUE, FALSE)</f>
        <v>0</v>
      </c>
      <c r="H291">
        <v>4</v>
      </c>
      <c r="I291">
        <v>1</v>
      </c>
      <c r="J291">
        <v>0.2</v>
      </c>
      <c r="K291">
        <f>Append1[[#This Row],[temp]]*100</f>
        <v>20</v>
      </c>
      <c r="L291">
        <v>0.16669999999999999</v>
      </c>
      <c r="M291">
        <v>0.44</v>
      </c>
      <c r="N291">
        <v>0.41789999999999999</v>
      </c>
      <c r="O291">
        <v>3</v>
      </c>
      <c r="P291">
        <v>49</v>
      </c>
      <c r="Q291">
        <v>52</v>
      </c>
      <c r="R291" s="12" t="str">
        <f t="shared" si="20"/>
        <v>Clear/Few Clouds</v>
      </c>
      <c r="S291" s="14" t="str">
        <f t="shared" si="21"/>
        <v>Winter</v>
      </c>
      <c r="T291" s="15" t="str">
        <f t="shared" si="22"/>
        <v>Thursday</v>
      </c>
      <c r="U291" t="str">
        <f t="shared" si="23"/>
        <v>January</v>
      </c>
      <c r="V291" s="16" t="str">
        <f t="shared" si="24"/>
        <v>GOOD</v>
      </c>
    </row>
    <row r="292" spans="1:22" x14ac:dyDescent="0.3">
      <c r="A292">
        <v>291</v>
      </c>
      <c r="B292" s="1">
        <v>40556</v>
      </c>
      <c r="C292">
        <v>1</v>
      </c>
      <c r="D292">
        <v>0</v>
      </c>
      <c r="E292">
        <v>1</v>
      </c>
      <c r="F292">
        <v>13</v>
      </c>
      <c r="G292" t="b">
        <f>IF(COUNTIF(AB$4:AB$20,Append1[[#This Row],[dteday]]) &gt; 0, TRUE, FALSE)</f>
        <v>0</v>
      </c>
      <c r="H292">
        <v>4</v>
      </c>
      <c r="I292">
        <v>1</v>
      </c>
      <c r="J292">
        <v>0.22</v>
      </c>
      <c r="K292">
        <f>Append1[[#This Row],[temp]]*100</f>
        <v>22</v>
      </c>
      <c r="L292">
        <v>0.19700000000000001</v>
      </c>
      <c r="M292">
        <v>0.41</v>
      </c>
      <c r="N292">
        <v>0.44779999999999998</v>
      </c>
      <c r="O292">
        <v>2</v>
      </c>
      <c r="P292">
        <v>81</v>
      </c>
      <c r="Q292">
        <v>83</v>
      </c>
      <c r="R292" s="12" t="str">
        <f t="shared" si="20"/>
        <v>Clear/Few Clouds</v>
      </c>
      <c r="S292" s="14" t="str">
        <f t="shared" si="21"/>
        <v>Winter</v>
      </c>
      <c r="T292" s="15" t="str">
        <f t="shared" si="22"/>
        <v>Thursday</v>
      </c>
      <c r="U292" t="str">
        <f t="shared" si="23"/>
        <v>January</v>
      </c>
      <c r="V292" s="16" t="str">
        <f t="shared" si="24"/>
        <v>GOOD</v>
      </c>
    </row>
    <row r="293" spans="1:22" x14ac:dyDescent="0.3">
      <c r="A293">
        <v>292</v>
      </c>
      <c r="B293" s="1">
        <v>40556</v>
      </c>
      <c r="C293">
        <v>1</v>
      </c>
      <c r="D293">
        <v>0</v>
      </c>
      <c r="E293">
        <v>1</v>
      </c>
      <c r="F293">
        <v>14</v>
      </c>
      <c r="G293" t="b">
        <f>IF(COUNTIF(AB$4:AB$20,Append1[[#This Row],[dteday]]) &gt; 0, TRUE, FALSE)</f>
        <v>0</v>
      </c>
      <c r="H293">
        <v>4</v>
      </c>
      <c r="I293">
        <v>1</v>
      </c>
      <c r="J293">
        <v>0.22</v>
      </c>
      <c r="K293">
        <f>Append1[[#This Row],[temp]]*100</f>
        <v>22</v>
      </c>
      <c r="L293">
        <v>0.19700000000000001</v>
      </c>
      <c r="M293">
        <v>0.41</v>
      </c>
      <c r="N293">
        <v>0.3881</v>
      </c>
      <c r="O293">
        <v>3</v>
      </c>
      <c r="P293">
        <v>39</v>
      </c>
      <c r="Q293">
        <v>42</v>
      </c>
      <c r="R293" s="12" t="str">
        <f t="shared" si="20"/>
        <v>Clear/Few Clouds</v>
      </c>
      <c r="S293" s="14" t="str">
        <f t="shared" si="21"/>
        <v>Winter</v>
      </c>
      <c r="T293" s="15" t="str">
        <f t="shared" si="22"/>
        <v>Thursday</v>
      </c>
      <c r="U293" t="str">
        <f t="shared" si="23"/>
        <v>January</v>
      </c>
      <c r="V293" s="16" t="str">
        <f t="shared" si="24"/>
        <v>GOOD</v>
      </c>
    </row>
    <row r="294" spans="1:22" x14ac:dyDescent="0.3">
      <c r="A294">
        <v>293</v>
      </c>
      <c r="B294" s="1">
        <v>40556</v>
      </c>
      <c r="C294">
        <v>1</v>
      </c>
      <c r="D294">
        <v>0</v>
      </c>
      <c r="E294">
        <v>1</v>
      </c>
      <c r="F294">
        <v>15</v>
      </c>
      <c r="G294" t="b">
        <f>IF(COUNTIF(AB$4:AB$20,Append1[[#This Row],[dteday]]) &gt; 0, TRUE, FALSE)</f>
        <v>0</v>
      </c>
      <c r="H294">
        <v>4</v>
      </c>
      <c r="I294">
        <v>1</v>
      </c>
      <c r="J294">
        <v>0.24</v>
      </c>
      <c r="K294">
        <f>Append1[[#This Row],[temp]]*100</f>
        <v>24</v>
      </c>
      <c r="L294">
        <v>0.21210000000000001</v>
      </c>
      <c r="M294">
        <v>0.38</v>
      </c>
      <c r="N294">
        <v>0.29849999999999999</v>
      </c>
      <c r="O294">
        <v>5</v>
      </c>
      <c r="P294">
        <v>55</v>
      </c>
      <c r="Q294">
        <v>60</v>
      </c>
      <c r="R294" s="12" t="str">
        <f t="shared" si="20"/>
        <v>Clear/Few Clouds</v>
      </c>
      <c r="S294" s="14" t="str">
        <f t="shared" si="21"/>
        <v>Winter</v>
      </c>
      <c r="T294" s="15" t="str">
        <f t="shared" si="22"/>
        <v>Thursday</v>
      </c>
      <c r="U294" t="str">
        <f t="shared" si="23"/>
        <v>January</v>
      </c>
      <c r="V294" s="16" t="str">
        <f t="shared" si="24"/>
        <v>GOOD</v>
      </c>
    </row>
    <row r="295" spans="1:22" x14ac:dyDescent="0.3">
      <c r="A295">
        <v>294</v>
      </c>
      <c r="B295" s="1">
        <v>40556</v>
      </c>
      <c r="C295">
        <v>1</v>
      </c>
      <c r="D295">
        <v>0</v>
      </c>
      <c r="E295">
        <v>1</v>
      </c>
      <c r="F295">
        <v>16</v>
      </c>
      <c r="G295" t="b">
        <f>IF(COUNTIF(AB$4:AB$20,Append1[[#This Row],[dteday]]) &gt; 0, TRUE, FALSE)</f>
        <v>0</v>
      </c>
      <c r="H295">
        <v>4</v>
      </c>
      <c r="I295">
        <v>1</v>
      </c>
      <c r="J295">
        <v>0.24</v>
      </c>
      <c r="K295">
        <f>Append1[[#This Row],[temp]]*100</f>
        <v>24</v>
      </c>
      <c r="L295">
        <v>0.21210000000000001</v>
      </c>
      <c r="M295">
        <v>0.38</v>
      </c>
      <c r="N295">
        <v>0.35820000000000002</v>
      </c>
      <c r="O295">
        <v>2</v>
      </c>
      <c r="P295">
        <v>76</v>
      </c>
      <c r="Q295">
        <v>78</v>
      </c>
      <c r="R295" s="12" t="str">
        <f t="shared" si="20"/>
        <v>Clear/Few Clouds</v>
      </c>
      <c r="S295" s="14" t="str">
        <f t="shared" si="21"/>
        <v>Winter</v>
      </c>
      <c r="T295" s="15" t="str">
        <f t="shared" si="22"/>
        <v>Thursday</v>
      </c>
      <c r="U295" t="str">
        <f t="shared" si="23"/>
        <v>January</v>
      </c>
      <c r="V295" s="16" t="str">
        <f t="shared" si="24"/>
        <v>GOOD</v>
      </c>
    </row>
    <row r="296" spans="1:22" x14ac:dyDescent="0.3">
      <c r="A296">
        <v>295</v>
      </c>
      <c r="B296" s="1">
        <v>40556</v>
      </c>
      <c r="C296">
        <v>1</v>
      </c>
      <c r="D296">
        <v>0</v>
      </c>
      <c r="E296">
        <v>1</v>
      </c>
      <c r="F296">
        <v>17</v>
      </c>
      <c r="G296" t="b">
        <f>IF(COUNTIF(AB$4:AB$20,Append1[[#This Row],[dteday]]) &gt; 0, TRUE, FALSE)</f>
        <v>0</v>
      </c>
      <c r="H296">
        <v>4</v>
      </c>
      <c r="I296">
        <v>1</v>
      </c>
      <c r="J296">
        <v>0.2</v>
      </c>
      <c r="K296">
        <f>Append1[[#This Row],[temp]]*100</f>
        <v>20</v>
      </c>
      <c r="L296">
        <v>0.18179999999999999</v>
      </c>
      <c r="M296">
        <v>0.4</v>
      </c>
      <c r="N296">
        <v>0.28360000000000002</v>
      </c>
      <c r="O296">
        <v>4</v>
      </c>
      <c r="P296">
        <v>158</v>
      </c>
      <c r="Q296">
        <v>162</v>
      </c>
      <c r="R296" s="12" t="str">
        <f t="shared" si="20"/>
        <v>Clear/Few Clouds</v>
      </c>
      <c r="S296" s="14" t="str">
        <f t="shared" si="21"/>
        <v>Winter</v>
      </c>
      <c r="T296" s="15" t="str">
        <f t="shared" si="22"/>
        <v>Thursday</v>
      </c>
      <c r="U296" t="str">
        <f t="shared" si="23"/>
        <v>January</v>
      </c>
      <c r="V296" s="16" t="str">
        <f t="shared" si="24"/>
        <v>GOOD</v>
      </c>
    </row>
    <row r="297" spans="1:22" x14ac:dyDescent="0.3">
      <c r="A297">
        <v>296</v>
      </c>
      <c r="B297" s="1">
        <v>40556</v>
      </c>
      <c r="C297">
        <v>1</v>
      </c>
      <c r="D297">
        <v>0</v>
      </c>
      <c r="E297">
        <v>1</v>
      </c>
      <c r="F297">
        <v>18</v>
      </c>
      <c r="G297" t="b">
        <f>IF(COUNTIF(AB$4:AB$20,Append1[[#This Row],[dteday]]) &gt; 0, TRUE, FALSE)</f>
        <v>0</v>
      </c>
      <c r="H297">
        <v>4</v>
      </c>
      <c r="I297">
        <v>1</v>
      </c>
      <c r="J297">
        <v>0.2</v>
      </c>
      <c r="K297">
        <f>Append1[[#This Row],[temp]]*100</f>
        <v>20</v>
      </c>
      <c r="L297">
        <v>0.18179999999999999</v>
      </c>
      <c r="M297">
        <v>0.4</v>
      </c>
      <c r="N297">
        <v>0.32840000000000003</v>
      </c>
      <c r="O297">
        <v>3</v>
      </c>
      <c r="P297">
        <v>141</v>
      </c>
      <c r="Q297">
        <v>144</v>
      </c>
      <c r="R297" s="12" t="str">
        <f t="shared" si="20"/>
        <v>Clear/Few Clouds</v>
      </c>
      <c r="S297" s="14" t="str">
        <f t="shared" si="21"/>
        <v>Winter</v>
      </c>
      <c r="T297" s="15" t="str">
        <f t="shared" si="22"/>
        <v>Thursday</v>
      </c>
      <c r="U297" t="str">
        <f t="shared" si="23"/>
        <v>January</v>
      </c>
      <c r="V297" s="16" t="str">
        <f t="shared" si="24"/>
        <v>GOOD</v>
      </c>
    </row>
    <row r="298" spans="1:22" x14ac:dyDescent="0.3">
      <c r="A298">
        <v>297</v>
      </c>
      <c r="B298" s="1">
        <v>40556</v>
      </c>
      <c r="C298">
        <v>1</v>
      </c>
      <c r="D298">
        <v>0</v>
      </c>
      <c r="E298">
        <v>1</v>
      </c>
      <c r="F298">
        <v>19</v>
      </c>
      <c r="G298" t="b">
        <f>IF(COUNTIF(AB$4:AB$20,Append1[[#This Row],[dteday]]) &gt; 0, TRUE, FALSE)</f>
        <v>0</v>
      </c>
      <c r="H298">
        <v>4</v>
      </c>
      <c r="I298">
        <v>1</v>
      </c>
      <c r="J298">
        <v>0.16</v>
      </c>
      <c r="K298">
        <f>Append1[[#This Row],[temp]]*100</f>
        <v>16</v>
      </c>
      <c r="L298">
        <v>0.1515</v>
      </c>
      <c r="M298">
        <v>0.47</v>
      </c>
      <c r="N298">
        <v>0.25369999999999998</v>
      </c>
      <c r="O298">
        <v>1</v>
      </c>
      <c r="P298">
        <v>98</v>
      </c>
      <c r="Q298">
        <v>99</v>
      </c>
      <c r="R298" s="12" t="str">
        <f t="shared" si="20"/>
        <v>Clear/Few Clouds</v>
      </c>
      <c r="S298" s="14" t="str">
        <f t="shared" si="21"/>
        <v>Winter</v>
      </c>
      <c r="T298" s="15" t="str">
        <f t="shared" si="22"/>
        <v>Thursday</v>
      </c>
      <c r="U298" t="str">
        <f t="shared" si="23"/>
        <v>January</v>
      </c>
      <c r="V298" s="16" t="str">
        <f t="shared" si="24"/>
        <v>GOOD</v>
      </c>
    </row>
    <row r="299" spans="1:22" x14ac:dyDescent="0.3">
      <c r="A299">
        <v>298</v>
      </c>
      <c r="B299" s="1">
        <v>40556</v>
      </c>
      <c r="C299">
        <v>1</v>
      </c>
      <c r="D299">
        <v>0</v>
      </c>
      <c r="E299">
        <v>1</v>
      </c>
      <c r="F299">
        <v>20</v>
      </c>
      <c r="G299" t="b">
        <f>IF(COUNTIF(AB$4:AB$20,Append1[[#This Row],[dteday]]) &gt; 0, TRUE, FALSE)</f>
        <v>0</v>
      </c>
      <c r="H299">
        <v>4</v>
      </c>
      <c r="I299">
        <v>1</v>
      </c>
      <c r="J299">
        <v>0.16</v>
      </c>
      <c r="K299">
        <f>Append1[[#This Row],[temp]]*100</f>
        <v>16</v>
      </c>
      <c r="L299">
        <v>0.1515</v>
      </c>
      <c r="M299">
        <v>0.47</v>
      </c>
      <c r="N299">
        <v>0.22389999999999999</v>
      </c>
      <c r="O299">
        <v>0</v>
      </c>
      <c r="P299">
        <v>64</v>
      </c>
      <c r="Q299">
        <v>64</v>
      </c>
      <c r="R299" s="12" t="str">
        <f t="shared" si="20"/>
        <v>Clear/Few Clouds</v>
      </c>
      <c r="S299" s="14" t="str">
        <f t="shared" si="21"/>
        <v>Winter</v>
      </c>
      <c r="T299" s="15" t="str">
        <f t="shared" si="22"/>
        <v>Thursday</v>
      </c>
      <c r="U299" t="str">
        <f t="shared" si="23"/>
        <v>January</v>
      </c>
      <c r="V299" s="16" t="str">
        <f t="shared" si="24"/>
        <v>GOOD</v>
      </c>
    </row>
    <row r="300" spans="1:22" x14ac:dyDescent="0.3">
      <c r="A300">
        <v>299</v>
      </c>
      <c r="B300" s="1">
        <v>40556</v>
      </c>
      <c r="C300">
        <v>1</v>
      </c>
      <c r="D300">
        <v>0</v>
      </c>
      <c r="E300">
        <v>1</v>
      </c>
      <c r="F300">
        <v>21</v>
      </c>
      <c r="G300" t="b">
        <f>IF(COUNTIF(AB$4:AB$20,Append1[[#This Row],[dteday]]) &gt; 0, TRUE, FALSE)</f>
        <v>0</v>
      </c>
      <c r="H300">
        <v>4</v>
      </c>
      <c r="I300">
        <v>1</v>
      </c>
      <c r="J300">
        <v>0.14000000000000001</v>
      </c>
      <c r="K300">
        <f>Append1[[#This Row],[temp]]*100</f>
        <v>14.000000000000002</v>
      </c>
      <c r="L300">
        <v>0.1212</v>
      </c>
      <c r="M300">
        <v>0.46</v>
      </c>
      <c r="N300">
        <v>0.29849999999999999</v>
      </c>
      <c r="O300">
        <v>0</v>
      </c>
      <c r="P300">
        <v>40</v>
      </c>
      <c r="Q300">
        <v>40</v>
      </c>
      <c r="R300" s="12" t="str">
        <f t="shared" si="20"/>
        <v>Clear/Few Clouds</v>
      </c>
      <c r="S300" s="14" t="str">
        <f t="shared" si="21"/>
        <v>Winter</v>
      </c>
      <c r="T300" s="15" t="str">
        <f t="shared" si="22"/>
        <v>Thursday</v>
      </c>
      <c r="U300" t="str">
        <f t="shared" si="23"/>
        <v>January</v>
      </c>
      <c r="V300" s="16" t="str">
        <f t="shared" si="24"/>
        <v>GOOD</v>
      </c>
    </row>
    <row r="301" spans="1:22" x14ac:dyDescent="0.3">
      <c r="A301">
        <v>300</v>
      </c>
      <c r="B301" s="1">
        <v>40556</v>
      </c>
      <c r="C301">
        <v>1</v>
      </c>
      <c r="D301">
        <v>0</v>
      </c>
      <c r="E301">
        <v>1</v>
      </c>
      <c r="F301">
        <v>22</v>
      </c>
      <c r="G301" t="b">
        <f>IF(COUNTIF(AB$4:AB$20,Append1[[#This Row],[dteday]]) &gt; 0, TRUE, FALSE)</f>
        <v>0</v>
      </c>
      <c r="H301">
        <v>4</v>
      </c>
      <c r="I301">
        <v>1</v>
      </c>
      <c r="J301">
        <v>0.14000000000000001</v>
      </c>
      <c r="K301">
        <f>Append1[[#This Row],[temp]]*100</f>
        <v>14.000000000000002</v>
      </c>
      <c r="L301">
        <v>0.1212</v>
      </c>
      <c r="M301">
        <v>0.46</v>
      </c>
      <c r="N301">
        <v>0.32840000000000003</v>
      </c>
      <c r="O301">
        <v>0</v>
      </c>
      <c r="P301">
        <v>30</v>
      </c>
      <c r="Q301">
        <v>30</v>
      </c>
      <c r="R301" s="12" t="str">
        <f t="shared" si="20"/>
        <v>Clear/Few Clouds</v>
      </c>
      <c r="S301" s="14" t="str">
        <f t="shared" si="21"/>
        <v>Winter</v>
      </c>
      <c r="T301" s="15" t="str">
        <f t="shared" si="22"/>
        <v>Thursday</v>
      </c>
      <c r="U301" t="str">
        <f t="shared" si="23"/>
        <v>January</v>
      </c>
      <c r="V301" s="16" t="str">
        <f t="shared" si="24"/>
        <v>GOOD</v>
      </c>
    </row>
    <row r="302" spans="1:22" x14ac:dyDescent="0.3">
      <c r="A302">
        <v>301</v>
      </c>
      <c r="B302" s="1">
        <v>40556</v>
      </c>
      <c r="C302">
        <v>1</v>
      </c>
      <c r="D302">
        <v>0</v>
      </c>
      <c r="E302">
        <v>1</v>
      </c>
      <c r="F302">
        <v>23</v>
      </c>
      <c r="G302" t="b">
        <f>IF(COUNTIF(AB$4:AB$20,Append1[[#This Row],[dteday]]) &gt; 0, TRUE, FALSE)</f>
        <v>0</v>
      </c>
      <c r="H302">
        <v>4</v>
      </c>
      <c r="I302">
        <v>1</v>
      </c>
      <c r="J302">
        <v>0.12</v>
      </c>
      <c r="K302">
        <f>Append1[[#This Row],[temp]]*100</f>
        <v>12</v>
      </c>
      <c r="L302">
        <v>0.13639999999999999</v>
      </c>
      <c r="M302">
        <v>0.5</v>
      </c>
      <c r="N302">
        <v>0.19400000000000001</v>
      </c>
      <c r="O302">
        <v>1</v>
      </c>
      <c r="P302">
        <v>14</v>
      </c>
      <c r="Q302">
        <v>15</v>
      </c>
      <c r="R302" s="12" t="str">
        <f t="shared" si="20"/>
        <v>Clear/Few Clouds</v>
      </c>
      <c r="S302" s="14" t="str">
        <f t="shared" si="21"/>
        <v>Winter</v>
      </c>
      <c r="T302" s="15" t="str">
        <f t="shared" si="22"/>
        <v>Thursday</v>
      </c>
      <c r="U302" t="str">
        <f t="shared" si="23"/>
        <v>January</v>
      </c>
      <c r="V302" s="16" t="str">
        <f t="shared" si="24"/>
        <v>GOOD</v>
      </c>
    </row>
    <row r="303" spans="1:22" x14ac:dyDescent="0.3">
      <c r="A303">
        <v>302</v>
      </c>
      <c r="B303" s="1">
        <v>40557</v>
      </c>
      <c r="C303">
        <v>1</v>
      </c>
      <c r="D303">
        <v>0</v>
      </c>
      <c r="E303">
        <v>1</v>
      </c>
      <c r="F303">
        <v>0</v>
      </c>
      <c r="G303" t="b">
        <f>IF(COUNTIF(AB$4:AB$20,Append1[[#This Row],[dteday]]) &gt; 0, TRUE, FALSE)</f>
        <v>0</v>
      </c>
      <c r="H303">
        <v>5</v>
      </c>
      <c r="I303">
        <v>1</v>
      </c>
      <c r="J303">
        <v>0.12</v>
      </c>
      <c r="K303">
        <f>Append1[[#This Row],[temp]]*100</f>
        <v>12</v>
      </c>
      <c r="L303">
        <v>0.13639999999999999</v>
      </c>
      <c r="M303">
        <v>0.5</v>
      </c>
      <c r="N303">
        <v>0.19400000000000001</v>
      </c>
      <c r="O303">
        <v>0</v>
      </c>
      <c r="P303">
        <v>14</v>
      </c>
      <c r="Q303">
        <v>14</v>
      </c>
      <c r="R303" s="12" t="str">
        <f t="shared" si="20"/>
        <v>Clear/Few Clouds</v>
      </c>
      <c r="S303" s="14" t="str">
        <f t="shared" si="21"/>
        <v>Winter</v>
      </c>
      <c r="T303" s="15" t="str">
        <f t="shared" si="22"/>
        <v>Friday</v>
      </c>
      <c r="U303" t="str">
        <f t="shared" si="23"/>
        <v>January</v>
      </c>
      <c r="V303" s="16" t="str">
        <f t="shared" si="24"/>
        <v>GOOD</v>
      </c>
    </row>
    <row r="304" spans="1:22" x14ac:dyDescent="0.3">
      <c r="A304">
        <v>303</v>
      </c>
      <c r="B304" s="1">
        <v>40557</v>
      </c>
      <c r="C304">
        <v>1</v>
      </c>
      <c r="D304">
        <v>0</v>
      </c>
      <c r="E304">
        <v>1</v>
      </c>
      <c r="F304">
        <v>1</v>
      </c>
      <c r="G304" t="b">
        <f>IF(COUNTIF(AB$4:AB$20,Append1[[#This Row],[dteday]]) &gt; 0, TRUE, FALSE)</f>
        <v>0</v>
      </c>
      <c r="H304">
        <v>5</v>
      </c>
      <c r="I304">
        <v>1</v>
      </c>
      <c r="J304">
        <v>0.1</v>
      </c>
      <c r="K304">
        <f>Append1[[#This Row],[temp]]*100</f>
        <v>10</v>
      </c>
      <c r="L304">
        <v>0.1212</v>
      </c>
      <c r="M304">
        <v>0.54</v>
      </c>
      <c r="N304">
        <v>0.16420000000000001</v>
      </c>
      <c r="O304">
        <v>0</v>
      </c>
      <c r="P304">
        <v>5</v>
      </c>
      <c r="Q304">
        <v>5</v>
      </c>
      <c r="R304" s="12" t="str">
        <f t="shared" si="20"/>
        <v>Clear/Few Clouds</v>
      </c>
      <c r="S304" s="14" t="str">
        <f t="shared" si="21"/>
        <v>Winter</v>
      </c>
      <c r="T304" s="15" t="str">
        <f t="shared" si="22"/>
        <v>Friday</v>
      </c>
      <c r="U304" t="str">
        <f t="shared" si="23"/>
        <v>January</v>
      </c>
      <c r="V304" s="16" t="str">
        <f t="shared" si="24"/>
        <v>GOOD</v>
      </c>
    </row>
    <row r="305" spans="1:22" x14ac:dyDescent="0.3">
      <c r="A305">
        <v>304</v>
      </c>
      <c r="B305" s="1">
        <v>40557</v>
      </c>
      <c r="C305">
        <v>1</v>
      </c>
      <c r="D305">
        <v>0</v>
      </c>
      <c r="E305">
        <v>1</v>
      </c>
      <c r="F305">
        <v>2</v>
      </c>
      <c r="G305" t="b">
        <f>IF(COUNTIF(AB$4:AB$20,Append1[[#This Row],[dteday]]) &gt; 0, TRUE, FALSE)</f>
        <v>0</v>
      </c>
      <c r="H305">
        <v>5</v>
      </c>
      <c r="I305">
        <v>1</v>
      </c>
      <c r="J305">
        <v>0.1</v>
      </c>
      <c r="K305">
        <f>Append1[[#This Row],[temp]]*100</f>
        <v>10</v>
      </c>
      <c r="L305">
        <v>0.1212</v>
      </c>
      <c r="M305">
        <v>0.54</v>
      </c>
      <c r="N305">
        <v>0.1343</v>
      </c>
      <c r="O305">
        <v>0</v>
      </c>
      <c r="P305">
        <v>1</v>
      </c>
      <c r="Q305">
        <v>1</v>
      </c>
      <c r="R305" s="12" t="str">
        <f t="shared" si="20"/>
        <v>Clear/Few Clouds</v>
      </c>
      <c r="S305" s="14" t="str">
        <f t="shared" si="21"/>
        <v>Winter</v>
      </c>
      <c r="T305" s="15" t="str">
        <f t="shared" si="22"/>
        <v>Friday</v>
      </c>
      <c r="U305" t="str">
        <f t="shared" si="23"/>
        <v>January</v>
      </c>
      <c r="V305" s="16" t="str">
        <f t="shared" si="24"/>
        <v>GOOD</v>
      </c>
    </row>
    <row r="306" spans="1:22" x14ac:dyDescent="0.3">
      <c r="A306">
        <v>305</v>
      </c>
      <c r="B306" s="1">
        <v>40557</v>
      </c>
      <c r="C306">
        <v>1</v>
      </c>
      <c r="D306">
        <v>0</v>
      </c>
      <c r="E306">
        <v>1</v>
      </c>
      <c r="F306">
        <v>3</v>
      </c>
      <c r="G306" t="b">
        <f>IF(COUNTIF(AB$4:AB$20,Append1[[#This Row],[dteday]]) &gt; 0, TRUE, FALSE)</f>
        <v>0</v>
      </c>
      <c r="H306">
        <v>5</v>
      </c>
      <c r="I306">
        <v>1</v>
      </c>
      <c r="J306">
        <v>0.1</v>
      </c>
      <c r="K306">
        <f>Append1[[#This Row],[temp]]*100</f>
        <v>10</v>
      </c>
      <c r="L306">
        <v>0.13639999999999999</v>
      </c>
      <c r="M306">
        <v>0.54</v>
      </c>
      <c r="N306">
        <v>0.1045</v>
      </c>
      <c r="O306">
        <v>0</v>
      </c>
      <c r="P306">
        <v>1</v>
      </c>
      <c r="Q306">
        <v>1</v>
      </c>
      <c r="R306" s="12" t="str">
        <f t="shared" si="20"/>
        <v>Clear/Few Clouds</v>
      </c>
      <c r="S306" s="14" t="str">
        <f t="shared" si="21"/>
        <v>Winter</v>
      </c>
      <c r="T306" s="15" t="str">
        <f t="shared" si="22"/>
        <v>Friday</v>
      </c>
      <c r="U306" t="str">
        <f t="shared" si="23"/>
        <v>January</v>
      </c>
      <c r="V306" s="16" t="str">
        <f t="shared" si="24"/>
        <v>GOOD</v>
      </c>
    </row>
    <row r="307" spans="1:22" x14ac:dyDescent="0.3">
      <c r="A307">
        <v>306</v>
      </c>
      <c r="B307" s="1">
        <v>40557</v>
      </c>
      <c r="C307">
        <v>1</v>
      </c>
      <c r="D307">
        <v>0</v>
      </c>
      <c r="E307">
        <v>1</v>
      </c>
      <c r="F307">
        <v>5</v>
      </c>
      <c r="G307" t="b">
        <f>IF(COUNTIF(AB$4:AB$20,Append1[[#This Row],[dteday]]) &gt; 0, TRUE, FALSE)</f>
        <v>0</v>
      </c>
      <c r="H307">
        <v>5</v>
      </c>
      <c r="I307">
        <v>1</v>
      </c>
      <c r="J307">
        <v>0.1</v>
      </c>
      <c r="K307">
        <f>Append1[[#This Row],[temp]]*100</f>
        <v>10</v>
      </c>
      <c r="L307">
        <v>0.13639999999999999</v>
      </c>
      <c r="M307">
        <v>0.54</v>
      </c>
      <c r="N307">
        <v>8.9599999999999999E-2</v>
      </c>
      <c r="O307">
        <v>0</v>
      </c>
      <c r="P307">
        <v>8</v>
      </c>
      <c r="Q307">
        <v>8</v>
      </c>
      <c r="R307" s="12" t="str">
        <f t="shared" si="20"/>
        <v>Clear/Few Clouds</v>
      </c>
      <c r="S307" s="14" t="str">
        <f t="shared" si="21"/>
        <v>Winter</v>
      </c>
      <c r="T307" s="15" t="str">
        <f t="shared" si="22"/>
        <v>Friday</v>
      </c>
      <c r="U307" t="str">
        <f t="shared" si="23"/>
        <v>January</v>
      </c>
      <c r="V307" s="16" t="str">
        <f t="shared" si="24"/>
        <v>GOOD</v>
      </c>
    </row>
    <row r="308" spans="1:22" x14ac:dyDescent="0.3">
      <c r="A308">
        <v>307</v>
      </c>
      <c r="B308" s="1">
        <v>40557</v>
      </c>
      <c r="C308">
        <v>1</v>
      </c>
      <c r="D308">
        <v>0</v>
      </c>
      <c r="E308">
        <v>1</v>
      </c>
      <c r="F308">
        <v>6</v>
      </c>
      <c r="G308" t="b">
        <f>IF(COUNTIF(AB$4:AB$20,Append1[[#This Row],[dteday]]) &gt; 0, TRUE, FALSE)</f>
        <v>0</v>
      </c>
      <c r="H308">
        <v>5</v>
      </c>
      <c r="I308">
        <v>1</v>
      </c>
      <c r="J308">
        <v>0.1</v>
      </c>
      <c r="K308">
        <f>Append1[[#This Row],[temp]]*100</f>
        <v>10</v>
      </c>
      <c r="L308">
        <v>0.18179999999999999</v>
      </c>
      <c r="M308">
        <v>0.54</v>
      </c>
      <c r="N308">
        <v>0</v>
      </c>
      <c r="O308">
        <v>0</v>
      </c>
      <c r="P308">
        <v>17</v>
      </c>
      <c r="Q308">
        <v>17</v>
      </c>
      <c r="R308" s="12" t="str">
        <f t="shared" si="20"/>
        <v>Clear/Few Clouds</v>
      </c>
      <c r="S308" s="14" t="str">
        <f t="shared" si="21"/>
        <v>Winter</v>
      </c>
      <c r="T308" s="15" t="str">
        <f t="shared" si="22"/>
        <v>Friday</v>
      </c>
      <c r="U308" t="str">
        <f t="shared" si="23"/>
        <v>January</v>
      </c>
      <c r="V308" s="16" t="str">
        <f t="shared" si="24"/>
        <v>GOOD</v>
      </c>
    </row>
    <row r="309" spans="1:22" x14ac:dyDescent="0.3">
      <c r="A309">
        <v>308</v>
      </c>
      <c r="B309" s="1">
        <v>40557</v>
      </c>
      <c r="C309">
        <v>1</v>
      </c>
      <c r="D309">
        <v>0</v>
      </c>
      <c r="E309">
        <v>1</v>
      </c>
      <c r="F309">
        <v>7</v>
      </c>
      <c r="G309" t="b">
        <f>IF(COUNTIF(AB$4:AB$20,Append1[[#This Row],[dteday]]) &gt; 0, TRUE, FALSE)</f>
        <v>0</v>
      </c>
      <c r="H309">
        <v>5</v>
      </c>
      <c r="I309">
        <v>1</v>
      </c>
      <c r="J309">
        <v>0.1</v>
      </c>
      <c r="K309">
        <f>Append1[[#This Row],[temp]]*100</f>
        <v>10</v>
      </c>
      <c r="L309">
        <v>0.1212</v>
      </c>
      <c r="M309">
        <v>0.74</v>
      </c>
      <c r="N309">
        <v>0.16420000000000001</v>
      </c>
      <c r="O309">
        <v>0</v>
      </c>
      <c r="P309">
        <v>70</v>
      </c>
      <c r="Q309">
        <v>70</v>
      </c>
      <c r="R309" s="12" t="str">
        <f t="shared" si="20"/>
        <v>Clear/Few Clouds</v>
      </c>
      <c r="S309" s="14" t="str">
        <f t="shared" si="21"/>
        <v>Winter</v>
      </c>
      <c r="T309" s="15" t="str">
        <f t="shared" si="22"/>
        <v>Friday</v>
      </c>
      <c r="U309" t="str">
        <f t="shared" si="23"/>
        <v>January</v>
      </c>
      <c r="V309" s="16" t="str">
        <f t="shared" si="24"/>
        <v>GOOD</v>
      </c>
    </row>
    <row r="310" spans="1:22" x14ac:dyDescent="0.3">
      <c r="A310">
        <v>309</v>
      </c>
      <c r="B310" s="1">
        <v>40557</v>
      </c>
      <c r="C310">
        <v>1</v>
      </c>
      <c r="D310">
        <v>0</v>
      </c>
      <c r="E310">
        <v>1</v>
      </c>
      <c r="F310">
        <v>8</v>
      </c>
      <c r="G310" t="b">
        <f>IF(COUNTIF(AB$4:AB$20,Append1[[#This Row],[dteday]]) &gt; 0, TRUE, FALSE)</f>
        <v>0</v>
      </c>
      <c r="H310">
        <v>5</v>
      </c>
      <c r="I310">
        <v>1</v>
      </c>
      <c r="J310">
        <v>0.12</v>
      </c>
      <c r="K310">
        <f>Append1[[#This Row],[temp]]*100</f>
        <v>12</v>
      </c>
      <c r="L310">
        <v>0.16669999999999999</v>
      </c>
      <c r="M310">
        <v>0.68</v>
      </c>
      <c r="N310">
        <v>0</v>
      </c>
      <c r="O310">
        <v>2</v>
      </c>
      <c r="P310">
        <v>156</v>
      </c>
      <c r="Q310">
        <v>158</v>
      </c>
      <c r="R310" s="12" t="str">
        <f t="shared" si="20"/>
        <v>Clear/Few Clouds</v>
      </c>
      <c r="S310" s="14" t="str">
        <f t="shared" si="21"/>
        <v>Winter</v>
      </c>
      <c r="T310" s="15" t="str">
        <f t="shared" si="22"/>
        <v>Friday</v>
      </c>
      <c r="U310" t="str">
        <f t="shared" si="23"/>
        <v>January</v>
      </c>
      <c r="V310" s="16" t="str">
        <f t="shared" si="24"/>
        <v>GOOD</v>
      </c>
    </row>
    <row r="311" spans="1:22" x14ac:dyDescent="0.3">
      <c r="A311">
        <v>310</v>
      </c>
      <c r="B311" s="1">
        <v>40557</v>
      </c>
      <c r="C311">
        <v>1</v>
      </c>
      <c r="D311">
        <v>0</v>
      </c>
      <c r="E311">
        <v>1</v>
      </c>
      <c r="F311">
        <v>9</v>
      </c>
      <c r="G311" t="b">
        <f>IF(COUNTIF(AB$4:AB$20,Append1[[#This Row],[dteday]]) &gt; 0, TRUE, FALSE)</f>
        <v>0</v>
      </c>
      <c r="H311">
        <v>5</v>
      </c>
      <c r="I311">
        <v>1</v>
      </c>
      <c r="J311">
        <v>0.14000000000000001</v>
      </c>
      <c r="K311">
        <f>Append1[[#This Row],[temp]]*100</f>
        <v>14.000000000000002</v>
      </c>
      <c r="L311">
        <v>0.1515</v>
      </c>
      <c r="M311">
        <v>0.69</v>
      </c>
      <c r="N311">
        <v>0.1343</v>
      </c>
      <c r="O311">
        <v>0</v>
      </c>
      <c r="P311">
        <v>117</v>
      </c>
      <c r="Q311">
        <v>117</v>
      </c>
      <c r="R311" s="12" t="str">
        <f t="shared" si="20"/>
        <v>Clear/Few Clouds</v>
      </c>
      <c r="S311" s="14" t="str">
        <f t="shared" si="21"/>
        <v>Winter</v>
      </c>
      <c r="T311" s="15" t="str">
        <f t="shared" si="22"/>
        <v>Friday</v>
      </c>
      <c r="U311" t="str">
        <f t="shared" si="23"/>
        <v>January</v>
      </c>
      <c r="V311" s="16" t="str">
        <f t="shared" si="24"/>
        <v>GOOD</v>
      </c>
    </row>
    <row r="312" spans="1:22" x14ac:dyDescent="0.3">
      <c r="A312">
        <v>311</v>
      </c>
      <c r="B312" s="1">
        <v>40557</v>
      </c>
      <c r="C312">
        <v>1</v>
      </c>
      <c r="D312">
        <v>0</v>
      </c>
      <c r="E312">
        <v>1</v>
      </c>
      <c r="F312">
        <v>10</v>
      </c>
      <c r="G312" t="b">
        <f>IF(COUNTIF(AB$4:AB$20,Append1[[#This Row],[dteday]]) &gt; 0, TRUE, FALSE)</f>
        <v>0</v>
      </c>
      <c r="H312">
        <v>5</v>
      </c>
      <c r="I312">
        <v>1</v>
      </c>
      <c r="J312">
        <v>0.18</v>
      </c>
      <c r="K312">
        <f>Append1[[#This Row],[temp]]*100</f>
        <v>18</v>
      </c>
      <c r="L312">
        <v>0.18179999999999999</v>
      </c>
      <c r="M312">
        <v>0.55000000000000004</v>
      </c>
      <c r="N312">
        <v>0.19400000000000001</v>
      </c>
      <c r="O312">
        <v>4</v>
      </c>
      <c r="P312">
        <v>40</v>
      </c>
      <c r="Q312">
        <v>44</v>
      </c>
      <c r="R312" s="12" t="str">
        <f t="shared" si="20"/>
        <v>Clear/Few Clouds</v>
      </c>
      <c r="S312" s="14" t="str">
        <f t="shared" si="21"/>
        <v>Winter</v>
      </c>
      <c r="T312" s="15" t="str">
        <f t="shared" si="22"/>
        <v>Friday</v>
      </c>
      <c r="U312" t="str">
        <f t="shared" si="23"/>
        <v>January</v>
      </c>
      <c r="V312" s="16" t="str">
        <f t="shared" si="24"/>
        <v>GOOD</v>
      </c>
    </row>
    <row r="313" spans="1:22" x14ac:dyDescent="0.3">
      <c r="A313">
        <v>312</v>
      </c>
      <c r="B313" s="1">
        <v>40557</v>
      </c>
      <c r="C313">
        <v>1</v>
      </c>
      <c r="D313">
        <v>0</v>
      </c>
      <c r="E313">
        <v>1</v>
      </c>
      <c r="F313">
        <v>11</v>
      </c>
      <c r="G313" t="b">
        <f>IF(COUNTIF(AB$4:AB$20,Append1[[#This Row],[dteday]]) &gt; 0, TRUE, FALSE)</f>
        <v>0</v>
      </c>
      <c r="H313">
        <v>5</v>
      </c>
      <c r="I313">
        <v>1</v>
      </c>
      <c r="J313">
        <v>0.18</v>
      </c>
      <c r="K313">
        <f>Append1[[#This Row],[temp]]*100</f>
        <v>18</v>
      </c>
      <c r="L313">
        <v>0.16669999999999999</v>
      </c>
      <c r="M313">
        <v>0.51</v>
      </c>
      <c r="N313">
        <v>0.28360000000000002</v>
      </c>
      <c r="O313">
        <v>6</v>
      </c>
      <c r="P313">
        <v>47</v>
      </c>
      <c r="Q313">
        <v>53</v>
      </c>
      <c r="R313" s="12" t="str">
        <f t="shared" si="20"/>
        <v>Clear/Few Clouds</v>
      </c>
      <c r="S313" s="14" t="str">
        <f t="shared" si="21"/>
        <v>Winter</v>
      </c>
      <c r="T313" s="15" t="str">
        <f t="shared" si="22"/>
        <v>Friday</v>
      </c>
      <c r="U313" t="str">
        <f t="shared" si="23"/>
        <v>January</v>
      </c>
      <c r="V313" s="16" t="str">
        <f t="shared" si="24"/>
        <v>GOOD</v>
      </c>
    </row>
    <row r="314" spans="1:22" x14ac:dyDescent="0.3">
      <c r="A314">
        <v>313</v>
      </c>
      <c r="B314" s="1">
        <v>40557</v>
      </c>
      <c r="C314">
        <v>1</v>
      </c>
      <c r="D314">
        <v>0</v>
      </c>
      <c r="E314">
        <v>1</v>
      </c>
      <c r="F314">
        <v>12</v>
      </c>
      <c r="G314" t="b">
        <f>IF(COUNTIF(AB$4:AB$20,Append1[[#This Row],[dteday]]) &gt; 0, TRUE, FALSE)</f>
        <v>0</v>
      </c>
      <c r="H314">
        <v>5</v>
      </c>
      <c r="I314">
        <v>1</v>
      </c>
      <c r="J314">
        <v>0.2</v>
      </c>
      <c r="K314">
        <f>Append1[[#This Row],[temp]]*100</f>
        <v>20</v>
      </c>
      <c r="L314">
        <v>0.19700000000000001</v>
      </c>
      <c r="M314">
        <v>0.44</v>
      </c>
      <c r="N314">
        <v>0.25369999999999998</v>
      </c>
      <c r="O314">
        <v>2</v>
      </c>
      <c r="P314">
        <v>59</v>
      </c>
      <c r="Q314">
        <v>61</v>
      </c>
      <c r="R314" s="12" t="str">
        <f t="shared" si="20"/>
        <v>Clear/Few Clouds</v>
      </c>
      <c r="S314" s="14" t="str">
        <f t="shared" si="21"/>
        <v>Winter</v>
      </c>
      <c r="T314" s="15" t="str">
        <f t="shared" si="22"/>
        <v>Friday</v>
      </c>
      <c r="U314" t="str">
        <f t="shared" si="23"/>
        <v>January</v>
      </c>
      <c r="V314" s="16" t="str">
        <f t="shared" si="24"/>
        <v>GOOD</v>
      </c>
    </row>
    <row r="315" spans="1:22" x14ac:dyDescent="0.3">
      <c r="A315">
        <v>314</v>
      </c>
      <c r="B315" s="1">
        <v>40557</v>
      </c>
      <c r="C315">
        <v>1</v>
      </c>
      <c r="D315">
        <v>0</v>
      </c>
      <c r="E315">
        <v>1</v>
      </c>
      <c r="F315">
        <v>13</v>
      </c>
      <c r="G315" t="b">
        <f>IF(COUNTIF(AB$4:AB$20,Append1[[#This Row],[dteday]]) &gt; 0, TRUE, FALSE)</f>
        <v>0</v>
      </c>
      <c r="H315">
        <v>5</v>
      </c>
      <c r="I315">
        <v>1</v>
      </c>
      <c r="J315">
        <v>0.22</v>
      </c>
      <c r="K315">
        <f>Append1[[#This Row],[temp]]*100</f>
        <v>22</v>
      </c>
      <c r="L315">
        <v>0.19700000000000001</v>
      </c>
      <c r="M315">
        <v>0.37</v>
      </c>
      <c r="N315">
        <v>0.3881</v>
      </c>
      <c r="O315">
        <v>4</v>
      </c>
      <c r="P315">
        <v>73</v>
      </c>
      <c r="Q315">
        <v>77</v>
      </c>
      <c r="R315" s="12" t="str">
        <f t="shared" si="20"/>
        <v>Clear/Few Clouds</v>
      </c>
      <c r="S315" s="14" t="str">
        <f t="shared" si="21"/>
        <v>Winter</v>
      </c>
      <c r="T315" s="15" t="str">
        <f t="shared" si="22"/>
        <v>Friday</v>
      </c>
      <c r="U315" t="str">
        <f t="shared" si="23"/>
        <v>January</v>
      </c>
      <c r="V315" s="16" t="str">
        <f t="shared" si="24"/>
        <v>GOOD</v>
      </c>
    </row>
    <row r="316" spans="1:22" x14ac:dyDescent="0.3">
      <c r="A316">
        <v>315</v>
      </c>
      <c r="B316" s="1">
        <v>40557</v>
      </c>
      <c r="C316">
        <v>1</v>
      </c>
      <c r="D316">
        <v>0</v>
      </c>
      <c r="E316">
        <v>1</v>
      </c>
      <c r="F316">
        <v>14</v>
      </c>
      <c r="G316" t="b">
        <f>IF(COUNTIF(AB$4:AB$20,Append1[[#This Row],[dteday]]) &gt; 0, TRUE, FALSE)</f>
        <v>0</v>
      </c>
      <c r="H316">
        <v>5</v>
      </c>
      <c r="I316">
        <v>1</v>
      </c>
      <c r="J316">
        <v>0.22</v>
      </c>
      <c r="K316">
        <f>Append1[[#This Row],[temp]]*100</f>
        <v>22</v>
      </c>
      <c r="L316">
        <v>0.21210000000000001</v>
      </c>
      <c r="M316">
        <v>0.41</v>
      </c>
      <c r="N316">
        <v>0.28360000000000002</v>
      </c>
      <c r="O316">
        <v>5</v>
      </c>
      <c r="P316">
        <v>59</v>
      </c>
      <c r="Q316">
        <v>64</v>
      </c>
      <c r="R316" s="12" t="str">
        <f t="shared" si="20"/>
        <v>Clear/Few Clouds</v>
      </c>
      <c r="S316" s="14" t="str">
        <f t="shared" si="21"/>
        <v>Winter</v>
      </c>
      <c r="T316" s="15" t="str">
        <f t="shared" si="22"/>
        <v>Friday</v>
      </c>
      <c r="U316" t="str">
        <f t="shared" si="23"/>
        <v>January</v>
      </c>
      <c r="V316" s="16" t="str">
        <f t="shared" si="24"/>
        <v>GOOD</v>
      </c>
    </row>
    <row r="317" spans="1:22" x14ac:dyDescent="0.3">
      <c r="A317">
        <v>316</v>
      </c>
      <c r="B317" s="1">
        <v>40557</v>
      </c>
      <c r="C317">
        <v>1</v>
      </c>
      <c r="D317">
        <v>0</v>
      </c>
      <c r="E317">
        <v>1</v>
      </c>
      <c r="F317">
        <v>15</v>
      </c>
      <c r="G317" t="b">
        <f>IF(COUNTIF(AB$4:AB$20,Append1[[#This Row],[dteday]]) &gt; 0, TRUE, FALSE)</f>
        <v>0</v>
      </c>
      <c r="H317">
        <v>5</v>
      </c>
      <c r="I317">
        <v>1</v>
      </c>
      <c r="J317">
        <v>0.24</v>
      </c>
      <c r="K317">
        <f>Append1[[#This Row],[temp]]*100</f>
        <v>24</v>
      </c>
      <c r="L317">
        <v>0.2424</v>
      </c>
      <c r="M317">
        <v>0.38</v>
      </c>
      <c r="N317">
        <v>0.16420000000000001</v>
      </c>
      <c r="O317">
        <v>9</v>
      </c>
      <c r="P317">
        <v>59</v>
      </c>
      <c r="Q317">
        <v>68</v>
      </c>
      <c r="R317" s="12" t="str">
        <f t="shared" si="20"/>
        <v>Clear/Few Clouds</v>
      </c>
      <c r="S317" s="14" t="str">
        <f t="shared" si="21"/>
        <v>Winter</v>
      </c>
      <c r="T317" s="15" t="str">
        <f t="shared" si="22"/>
        <v>Friday</v>
      </c>
      <c r="U317" t="str">
        <f t="shared" si="23"/>
        <v>January</v>
      </c>
      <c r="V317" s="16" t="str">
        <f t="shared" si="24"/>
        <v>GOOD</v>
      </c>
    </row>
    <row r="318" spans="1:22" x14ac:dyDescent="0.3">
      <c r="A318">
        <v>317</v>
      </c>
      <c r="B318" s="1">
        <v>40557</v>
      </c>
      <c r="C318">
        <v>1</v>
      </c>
      <c r="D318">
        <v>0</v>
      </c>
      <c r="E318">
        <v>1</v>
      </c>
      <c r="F318">
        <v>16</v>
      </c>
      <c r="G318" t="b">
        <f>IF(COUNTIF(AB$4:AB$20,Append1[[#This Row],[dteday]]) &gt; 0, TRUE, FALSE)</f>
        <v>0</v>
      </c>
      <c r="H318">
        <v>5</v>
      </c>
      <c r="I318">
        <v>1</v>
      </c>
      <c r="J318">
        <v>0.22</v>
      </c>
      <c r="K318">
        <f>Append1[[#This Row],[temp]]*100</f>
        <v>22</v>
      </c>
      <c r="L318">
        <v>0.2424</v>
      </c>
      <c r="M318">
        <v>0.41</v>
      </c>
      <c r="N318">
        <v>0.1045</v>
      </c>
      <c r="O318">
        <v>3</v>
      </c>
      <c r="P318">
        <v>87</v>
      </c>
      <c r="Q318">
        <v>90</v>
      </c>
      <c r="R318" s="12" t="str">
        <f t="shared" si="20"/>
        <v>Clear/Few Clouds</v>
      </c>
      <c r="S318" s="14" t="str">
        <f t="shared" si="21"/>
        <v>Winter</v>
      </c>
      <c r="T318" s="15" t="str">
        <f t="shared" si="22"/>
        <v>Friday</v>
      </c>
      <c r="U318" t="str">
        <f t="shared" si="23"/>
        <v>January</v>
      </c>
      <c r="V318" s="16" t="str">
        <f t="shared" si="24"/>
        <v>GOOD</v>
      </c>
    </row>
    <row r="319" spans="1:22" x14ac:dyDescent="0.3">
      <c r="A319">
        <v>318</v>
      </c>
      <c r="B319" s="1">
        <v>40557</v>
      </c>
      <c r="C319">
        <v>1</v>
      </c>
      <c r="D319">
        <v>0</v>
      </c>
      <c r="E319">
        <v>1</v>
      </c>
      <c r="F319">
        <v>17</v>
      </c>
      <c r="G319" t="b">
        <f>IF(COUNTIF(AB$4:AB$20,Append1[[#This Row],[dteday]]) &gt; 0, TRUE, FALSE)</f>
        <v>0</v>
      </c>
      <c r="H319">
        <v>5</v>
      </c>
      <c r="I319">
        <v>1</v>
      </c>
      <c r="J319">
        <v>0.22</v>
      </c>
      <c r="K319">
        <f>Append1[[#This Row],[temp]]*100</f>
        <v>22</v>
      </c>
      <c r="L319">
        <v>0.2273</v>
      </c>
      <c r="M319">
        <v>0.41</v>
      </c>
      <c r="N319">
        <v>0.16420000000000001</v>
      </c>
      <c r="O319">
        <v>4</v>
      </c>
      <c r="P319">
        <v>155</v>
      </c>
      <c r="Q319">
        <v>159</v>
      </c>
      <c r="R319" s="12" t="str">
        <f t="shared" si="20"/>
        <v>Clear/Few Clouds</v>
      </c>
      <c r="S319" s="14" t="str">
        <f t="shared" si="21"/>
        <v>Winter</v>
      </c>
      <c r="T319" s="15" t="str">
        <f t="shared" si="22"/>
        <v>Friday</v>
      </c>
      <c r="U319" t="str">
        <f t="shared" si="23"/>
        <v>January</v>
      </c>
      <c r="V319" s="16" t="str">
        <f t="shared" si="24"/>
        <v>GOOD</v>
      </c>
    </row>
    <row r="320" spans="1:22" x14ac:dyDescent="0.3">
      <c r="A320">
        <v>319</v>
      </c>
      <c r="B320" s="1">
        <v>40557</v>
      </c>
      <c r="C320">
        <v>1</v>
      </c>
      <c r="D320">
        <v>0</v>
      </c>
      <c r="E320">
        <v>1</v>
      </c>
      <c r="F320">
        <v>18</v>
      </c>
      <c r="G320" t="b">
        <f>IF(COUNTIF(AB$4:AB$20,Append1[[#This Row],[dteday]]) &gt; 0, TRUE, FALSE)</f>
        <v>0</v>
      </c>
      <c r="H320">
        <v>5</v>
      </c>
      <c r="I320">
        <v>1</v>
      </c>
      <c r="J320">
        <v>0.2</v>
      </c>
      <c r="K320">
        <f>Append1[[#This Row],[temp]]*100</f>
        <v>20</v>
      </c>
      <c r="L320">
        <v>0.2576</v>
      </c>
      <c r="M320">
        <v>0.47</v>
      </c>
      <c r="N320">
        <v>0</v>
      </c>
      <c r="O320">
        <v>5</v>
      </c>
      <c r="P320">
        <v>134</v>
      </c>
      <c r="Q320">
        <v>139</v>
      </c>
      <c r="R320" s="12" t="str">
        <f t="shared" si="20"/>
        <v>Clear/Few Clouds</v>
      </c>
      <c r="S320" s="14" t="str">
        <f t="shared" si="21"/>
        <v>Winter</v>
      </c>
      <c r="T320" s="15" t="str">
        <f t="shared" si="22"/>
        <v>Friday</v>
      </c>
      <c r="U320" t="str">
        <f t="shared" si="23"/>
        <v>January</v>
      </c>
      <c r="V320" s="16" t="str">
        <f t="shared" si="24"/>
        <v>GOOD</v>
      </c>
    </row>
    <row r="321" spans="1:22" x14ac:dyDescent="0.3">
      <c r="A321">
        <v>320</v>
      </c>
      <c r="B321" s="1">
        <v>40557</v>
      </c>
      <c r="C321">
        <v>1</v>
      </c>
      <c r="D321">
        <v>0</v>
      </c>
      <c r="E321">
        <v>1</v>
      </c>
      <c r="F321">
        <v>19</v>
      </c>
      <c r="G321" t="b">
        <f>IF(COUNTIF(AB$4:AB$20,Append1[[#This Row],[dteday]]) &gt; 0, TRUE, FALSE)</f>
        <v>0</v>
      </c>
      <c r="H321">
        <v>5</v>
      </c>
      <c r="I321">
        <v>1</v>
      </c>
      <c r="J321">
        <v>0.16</v>
      </c>
      <c r="K321">
        <f>Append1[[#This Row],[temp]]*100</f>
        <v>16</v>
      </c>
      <c r="L321">
        <v>0.19700000000000001</v>
      </c>
      <c r="M321">
        <v>0.59</v>
      </c>
      <c r="N321">
        <v>8.9599999999999999E-2</v>
      </c>
      <c r="O321">
        <v>3</v>
      </c>
      <c r="P321">
        <v>89</v>
      </c>
      <c r="Q321">
        <v>92</v>
      </c>
      <c r="R321" s="12" t="str">
        <f t="shared" si="20"/>
        <v>Clear/Few Clouds</v>
      </c>
      <c r="S321" s="14" t="str">
        <f t="shared" si="21"/>
        <v>Winter</v>
      </c>
      <c r="T321" s="15" t="str">
        <f t="shared" si="22"/>
        <v>Friday</v>
      </c>
      <c r="U321" t="str">
        <f t="shared" si="23"/>
        <v>January</v>
      </c>
      <c r="V321" s="16" t="str">
        <f t="shared" si="24"/>
        <v>GOOD</v>
      </c>
    </row>
    <row r="322" spans="1:22" x14ac:dyDescent="0.3">
      <c r="A322">
        <v>321</v>
      </c>
      <c r="B322" s="1">
        <v>40557</v>
      </c>
      <c r="C322">
        <v>1</v>
      </c>
      <c r="D322">
        <v>0</v>
      </c>
      <c r="E322">
        <v>1</v>
      </c>
      <c r="F322">
        <v>20</v>
      </c>
      <c r="G322" t="b">
        <f>IF(COUNTIF(AB$4:AB$20,Append1[[#This Row],[dteday]]) &gt; 0, TRUE, FALSE)</f>
        <v>0</v>
      </c>
      <c r="H322">
        <v>5</v>
      </c>
      <c r="I322">
        <v>1</v>
      </c>
      <c r="J322">
        <v>0.18</v>
      </c>
      <c r="K322">
        <f>Append1[[#This Row],[temp]]*100</f>
        <v>18</v>
      </c>
      <c r="L322">
        <v>0.2424</v>
      </c>
      <c r="M322">
        <v>0.59</v>
      </c>
      <c r="N322">
        <v>0</v>
      </c>
      <c r="O322">
        <v>0</v>
      </c>
      <c r="P322">
        <v>68</v>
      </c>
      <c r="Q322">
        <v>68</v>
      </c>
      <c r="R322" s="12" t="str">
        <f t="shared" ref="R322:R385" si="25">_xlfn.IFS(I322=1,"Clear/Few Clouds",I322=2,"Mist/Cloudy",I322=3,"Light Rain/Snow",I322=4,"Heavy Rain/Snow")</f>
        <v>Clear/Few Clouds</v>
      </c>
      <c r="S322" s="14" t="str">
        <f t="shared" ref="S322:S385" si="26">_xlfn.IFS(C322=1,"Winter",C322=2,"Spring",C322=3,"Summer",C322=4,"Autumn")</f>
        <v>Winter</v>
      </c>
      <c r="T322" s="15" t="str">
        <f t="shared" ref="T322:T385" si="27">TEXT(B322,"dddd")</f>
        <v>Friday</v>
      </c>
      <c r="U322" t="str">
        <f t="shared" ref="U322:U385" si="28">TEXT(B322,"mmmm")</f>
        <v>January</v>
      </c>
      <c r="V322" s="16" t="str">
        <f t="shared" ref="V322:V385" si="29">_xlfn.IFS(I322=1,"GOOD",I322=2,"MODERATE",I322=3,"BAD",I322=4,"WORSE")</f>
        <v>GOOD</v>
      </c>
    </row>
    <row r="323" spans="1:22" x14ac:dyDescent="0.3">
      <c r="A323">
        <v>322</v>
      </c>
      <c r="B323" s="1">
        <v>40557</v>
      </c>
      <c r="C323">
        <v>1</v>
      </c>
      <c r="D323">
        <v>0</v>
      </c>
      <c r="E323">
        <v>1</v>
      </c>
      <c r="F323">
        <v>21</v>
      </c>
      <c r="G323" t="b">
        <f>IF(COUNTIF(AB$4:AB$20,Append1[[#This Row],[dteday]]) &gt; 0, TRUE, FALSE)</f>
        <v>0</v>
      </c>
      <c r="H323">
        <v>5</v>
      </c>
      <c r="I323">
        <v>1</v>
      </c>
      <c r="J323">
        <v>0.16</v>
      </c>
      <c r="K323">
        <f>Append1[[#This Row],[temp]]*100</f>
        <v>16</v>
      </c>
      <c r="L323">
        <v>0.2273</v>
      </c>
      <c r="M323">
        <v>0.69</v>
      </c>
      <c r="N323">
        <v>0</v>
      </c>
      <c r="O323">
        <v>4</v>
      </c>
      <c r="P323">
        <v>48</v>
      </c>
      <c r="Q323">
        <v>52</v>
      </c>
      <c r="R323" s="12" t="str">
        <f t="shared" si="25"/>
        <v>Clear/Few Clouds</v>
      </c>
      <c r="S323" s="14" t="str">
        <f t="shared" si="26"/>
        <v>Winter</v>
      </c>
      <c r="T323" s="15" t="str">
        <f t="shared" si="27"/>
        <v>Friday</v>
      </c>
      <c r="U323" t="str">
        <f t="shared" si="28"/>
        <v>January</v>
      </c>
      <c r="V323" s="16" t="str">
        <f t="shared" si="29"/>
        <v>GOOD</v>
      </c>
    </row>
    <row r="324" spans="1:22" x14ac:dyDescent="0.3">
      <c r="A324">
        <v>323</v>
      </c>
      <c r="B324" s="1">
        <v>40557</v>
      </c>
      <c r="C324">
        <v>1</v>
      </c>
      <c r="D324">
        <v>0</v>
      </c>
      <c r="E324">
        <v>1</v>
      </c>
      <c r="F324">
        <v>22</v>
      </c>
      <c r="G324" t="b">
        <f>IF(COUNTIF(AB$4:AB$20,Append1[[#This Row],[dteday]]) &gt; 0, TRUE, FALSE)</f>
        <v>0</v>
      </c>
      <c r="H324">
        <v>5</v>
      </c>
      <c r="I324">
        <v>2</v>
      </c>
      <c r="J324">
        <v>0.16</v>
      </c>
      <c r="K324">
        <f>Append1[[#This Row],[temp]]*100</f>
        <v>16</v>
      </c>
      <c r="L324">
        <v>0.2273</v>
      </c>
      <c r="M324">
        <v>0.69</v>
      </c>
      <c r="N324">
        <v>0</v>
      </c>
      <c r="O324">
        <v>2</v>
      </c>
      <c r="P324">
        <v>34</v>
      </c>
      <c r="Q324">
        <v>36</v>
      </c>
      <c r="R324" s="12" t="str">
        <f t="shared" si="25"/>
        <v>Mist/Cloudy</v>
      </c>
      <c r="S324" s="14" t="str">
        <f t="shared" si="26"/>
        <v>Winter</v>
      </c>
      <c r="T324" s="15" t="str">
        <f t="shared" si="27"/>
        <v>Friday</v>
      </c>
      <c r="U324" t="str">
        <f t="shared" si="28"/>
        <v>January</v>
      </c>
      <c r="V324" s="16" t="str">
        <f t="shared" si="29"/>
        <v>MODERATE</v>
      </c>
    </row>
    <row r="325" spans="1:22" x14ac:dyDescent="0.3">
      <c r="A325">
        <v>324</v>
      </c>
      <c r="B325" s="1">
        <v>40557</v>
      </c>
      <c r="C325">
        <v>1</v>
      </c>
      <c r="D325">
        <v>0</v>
      </c>
      <c r="E325">
        <v>1</v>
      </c>
      <c r="F325">
        <v>23</v>
      </c>
      <c r="G325" t="b">
        <f>IF(COUNTIF(AB$4:AB$20,Append1[[#This Row],[dteday]]) &gt; 0, TRUE, FALSE)</f>
        <v>0</v>
      </c>
      <c r="H325">
        <v>5</v>
      </c>
      <c r="I325">
        <v>2</v>
      </c>
      <c r="J325">
        <v>0.18</v>
      </c>
      <c r="K325">
        <f>Append1[[#This Row],[temp]]*100</f>
        <v>18</v>
      </c>
      <c r="L325">
        <v>0.2424</v>
      </c>
      <c r="M325">
        <v>0.55000000000000004</v>
      </c>
      <c r="N325">
        <v>0</v>
      </c>
      <c r="O325">
        <v>1</v>
      </c>
      <c r="P325">
        <v>26</v>
      </c>
      <c r="Q325">
        <v>27</v>
      </c>
      <c r="R325" s="12" t="str">
        <f t="shared" si="25"/>
        <v>Mist/Cloudy</v>
      </c>
      <c r="S325" s="14" t="str">
        <f t="shared" si="26"/>
        <v>Winter</v>
      </c>
      <c r="T325" s="15" t="str">
        <f t="shared" si="27"/>
        <v>Friday</v>
      </c>
      <c r="U325" t="str">
        <f t="shared" si="28"/>
        <v>January</v>
      </c>
      <c r="V325" s="16" t="str">
        <f t="shared" si="29"/>
        <v>MODERATE</v>
      </c>
    </row>
    <row r="326" spans="1:22" x14ac:dyDescent="0.3">
      <c r="A326">
        <v>325</v>
      </c>
      <c r="B326" s="1">
        <v>40558</v>
      </c>
      <c r="C326">
        <v>1</v>
      </c>
      <c r="D326">
        <v>0</v>
      </c>
      <c r="E326">
        <v>1</v>
      </c>
      <c r="F326">
        <v>0</v>
      </c>
      <c r="G326" t="b">
        <f>IF(COUNTIF(AB$4:AB$20,Append1[[#This Row],[dteday]]) &gt; 0, TRUE, FALSE)</f>
        <v>0</v>
      </c>
      <c r="H326">
        <v>6</v>
      </c>
      <c r="I326">
        <v>1</v>
      </c>
      <c r="J326">
        <v>0.18</v>
      </c>
      <c r="K326">
        <f>Append1[[#This Row],[temp]]*100</f>
        <v>18</v>
      </c>
      <c r="L326">
        <v>0.2424</v>
      </c>
      <c r="M326">
        <v>0.55000000000000004</v>
      </c>
      <c r="N326">
        <v>0</v>
      </c>
      <c r="O326">
        <v>3</v>
      </c>
      <c r="P326">
        <v>25</v>
      </c>
      <c r="Q326">
        <v>28</v>
      </c>
      <c r="R326" s="12" t="str">
        <f t="shared" si="25"/>
        <v>Clear/Few Clouds</v>
      </c>
      <c r="S326" s="14" t="str">
        <f t="shared" si="26"/>
        <v>Winter</v>
      </c>
      <c r="T326" s="15" t="str">
        <f t="shared" si="27"/>
        <v>Saturday</v>
      </c>
      <c r="U326" t="str">
        <f t="shared" si="28"/>
        <v>January</v>
      </c>
      <c r="V326" s="16" t="str">
        <f t="shared" si="29"/>
        <v>GOOD</v>
      </c>
    </row>
    <row r="327" spans="1:22" x14ac:dyDescent="0.3">
      <c r="A327">
        <v>326</v>
      </c>
      <c r="B327" s="1">
        <v>40558</v>
      </c>
      <c r="C327">
        <v>1</v>
      </c>
      <c r="D327">
        <v>0</v>
      </c>
      <c r="E327">
        <v>1</v>
      </c>
      <c r="F327">
        <v>1</v>
      </c>
      <c r="G327" t="b">
        <f>IF(COUNTIF(AB$4:AB$20,Append1[[#This Row],[dteday]]) &gt; 0, TRUE, FALSE)</f>
        <v>0</v>
      </c>
      <c r="H327">
        <v>6</v>
      </c>
      <c r="I327">
        <v>2</v>
      </c>
      <c r="J327">
        <v>0.16</v>
      </c>
      <c r="K327">
        <f>Append1[[#This Row],[temp]]*100</f>
        <v>16</v>
      </c>
      <c r="L327">
        <v>0.19700000000000001</v>
      </c>
      <c r="M327">
        <v>0.59</v>
      </c>
      <c r="N327">
        <v>8.9599999999999999E-2</v>
      </c>
      <c r="O327">
        <v>2</v>
      </c>
      <c r="P327">
        <v>18</v>
      </c>
      <c r="Q327">
        <v>20</v>
      </c>
      <c r="R327" s="12" t="str">
        <f t="shared" si="25"/>
        <v>Mist/Cloudy</v>
      </c>
      <c r="S327" s="14" t="str">
        <f t="shared" si="26"/>
        <v>Winter</v>
      </c>
      <c r="T327" s="15" t="str">
        <f t="shared" si="27"/>
        <v>Saturday</v>
      </c>
      <c r="U327" t="str">
        <f t="shared" si="28"/>
        <v>January</v>
      </c>
      <c r="V327" s="16" t="str">
        <f t="shared" si="29"/>
        <v>MODERATE</v>
      </c>
    </row>
    <row r="328" spans="1:22" x14ac:dyDescent="0.3">
      <c r="A328">
        <v>327</v>
      </c>
      <c r="B328" s="1">
        <v>40558</v>
      </c>
      <c r="C328">
        <v>1</v>
      </c>
      <c r="D328">
        <v>0</v>
      </c>
      <c r="E328">
        <v>1</v>
      </c>
      <c r="F328">
        <v>2</v>
      </c>
      <c r="G328" t="b">
        <f>IF(COUNTIF(AB$4:AB$20,Append1[[#This Row],[dteday]]) &gt; 0, TRUE, FALSE)</f>
        <v>0</v>
      </c>
      <c r="H328">
        <v>6</v>
      </c>
      <c r="I328">
        <v>2</v>
      </c>
      <c r="J328">
        <v>0.16</v>
      </c>
      <c r="K328">
        <f>Append1[[#This Row],[temp]]*100</f>
        <v>16</v>
      </c>
      <c r="L328">
        <v>0.19700000000000001</v>
      </c>
      <c r="M328">
        <v>0.59</v>
      </c>
      <c r="N328">
        <v>8.9599999999999999E-2</v>
      </c>
      <c r="O328">
        <v>0</v>
      </c>
      <c r="P328">
        <v>12</v>
      </c>
      <c r="Q328">
        <v>12</v>
      </c>
      <c r="R328" s="12" t="str">
        <f t="shared" si="25"/>
        <v>Mist/Cloudy</v>
      </c>
      <c r="S328" s="14" t="str">
        <f t="shared" si="26"/>
        <v>Winter</v>
      </c>
      <c r="T328" s="15" t="str">
        <f t="shared" si="27"/>
        <v>Saturday</v>
      </c>
      <c r="U328" t="str">
        <f t="shared" si="28"/>
        <v>January</v>
      </c>
      <c r="V328" s="16" t="str">
        <f t="shared" si="29"/>
        <v>MODERATE</v>
      </c>
    </row>
    <row r="329" spans="1:22" x14ac:dyDescent="0.3">
      <c r="A329">
        <v>328</v>
      </c>
      <c r="B329" s="1">
        <v>40558</v>
      </c>
      <c r="C329">
        <v>1</v>
      </c>
      <c r="D329">
        <v>0</v>
      </c>
      <c r="E329">
        <v>1</v>
      </c>
      <c r="F329">
        <v>3</v>
      </c>
      <c r="G329" t="b">
        <f>IF(COUNTIF(AB$4:AB$20,Append1[[#This Row],[dteday]]) &gt; 0, TRUE, FALSE)</f>
        <v>0</v>
      </c>
      <c r="H329">
        <v>6</v>
      </c>
      <c r="I329">
        <v>2</v>
      </c>
      <c r="J329">
        <v>0.16</v>
      </c>
      <c r="K329">
        <f>Append1[[#This Row],[temp]]*100</f>
        <v>16</v>
      </c>
      <c r="L329">
        <v>0.2273</v>
      </c>
      <c r="M329">
        <v>0.59</v>
      </c>
      <c r="N329">
        <v>0</v>
      </c>
      <c r="O329">
        <v>1</v>
      </c>
      <c r="P329">
        <v>7</v>
      </c>
      <c r="Q329">
        <v>8</v>
      </c>
      <c r="R329" s="12" t="str">
        <f t="shared" si="25"/>
        <v>Mist/Cloudy</v>
      </c>
      <c r="S329" s="14" t="str">
        <f t="shared" si="26"/>
        <v>Winter</v>
      </c>
      <c r="T329" s="15" t="str">
        <f t="shared" si="27"/>
        <v>Saturday</v>
      </c>
      <c r="U329" t="str">
        <f t="shared" si="28"/>
        <v>January</v>
      </c>
      <c r="V329" s="16" t="str">
        <f t="shared" si="29"/>
        <v>MODERATE</v>
      </c>
    </row>
    <row r="330" spans="1:22" x14ac:dyDescent="0.3">
      <c r="A330">
        <v>329</v>
      </c>
      <c r="B330" s="1">
        <v>40558</v>
      </c>
      <c r="C330">
        <v>1</v>
      </c>
      <c r="D330">
        <v>0</v>
      </c>
      <c r="E330">
        <v>1</v>
      </c>
      <c r="F330">
        <v>4</v>
      </c>
      <c r="G330" t="b">
        <f>IF(COUNTIF(AB$4:AB$20,Append1[[#This Row],[dteday]]) &gt; 0, TRUE, FALSE)</f>
        <v>0</v>
      </c>
      <c r="H330">
        <v>6</v>
      </c>
      <c r="I330">
        <v>2</v>
      </c>
      <c r="J330">
        <v>0.16</v>
      </c>
      <c r="K330">
        <f>Append1[[#This Row],[temp]]*100</f>
        <v>16</v>
      </c>
      <c r="L330">
        <v>0.2273</v>
      </c>
      <c r="M330">
        <v>0.59</v>
      </c>
      <c r="N330">
        <v>0</v>
      </c>
      <c r="O330">
        <v>0</v>
      </c>
      <c r="P330">
        <v>5</v>
      </c>
      <c r="Q330">
        <v>5</v>
      </c>
      <c r="R330" s="12" t="str">
        <f t="shared" si="25"/>
        <v>Mist/Cloudy</v>
      </c>
      <c r="S330" s="14" t="str">
        <f t="shared" si="26"/>
        <v>Winter</v>
      </c>
      <c r="T330" s="15" t="str">
        <f t="shared" si="27"/>
        <v>Saturday</v>
      </c>
      <c r="U330" t="str">
        <f t="shared" si="28"/>
        <v>January</v>
      </c>
      <c r="V330" s="16" t="str">
        <f t="shared" si="29"/>
        <v>MODERATE</v>
      </c>
    </row>
    <row r="331" spans="1:22" x14ac:dyDescent="0.3">
      <c r="A331">
        <v>330</v>
      </c>
      <c r="B331" s="1">
        <v>40558</v>
      </c>
      <c r="C331">
        <v>1</v>
      </c>
      <c r="D331">
        <v>0</v>
      </c>
      <c r="E331">
        <v>1</v>
      </c>
      <c r="F331">
        <v>5</v>
      </c>
      <c r="G331" t="b">
        <f>IF(COUNTIF(AB$4:AB$20,Append1[[#This Row],[dteday]]) &gt; 0, TRUE, FALSE)</f>
        <v>0</v>
      </c>
      <c r="H331">
        <v>6</v>
      </c>
      <c r="I331">
        <v>1</v>
      </c>
      <c r="J331">
        <v>0.16</v>
      </c>
      <c r="K331">
        <f>Append1[[#This Row],[temp]]*100</f>
        <v>16</v>
      </c>
      <c r="L331">
        <v>0.2273</v>
      </c>
      <c r="M331">
        <v>0.59</v>
      </c>
      <c r="N331">
        <v>0</v>
      </c>
      <c r="O331">
        <v>0</v>
      </c>
      <c r="P331">
        <v>1</v>
      </c>
      <c r="Q331">
        <v>1</v>
      </c>
      <c r="R331" s="12" t="str">
        <f t="shared" si="25"/>
        <v>Clear/Few Clouds</v>
      </c>
      <c r="S331" s="14" t="str">
        <f t="shared" si="26"/>
        <v>Winter</v>
      </c>
      <c r="T331" s="15" t="str">
        <f t="shared" si="27"/>
        <v>Saturday</v>
      </c>
      <c r="U331" t="str">
        <f t="shared" si="28"/>
        <v>January</v>
      </c>
      <c r="V331" s="16" t="str">
        <f t="shared" si="29"/>
        <v>GOOD</v>
      </c>
    </row>
    <row r="332" spans="1:22" x14ac:dyDescent="0.3">
      <c r="A332">
        <v>331</v>
      </c>
      <c r="B332" s="1">
        <v>40558</v>
      </c>
      <c r="C332">
        <v>1</v>
      </c>
      <c r="D332">
        <v>0</v>
      </c>
      <c r="E332">
        <v>1</v>
      </c>
      <c r="F332">
        <v>6</v>
      </c>
      <c r="G332" t="b">
        <f>IF(COUNTIF(AB$4:AB$20,Append1[[#This Row],[dteday]]) &gt; 0, TRUE, FALSE)</f>
        <v>0</v>
      </c>
      <c r="H332">
        <v>6</v>
      </c>
      <c r="I332">
        <v>1</v>
      </c>
      <c r="J332">
        <v>0.14000000000000001</v>
      </c>
      <c r="K332">
        <f>Append1[[#This Row],[temp]]*100</f>
        <v>14.000000000000002</v>
      </c>
      <c r="L332">
        <v>0.16669999999999999</v>
      </c>
      <c r="M332">
        <v>0.63</v>
      </c>
      <c r="N332">
        <v>0.1045</v>
      </c>
      <c r="O332">
        <v>1</v>
      </c>
      <c r="P332">
        <v>2</v>
      </c>
      <c r="Q332">
        <v>3</v>
      </c>
      <c r="R332" s="12" t="str">
        <f t="shared" si="25"/>
        <v>Clear/Few Clouds</v>
      </c>
      <c r="S332" s="14" t="str">
        <f t="shared" si="26"/>
        <v>Winter</v>
      </c>
      <c r="T332" s="15" t="str">
        <f t="shared" si="27"/>
        <v>Saturday</v>
      </c>
      <c r="U332" t="str">
        <f t="shared" si="28"/>
        <v>January</v>
      </c>
      <c r="V332" s="16" t="str">
        <f t="shared" si="29"/>
        <v>GOOD</v>
      </c>
    </row>
    <row r="333" spans="1:22" x14ac:dyDescent="0.3">
      <c r="A333">
        <v>332</v>
      </c>
      <c r="B333" s="1">
        <v>40558</v>
      </c>
      <c r="C333">
        <v>1</v>
      </c>
      <c r="D333">
        <v>0</v>
      </c>
      <c r="E333">
        <v>1</v>
      </c>
      <c r="F333">
        <v>7</v>
      </c>
      <c r="G333" t="b">
        <f>IF(COUNTIF(AB$4:AB$20,Append1[[#This Row],[dteday]]) &gt; 0, TRUE, FALSE)</f>
        <v>0</v>
      </c>
      <c r="H333">
        <v>6</v>
      </c>
      <c r="I333">
        <v>1</v>
      </c>
      <c r="J333">
        <v>0.14000000000000001</v>
      </c>
      <c r="K333">
        <f>Append1[[#This Row],[temp]]*100</f>
        <v>14.000000000000002</v>
      </c>
      <c r="L333">
        <v>0.21210000000000001</v>
      </c>
      <c r="M333">
        <v>0.63</v>
      </c>
      <c r="N333">
        <v>0</v>
      </c>
      <c r="O333">
        <v>1</v>
      </c>
      <c r="P333">
        <v>9</v>
      </c>
      <c r="Q333">
        <v>10</v>
      </c>
      <c r="R333" s="12" t="str">
        <f t="shared" si="25"/>
        <v>Clear/Few Clouds</v>
      </c>
      <c r="S333" s="14" t="str">
        <f t="shared" si="26"/>
        <v>Winter</v>
      </c>
      <c r="T333" s="15" t="str">
        <f t="shared" si="27"/>
        <v>Saturday</v>
      </c>
      <c r="U333" t="str">
        <f t="shared" si="28"/>
        <v>January</v>
      </c>
      <c r="V333" s="16" t="str">
        <f t="shared" si="29"/>
        <v>GOOD</v>
      </c>
    </row>
    <row r="334" spans="1:22" x14ac:dyDescent="0.3">
      <c r="A334">
        <v>333</v>
      </c>
      <c r="B334" s="1">
        <v>40558</v>
      </c>
      <c r="C334">
        <v>1</v>
      </c>
      <c r="D334">
        <v>0</v>
      </c>
      <c r="E334">
        <v>1</v>
      </c>
      <c r="F334">
        <v>8</v>
      </c>
      <c r="G334" t="b">
        <f>IF(COUNTIF(AB$4:AB$20,Append1[[#This Row],[dteday]]) &gt; 0, TRUE, FALSE)</f>
        <v>0</v>
      </c>
      <c r="H334">
        <v>6</v>
      </c>
      <c r="I334">
        <v>1</v>
      </c>
      <c r="J334">
        <v>0.14000000000000001</v>
      </c>
      <c r="K334">
        <f>Append1[[#This Row],[temp]]*100</f>
        <v>14.000000000000002</v>
      </c>
      <c r="L334">
        <v>0.1515</v>
      </c>
      <c r="M334">
        <v>0.63</v>
      </c>
      <c r="N334">
        <v>0.1343</v>
      </c>
      <c r="O334">
        <v>1</v>
      </c>
      <c r="P334">
        <v>22</v>
      </c>
      <c r="Q334">
        <v>23</v>
      </c>
      <c r="R334" s="12" t="str">
        <f t="shared" si="25"/>
        <v>Clear/Few Clouds</v>
      </c>
      <c r="S334" s="14" t="str">
        <f t="shared" si="26"/>
        <v>Winter</v>
      </c>
      <c r="T334" s="15" t="str">
        <f t="shared" si="27"/>
        <v>Saturday</v>
      </c>
      <c r="U334" t="str">
        <f t="shared" si="28"/>
        <v>January</v>
      </c>
      <c r="V334" s="16" t="str">
        <f t="shared" si="29"/>
        <v>GOOD</v>
      </c>
    </row>
    <row r="335" spans="1:22" x14ac:dyDescent="0.3">
      <c r="A335">
        <v>334</v>
      </c>
      <c r="B335" s="1">
        <v>40558</v>
      </c>
      <c r="C335">
        <v>1</v>
      </c>
      <c r="D335">
        <v>0</v>
      </c>
      <c r="E335">
        <v>1</v>
      </c>
      <c r="F335">
        <v>9</v>
      </c>
      <c r="G335" t="b">
        <f>IF(COUNTIF(AB$4:AB$20,Append1[[#This Row],[dteday]]) &gt; 0, TRUE, FALSE)</f>
        <v>0</v>
      </c>
      <c r="H335">
        <v>6</v>
      </c>
      <c r="I335">
        <v>1</v>
      </c>
      <c r="J335">
        <v>0.16</v>
      </c>
      <c r="K335">
        <f>Append1[[#This Row],[temp]]*100</f>
        <v>16</v>
      </c>
      <c r="L335">
        <v>0.18179999999999999</v>
      </c>
      <c r="M335">
        <v>0.64</v>
      </c>
      <c r="N335">
        <v>0.1343</v>
      </c>
      <c r="O335">
        <v>2</v>
      </c>
      <c r="P335">
        <v>31</v>
      </c>
      <c r="Q335">
        <v>33</v>
      </c>
      <c r="R335" s="12" t="str">
        <f t="shared" si="25"/>
        <v>Clear/Few Clouds</v>
      </c>
      <c r="S335" s="14" t="str">
        <f t="shared" si="26"/>
        <v>Winter</v>
      </c>
      <c r="T335" s="15" t="str">
        <f t="shared" si="27"/>
        <v>Saturday</v>
      </c>
      <c r="U335" t="str">
        <f t="shared" si="28"/>
        <v>January</v>
      </c>
      <c r="V335" s="16" t="str">
        <f t="shared" si="29"/>
        <v>GOOD</v>
      </c>
    </row>
    <row r="336" spans="1:22" x14ac:dyDescent="0.3">
      <c r="A336">
        <v>335</v>
      </c>
      <c r="B336" s="1">
        <v>40558</v>
      </c>
      <c r="C336">
        <v>1</v>
      </c>
      <c r="D336">
        <v>0</v>
      </c>
      <c r="E336">
        <v>1</v>
      </c>
      <c r="F336">
        <v>10</v>
      </c>
      <c r="G336" t="b">
        <f>IF(COUNTIF(AB$4:AB$20,Append1[[#This Row],[dteday]]) &gt; 0, TRUE, FALSE)</f>
        <v>0</v>
      </c>
      <c r="H336">
        <v>6</v>
      </c>
      <c r="I336">
        <v>1</v>
      </c>
      <c r="J336">
        <v>0.18</v>
      </c>
      <c r="K336">
        <f>Append1[[#This Row],[temp]]*100</f>
        <v>18</v>
      </c>
      <c r="L336">
        <v>0.19700000000000001</v>
      </c>
      <c r="M336">
        <v>0.59</v>
      </c>
      <c r="N336">
        <v>0.16420000000000001</v>
      </c>
      <c r="O336">
        <v>2</v>
      </c>
      <c r="P336">
        <v>57</v>
      </c>
      <c r="Q336">
        <v>59</v>
      </c>
      <c r="R336" s="12" t="str">
        <f t="shared" si="25"/>
        <v>Clear/Few Clouds</v>
      </c>
      <c r="S336" s="14" t="str">
        <f t="shared" si="26"/>
        <v>Winter</v>
      </c>
      <c r="T336" s="15" t="str">
        <f t="shared" si="27"/>
        <v>Saturday</v>
      </c>
      <c r="U336" t="str">
        <f t="shared" si="28"/>
        <v>January</v>
      </c>
      <c r="V336" s="16" t="str">
        <f t="shared" si="29"/>
        <v>GOOD</v>
      </c>
    </row>
    <row r="337" spans="1:22" x14ac:dyDescent="0.3">
      <c r="A337">
        <v>336</v>
      </c>
      <c r="B337" s="1">
        <v>40558</v>
      </c>
      <c r="C337">
        <v>1</v>
      </c>
      <c r="D337">
        <v>0</v>
      </c>
      <c r="E337">
        <v>1</v>
      </c>
      <c r="F337">
        <v>11</v>
      </c>
      <c r="G337" t="b">
        <f>IF(COUNTIF(AB$4:AB$20,Append1[[#This Row],[dteday]]) &gt; 0, TRUE, FALSE)</f>
        <v>0</v>
      </c>
      <c r="H337">
        <v>6</v>
      </c>
      <c r="I337">
        <v>1</v>
      </c>
      <c r="J337">
        <v>0.2</v>
      </c>
      <c r="K337">
        <f>Append1[[#This Row],[temp]]*100</f>
        <v>20</v>
      </c>
      <c r="L337">
        <v>0.19700000000000001</v>
      </c>
      <c r="M337">
        <v>0.55000000000000004</v>
      </c>
      <c r="N337">
        <v>0.22389999999999999</v>
      </c>
      <c r="O337">
        <v>18</v>
      </c>
      <c r="P337">
        <v>54</v>
      </c>
      <c r="Q337">
        <v>72</v>
      </c>
      <c r="R337" s="12" t="str">
        <f t="shared" si="25"/>
        <v>Clear/Few Clouds</v>
      </c>
      <c r="S337" s="14" t="str">
        <f t="shared" si="26"/>
        <v>Winter</v>
      </c>
      <c r="T337" s="15" t="str">
        <f t="shared" si="27"/>
        <v>Saturday</v>
      </c>
      <c r="U337" t="str">
        <f t="shared" si="28"/>
        <v>January</v>
      </c>
      <c r="V337" s="16" t="str">
        <f t="shared" si="29"/>
        <v>GOOD</v>
      </c>
    </row>
    <row r="338" spans="1:22" x14ac:dyDescent="0.3">
      <c r="A338">
        <v>337</v>
      </c>
      <c r="B338" s="1">
        <v>40558</v>
      </c>
      <c r="C338">
        <v>1</v>
      </c>
      <c r="D338">
        <v>0</v>
      </c>
      <c r="E338">
        <v>1</v>
      </c>
      <c r="F338">
        <v>12</v>
      </c>
      <c r="G338" t="b">
        <f>IF(COUNTIF(AB$4:AB$20,Append1[[#This Row],[dteday]]) &gt; 0, TRUE, FALSE)</f>
        <v>0</v>
      </c>
      <c r="H338">
        <v>6</v>
      </c>
      <c r="I338">
        <v>1</v>
      </c>
      <c r="J338">
        <v>0.24</v>
      </c>
      <c r="K338">
        <f>Append1[[#This Row],[temp]]*100</f>
        <v>24</v>
      </c>
      <c r="L338">
        <v>0.2273</v>
      </c>
      <c r="M338">
        <v>0.48</v>
      </c>
      <c r="N338">
        <v>0.22389999999999999</v>
      </c>
      <c r="O338">
        <v>15</v>
      </c>
      <c r="P338">
        <v>74</v>
      </c>
      <c r="Q338">
        <v>89</v>
      </c>
      <c r="R338" s="12" t="str">
        <f t="shared" si="25"/>
        <v>Clear/Few Clouds</v>
      </c>
      <c r="S338" s="14" t="str">
        <f t="shared" si="26"/>
        <v>Winter</v>
      </c>
      <c r="T338" s="15" t="str">
        <f t="shared" si="27"/>
        <v>Saturday</v>
      </c>
      <c r="U338" t="str">
        <f t="shared" si="28"/>
        <v>January</v>
      </c>
      <c r="V338" s="16" t="str">
        <f t="shared" si="29"/>
        <v>GOOD</v>
      </c>
    </row>
    <row r="339" spans="1:22" x14ac:dyDescent="0.3">
      <c r="A339">
        <v>338</v>
      </c>
      <c r="B339" s="1">
        <v>40558</v>
      </c>
      <c r="C339">
        <v>1</v>
      </c>
      <c r="D339">
        <v>0</v>
      </c>
      <c r="E339">
        <v>1</v>
      </c>
      <c r="F339">
        <v>13</v>
      </c>
      <c r="G339" t="b">
        <f>IF(COUNTIF(AB$4:AB$20,Append1[[#This Row],[dteday]]) &gt; 0, TRUE, FALSE)</f>
        <v>0</v>
      </c>
      <c r="H339">
        <v>6</v>
      </c>
      <c r="I339">
        <v>1</v>
      </c>
      <c r="J339">
        <v>0.28000000000000003</v>
      </c>
      <c r="K339">
        <f>Append1[[#This Row],[temp]]*100</f>
        <v>28.000000000000004</v>
      </c>
      <c r="L339">
        <v>0.2576</v>
      </c>
      <c r="M339">
        <v>0.38</v>
      </c>
      <c r="N339">
        <v>0.29849999999999999</v>
      </c>
      <c r="O339">
        <v>21</v>
      </c>
      <c r="P339">
        <v>80</v>
      </c>
      <c r="Q339">
        <v>101</v>
      </c>
      <c r="R339" s="12" t="str">
        <f t="shared" si="25"/>
        <v>Clear/Few Clouds</v>
      </c>
      <c r="S339" s="14" t="str">
        <f t="shared" si="26"/>
        <v>Winter</v>
      </c>
      <c r="T339" s="15" t="str">
        <f t="shared" si="27"/>
        <v>Saturday</v>
      </c>
      <c r="U339" t="str">
        <f t="shared" si="28"/>
        <v>January</v>
      </c>
      <c r="V339" s="16" t="str">
        <f t="shared" si="29"/>
        <v>GOOD</v>
      </c>
    </row>
    <row r="340" spans="1:22" x14ac:dyDescent="0.3">
      <c r="A340">
        <v>339</v>
      </c>
      <c r="B340" s="1">
        <v>40558</v>
      </c>
      <c r="C340">
        <v>1</v>
      </c>
      <c r="D340">
        <v>0</v>
      </c>
      <c r="E340">
        <v>1</v>
      </c>
      <c r="F340">
        <v>14</v>
      </c>
      <c r="G340" t="b">
        <f>IF(COUNTIF(AB$4:AB$20,Append1[[#This Row],[dteday]]) &gt; 0, TRUE, FALSE)</f>
        <v>0</v>
      </c>
      <c r="H340">
        <v>6</v>
      </c>
      <c r="I340">
        <v>1</v>
      </c>
      <c r="J340">
        <v>0.3</v>
      </c>
      <c r="K340">
        <f>Append1[[#This Row],[temp]]*100</f>
        <v>30</v>
      </c>
      <c r="L340">
        <v>0.28789999999999999</v>
      </c>
      <c r="M340">
        <v>0.39</v>
      </c>
      <c r="N340">
        <v>0.28360000000000002</v>
      </c>
      <c r="O340">
        <v>26</v>
      </c>
      <c r="P340">
        <v>92</v>
      </c>
      <c r="Q340">
        <v>118</v>
      </c>
      <c r="R340" s="12" t="str">
        <f t="shared" si="25"/>
        <v>Clear/Few Clouds</v>
      </c>
      <c r="S340" s="14" t="str">
        <f t="shared" si="26"/>
        <v>Winter</v>
      </c>
      <c r="T340" s="15" t="str">
        <f t="shared" si="27"/>
        <v>Saturday</v>
      </c>
      <c r="U340" t="str">
        <f t="shared" si="28"/>
        <v>January</v>
      </c>
      <c r="V340" s="16" t="str">
        <f t="shared" si="29"/>
        <v>GOOD</v>
      </c>
    </row>
    <row r="341" spans="1:22" x14ac:dyDescent="0.3">
      <c r="A341">
        <v>340</v>
      </c>
      <c r="B341" s="1">
        <v>40558</v>
      </c>
      <c r="C341">
        <v>1</v>
      </c>
      <c r="D341">
        <v>0</v>
      </c>
      <c r="E341">
        <v>1</v>
      </c>
      <c r="F341">
        <v>15</v>
      </c>
      <c r="G341" t="b">
        <f>IF(COUNTIF(AB$4:AB$20,Append1[[#This Row],[dteday]]) &gt; 0, TRUE, FALSE)</f>
        <v>0</v>
      </c>
      <c r="H341">
        <v>6</v>
      </c>
      <c r="I341">
        <v>2</v>
      </c>
      <c r="J341">
        <v>0.32</v>
      </c>
      <c r="K341">
        <f>Append1[[#This Row],[temp]]*100</f>
        <v>32</v>
      </c>
      <c r="L341">
        <v>0.31819999999999998</v>
      </c>
      <c r="M341">
        <v>0.36</v>
      </c>
      <c r="N341">
        <v>0.19400000000000001</v>
      </c>
      <c r="O341">
        <v>21</v>
      </c>
      <c r="P341">
        <v>108</v>
      </c>
      <c r="Q341">
        <v>129</v>
      </c>
      <c r="R341" s="12" t="str">
        <f t="shared" si="25"/>
        <v>Mist/Cloudy</v>
      </c>
      <c r="S341" s="14" t="str">
        <f t="shared" si="26"/>
        <v>Winter</v>
      </c>
      <c r="T341" s="15" t="str">
        <f t="shared" si="27"/>
        <v>Saturday</v>
      </c>
      <c r="U341" t="str">
        <f t="shared" si="28"/>
        <v>January</v>
      </c>
      <c r="V341" s="16" t="str">
        <f t="shared" si="29"/>
        <v>MODERATE</v>
      </c>
    </row>
    <row r="342" spans="1:22" x14ac:dyDescent="0.3">
      <c r="A342">
        <v>341</v>
      </c>
      <c r="B342" s="1">
        <v>40558</v>
      </c>
      <c r="C342">
        <v>1</v>
      </c>
      <c r="D342">
        <v>0</v>
      </c>
      <c r="E342">
        <v>1</v>
      </c>
      <c r="F342">
        <v>16</v>
      </c>
      <c r="G342" t="b">
        <f>IF(COUNTIF(AB$4:AB$20,Append1[[#This Row],[dteday]]) &gt; 0, TRUE, FALSE)</f>
        <v>0</v>
      </c>
      <c r="H342">
        <v>6</v>
      </c>
      <c r="I342">
        <v>2</v>
      </c>
      <c r="J342">
        <v>0.34</v>
      </c>
      <c r="K342">
        <f>Append1[[#This Row],[temp]]*100</f>
        <v>34</v>
      </c>
      <c r="L342">
        <v>0.33329999999999999</v>
      </c>
      <c r="M342">
        <v>0.34</v>
      </c>
      <c r="N342">
        <v>0.19400000000000001</v>
      </c>
      <c r="O342">
        <v>33</v>
      </c>
      <c r="P342">
        <v>95</v>
      </c>
      <c r="Q342">
        <v>128</v>
      </c>
      <c r="R342" s="12" t="str">
        <f t="shared" si="25"/>
        <v>Mist/Cloudy</v>
      </c>
      <c r="S342" s="14" t="str">
        <f t="shared" si="26"/>
        <v>Winter</v>
      </c>
      <c r="T342" s="15" t="str">
        <f t="shared" si="27"/>
        <v>Saturday</v>
      </c>
      <c r="U342" t="str">
        <f t="shared" si="28"/>
        <v>January</v>
      </c>
      <c r="V342" s="16" t="str">
        <f t="shared" si="29"/>
        <v>MODERATE</v>
      </c>
    </row>
    <row r="343" spans="1:22" x14ac:dyDescent="0.3">
      <c r="A343">
        <v>342</v>
      </c>
      <c r="B343" s="1">
        <v>40558</v>
      </c>
      <c r="C343">
        <v>1</v>
      </c>
      <c r="D343">
        <v>0</v>
      </c>
      <c r="E343">
        <v>1</v>
      </c>
      <c r="F343">
        <v>17</v>
      </c>
      <c r="G343" t="b">
        <f>IF(COUNTIF(AB$4:AB$20,Append1[[#This Row],[dteday]]) &gt; 0, TRUE, FALSE)</f>
        <v>0</v>
      </c>
      <c r="H343">
        <v>6</v>
      </c>
      <c r="I343">
        <v>2</v>
      </c>
      <c r="J343">
        <v>0.32</v>
      </c>
      <c r="K343">
        <f>Append1[[#This Row],[temp]]*100</f>
        <v>32</v>
      </c>
      <c r="L343">
        <v>0.30299999999999999</v>
      </c>
      <c r="M343">
        <v>0.36</v>
      </c>
      <c r="N343">
        <v>0.28360000000000002</v>
      </c>
      <c r="O343">
        <v>29</v>
      </c>
      <c r="P343">
        <v>54</v>
      </c>
      <c r="Q343">
        <v>83</v>
      </c>
      <c r="R343" s="12" t="str">
        <f t="shared" si="25"/>
        <v>Mist/Cloudy</v>
      </c>
      <c r="S343" s="14" t="str">
        <f t="shared" si="26"/>
        <v>Winter</v>
      </c>
      <c r="T343" s="15" t="str">
        <f t="shared" si="27"/>
        <v>Saturday</v>
      </c>
      <c r="U343" t="str">
        <f t="shared" si="28"/>
        <v>January</v>
      </c>
      <c r="V343" s="16" t="str">
        <f t="shared" si="29"/>
        <v>MODERATE</v>
      </c>
    </row>
    <row r="344" spans="1:22" x14ac:dyDescent="0.3">
      <c r="A344">
        <v>343</v>
      </c>
      <c r="B344" s="1">
        <v>40558</v>
      </c>
      <c r="C344">
        <v>1</v>
      </c>
      <c r="D344">
        <v>0</v>
      </c>
      <c r="E344">
        <v>1</v>
      </c>
      <c r="F344">
        <v>18</v>
      </c>
      <c r="G344" t="b">
        <f>IF(COUNTIF(AB$4:AB$20,Append1[[#This Row],[dteday]]) &gt; 0, TRUE, FALSE)</f>
        <v>0</v>
      </c>
      <c r="H344">
        <v>6</v>
      </c>
      <c r="I344">
        <v>2</v>
      </c>
      <c r="J344">
        <v>0.3</v>
      </c>
      <c r="K344">
        <f>Append1[[#This Row],[temp]]*100</f>
        <v>30</v>
      </c>
      <c r="L344">
        <v>0.28789999999999999</v>
      </c>
      <c r="M344">
        <v>0.45</v>
      </c>
      <c r="N344">
        <v>0.25369999999999998</v>
      </c>
      <c r="O344">
        <v>15</v>
      </c>
      <c r="P344">
        <v>69</v>
      </c>
      <c r="Q344">
        <v>84</v>
      </c>
      <c r="R344" s="12" t="str">
        <f t="shared" si="25"/>
        <v>Mist/Cloudy</v>
      </c>
      <c r="S344" s="14" t="str">
        <f t="shared" si="26"/>
        <v>Winter</v>
      </c>
      <c r="T344" s="15" t="str">
        <f t="shared" si="27"/>
        <v>Saturday</v>
      </c>
      <c r="U344" t="str">
        <f t="shared" si="28"/>
        <v>January</v>
      </c>
      <c r="V344" s="16" t="str">
        <f t="shared" si="29"/>
        <v>MODERATE</v>
      </c>
    </row>
    <row r="345" spans="1:22" x14ac:dyDescent="0.3">
      <c r="A345">
        <v>344</v>
      </c>
      <c r="B345" s="1">
        <v>40558</v>
      </c>
      <c r="C345">
        <v>1</v>
      </c>
      <c r="D345">
        <v>0</v>
      </c>
      <c r="E345">
        <v>1</v>
      </c>
      <c r="F345">
        <v>19</v>
      </c>
      <c r="G345" t="b">
        <f>IF(COUNTIF(AB$4:AB$20,Append1[[#This Row],[dteday]]) &gt; 0, TRUE, FALSE)</f>
        <v>0</v>
      </c>
      <c r="H345">
        <v>6</v>
      </c>
      <c r="I345">
        <v>2</v>
      </c>
      <c r="J345">
        <v>0.32</v>
      </c>
      <c r="K345">
        <f>Append1[[#This Row],[temp]]*100</f>
        <v>32</v>
      </c>
      <c r="L345">
        <v>0.30299999999999999</v>
      </c>
      <c r="M345">
        <v>0.39</v>
      </c>
      <c r="N345">
        <v>0.25369999999999998</v>
      </c>
      <c r="O345">
        <v>14</v>
      </c>
      <c r="P345">
        <v>60</v>
      </c>
      <c r="Q345">
        <v>74</v>
      </c>
      <c r="R345" s="12" t="str">
        <f t="shared" si="25"/>
        <v>Mist/Cloudy</v>
      </c>
      <c r="S345" s="14" t="str">
        <f t="shared" si="26"/>
        <v>Winter</v>
      </c>
      <c r="T345" s="15" t="str">
        <f t="shared" si="27"/>
        <v>Saturday</v>
      </c>
      <c r="U345" t="str">
        <f t="shared" si="28"/>
        <v>January</v>
      </c>
      <c r="V345" s="16" t="str">
        <f t="shared" si="29"/>
        <v>MODERATE</v>
      </c>
    </row>
    <row r="346" spans="1:22" x14ac:dyDescent="0.3">
      <c r="A346">
        <v>345</v>
      </c>
      <c r="B346" s="1">
        <v>40558</v>
      </c>
      <c r="C346">
        <v>1</v>
      </c>
      <c r="D346">
        <v>0</v>
      </c>
      <c r="E346">
        <v>1</v>
      </c>
      <c r="F346">
        <v>20</v>
      </c>
      <c r="G346" t="b">
        <f>IF(COUNTIF(AB$4:AB$20,Append1[[#This Row],[dteday]]) &gt; 0, TRUE, FALSE)</f>
        <v>0</v>
      </c>
      <c r="H346">
        <v>6</v>
      </c>
      <c r="I346">
        <v>2</v>
      </c>
      <c r="J346">
        <v>0.32</v>
      </c>
      <c r="K346">
        <f>Append1[[#This Row],[temp]]*100</f>
        <v>32</v>
      </c>
      <c r="L346">
        <v>0.30299999999999999</v>
      </c>
      <c r="M346">
        <v>0.39</v>
      </c>
      <c r="N346">
        <v>0.25369999999999998</v>
      </c>
      <c r="O346">
        <v>6</v>
      </c>
      <c r="P346">
        <v>35</v>
      </c>
      <c r="Q346">
        <v>41</v>
      </c>
      <c r="R346" s="12" t="str">
        <f t="shared" si="25"/>
        <v>Mist/Cloudy</v>
      </c>
      <c r="S346" s="14" t="str">
        <f t="shared" si="26"/>
        <v>Winter</v>
      </c>
      <c r="T346" s="15" t="str">
        <f t="shared" si="27"/>
        <v>Saturday</v>
      </c>
      <c r="U346" t="str">
        <f t="shared" si="28"/>
        <v>January</v>
      </c>
      <c r="V346" s="16" t="str">
        <f t="shared" si="29"/>
        <v>MODERATE</v>
      </c>
    </row>
    <row r="347" spans="1:22" x14ac:dyDescent="0.3">
      <c r="A347">
        <v>346</v>
      </c>
      <c r="B347" s="1">
        <v>40558</v>
      </c>
      <c r="C347">
        <v>1</v>
      </c>
      <c r="D347">
        <v>0</v>
      </c>
      <c r="E347">
        <v>1</v>
      </c>
      <c r="F347">
        <v>21</v>
      </c>
      <c r="G347" t="b">
        <f>IF(COUNTIF(AB$4:AB$20,Append1[[#This Row],[dteday]]) &gt; 0, TRUE, FALSE)</f>
        <v>0</v>
      </c>
      <c r="H347">
        <v>6</v>
      </c>
      <c r="I347">
        <v>2</v>
      </c>
      <c r="J347">
        <v>0.32</v>
      </c>
      <c r="K347">
        <f>Append1[[#This Row],[temp]]*100</f>
        <v>32</v>
      </c>
      <c r="L347">
        <v>0.30299999999999999</v>
      </c>
      <c r="M347">
        <v>0.39</v>
      </c>
      <c r="N347">
        <v>0.22389999999999999</v>
      </c>
      <c r="O347">
        <v>6</v>
      </c>
      <c r="P347">
        <v>51</v>
      </c>
      <c r="Q347">
        <v>57</v>
      </c>
      <c r="R347" s="12" t="str">
        <f t="shared" si="25"/>
        <v>Mist/Cloudy</v>
      </c>
      <c r="S347" s="14" t="str">
        <f t="shared" si="26"/>
        <v>Winter</v>
      </c>
      <c r="T347" s="15" t="str">
        <f t="shared" si="27"/>
        <v>Saturday</v>
      </c>
      <c r="U347" t="str">
        <f t="shared" si="28"/>
        <v>January</v>
      </c>
      <c r="V347" s="16" t="str">
        <f t="shared" si="29"/>
        <v>MODERATE</v>
      </c>
    </row>
    <row r="348" spans="1:22" x14ac:dyDescent="0.3">
      <c r="A348">
        <v>347</v>
      </c>
      <c r="B348" s="1">
        <v>40558</v>
      </c>
      <c r="C348">
        <v>1</v>
      </c>
      <c r="D348">
        <v>0</v>
      </c>
      <c r="E348">
        <v>1</v>
      </c>
      <c r="F348">
        <v>22</v>
      </c>
      <c r="G348" t="b">
        <f>IF(COUNTIF(AB$4:AB$20,Append1[[#This Row],[dteday]]) &gt; 0, TRUE, FALSE)</f>
        <v>0</v>
      </c>
      <c r="H348">
        <v>6</v>
      </c>
      <c r="I348">
        <v>2</v>
      </c>
      <c r="J348">
        <v>0.3</v>
      </c>
      <c r="K348">
        <f>Append1[[#This Row],[temp]]*100</f>
        <v>30</v>
      </c>
      <c r="L348">
        <v>0.31819999999999998</v>
      </c>
      <c r="M348">
        <v>0.42</v>
      </c>
      <c r="N348">
        <v>0.1045</v>
      </c>
      <c r="O348">
        <v>0</v>
      </c>
      <c r="P348">
        <v>26</v>
      </c>
      <c r="Q348">
        <v>26</v>
      </c>
      <c r="R348" s="12" t="str">
        <f t="shared" si="25"/>
        <v>Mist/Cloudy</v>
      </c>
      <c r="S348" s="14" t="str">
        <f t="shared" si="26"/>
        <v>Winter</v>
      </c>
      <c r="T348" s="15" t="str">
        <f t="shared" si="27"/>
        <v>Saturday</v>
      </c>
      <c r="U348" t="str">
        <f t="shared" si="28"/>
        <v>January</v>
      </c>
      <c r="V348" s="16" t="str">
        <f t="shared" si="29"/>
        <v>MODERATE</v>
      </c>
    </row>
    <row r="349" spans="1:22" x14ac:dyDescent="0.3">
      <c r="A349">
        <v>348</v>
      </c>
      <c r="B349" s="1">
        <v>40558</v>
      </c>
      <c r="C349">
        <v>1</v>
      </c>
      <c r="D349">
        <v>0</v>
      </c>
      <c r="E349">
        <v>1</v>
      </c>
      <c r="F349">
        <v>23</v>
      </c>
      <c r="G349" t="b">
        <f>IF(COUNTIF(AB$4:AB$20,Append1[[#This Row],[dteday]]) &gt; 0, TRUE, FALSE)</f>
        <v>0</v>
      </c>
      <c r="H349">
        <v>6</v>
      </c>
      <c r="I349">
        <v>1</v>
      </c>
      <c r="J349">
        <v>0.3</v>
      </c>
      <c r="K349">
        <f>Append1[[#This Row],[temp]]*100</f>
        <v>30</v>
      </c>
      <c r="L349">
        <v>0.28789999999999999</v>
      </c>
      <c r="M349">
        <v>0.45</v>
      </c>
      <c r="N349">
        <v>0.28360000000000002</v>
      </c>
      <c r="O349">
        <v>5</v>
      </c>
      <c r="P349">
        <v>39</v>
      </c>
      <c r="Q349">
        <v>44</v>
      </c>
      <c r="R349" s="12" t="str">
        <f t="shared" si="25"/>
        <v>Clear/Few Clouds</v>
      </c>
      <c r="S349" s="14" t="str">
        <f t="shared" si="26"/>
        <v>Winter</v>
      </c>
      <c r="T349" s="15" t="str">
        <f t="shared" si="27"/>
        <v>Saturday</v>
      </c>
      <c r="U349" t="str">
        <f t="shared" si="28"/>
        <v>January</v>
      </c>
      <c r="V349" s="16" t="str">
        <f t="shared" si="29"/>
        <v>GOOD</v>
      </c>
    </row>
    <row r="350" spans="1:22" x14ac:dyDescent="0.3">
      <c r="A350">
        <v>349</v>
      </c>
      <c r="B350" s="1">
        <v>40559</v>
      </c>
      <c r="C350">
        <v>1</v>
      </c>
      <c r="D350">
        <v>0</v>
      </c>
      <c r="E350">
        <v>1</v>
      </c>
      <c r="F350">
        <v>0</v>
      </c>
      <c r="G350" t="b">
        <f>IF(COUNTIF(AB$4:AB$20,Append1[[#This Row],[dteday]]) &gt; 0, TRUE, FALSE)</f>
        <v>0</v>
      </c>
      <c r="H350">
        <v>0</v>
      </c>
      <c r="I350">
        <v>1</v>
      </c>
      <c r="J350">
        <v>0.26</v>
      </c>
      <c r="K350">
        <f>Append1[[#This Row],[temp]]*100</f>
        <v>26</v>
      </c>
      <c r="L350">
        <v>0.30299999999999999</v>
      </c>
      <c r="M350">
        <v>0.56000000000000005</v>
      </c>
      <c r="N350">
        <v>0</v>
      </c>
      <c r="O350">
        <v>6</v>
      </c>
      <c r="P350">
        <v>33</v>
      </c>
      <c r="Q350">
        <v>39</v>
      </c>
      <c r="R350" s="12" t="str">
        <f t="shared" si="25"/>
        <v>Clear/Few Clouds</v>
      </c>
      <c r="S350" s="14" t="str">
        <f t="shared" si="26"/>
        <v>Winter</v>
      </c>
      <c r="T350" s="15" t="str">
        <f t="shared" si="27"/>
        <v>Sunday</v>
      </c>
      <c r="U350" t="str">
        <f t="shared" si="28"/>
        <v>January</v>
      </c>
      <c r="V350" s="16" t="str">
        <f t="shared" si="29"/>
        <v>GOOD</v>
      </c>
    </row>
    <row r="351" spans="1:22" x14ac:dyDescent="0.3">
      <c r="A351">
        <v>350</v>
      </c>
      <c r="B351" s="1">
        <v>40559</v>
      </c>
      <c r="C351">
        <v>1</v>
      </c>
      <c r="D351">
        <v>0</v>
      </c>
      <c r="E351">
        <v>1</v>
      </c>
      <c r="F351">
        <v>1</v>
      </c>
      <c r="G351" t="b">
        <f>IF(COUNTIF(AB$4:AB$20,Append1[[#This Row],[dteday]]) &gt; 0, TRUE, FALSE)</f>
        <v>0</v>
      </c>
      <c r="H351">
        <v>0</v>
      </c>
      <c r="I351">
        <v>1</v>
      </c>
      <c r="J351">
        <v>0.26</v>
      </c>
      <c r="K351">
        <f>Append1[[#This Row],[temp]]*100</f>
        <v>26</v>
      </c>
      <c r="L351">
        <v>0.2727</v>
      </c>
      <c r="M351">
        <v>0.56000000000000005</v>
      </c>
      <c r="N351">
        <v>0.1343</v>
      </c>
      <c r="O351">
        <v>4</v>
      </c>
      <c r="P351">
        <v>19</v>
      </c>
      <c r="Q351">
        <v>23</v>
      </c>
      <c r="R351" s="12" t="str">
        <f t="shared" si="25"/>
        <v>Clear/Few Clouds</v>
      </c>
      <c r="S351" s="14" t="str">
        <f t="shared" si="26"/>
        <v>Winter</v>
      </c>
      <c r="T351" s="15" t="str">
        <f t="shared" si="27"/>
        <v>Sunday</v>
      </c>
      <c r="U351" t="str">
        <f t="shared" si="28"/>
        <v>January</v>
      </c>
      <c r="V351" s="16" t="str">
        <f t="shared" si="29"/>
        <v>GOOD</v>
      </c>
    </row>
    <row r="352" spans="1:22" x14ac:dyDescent="0.3">
      <c r="A352">
        <v>351</v>
      </c>
      <c r="B352" s="1">
        <v>40559</v>
      </c>
      <c r="C352">
        <v>1</v>
      </c>
      <c r="D352">
        <v>0</v>
      </c>
      <c r="E352">
        <v>1</v>
      </c>
      <c r="F352">
        <v>2</v>
      </c>
      <c r="G352" t="b">
        <f>IF(COUNTIF(AB$4:AB$20,Append1[[#This Row],[dteday]]) &gt; 0, TRUE, FALSE)</f>
        <v>0</v>
      </c>
      <c r="H352">
        <v>0</v>
      </c>
      <c r="I352">
        <v>1</v>
      </c>
      <c r="J352">
        <v>0.26</v>
      </c>
      <c r="K352">
        <f>Append1[[#This Row],[temp]]*100</f>
        <v>26</v>
      </c>
      <c r="L352">
        <v>0.28789999999999999</v>
      </c>
      <c r="M352">
        <v>0.56000000000000005</v>
      </c>
      <c r="N352">
        <v>8.9599999999999999E-2</v>
      </c>
      <c r="O352">
        <v>3</v>
      </c>
      <c r="P352">
        <v>13</v>
      </c>
      <c r="Q352">
        <v>16</v>
      </c>
      <c r="R352" s="12" t="str">
        <f t="shared" si="25"/>
        <v>Clear/Few Clouds</v>
      </c>
      <c r="S352" s="14" t="str">
        <f t="shared" si="26"/>
        <v>Winter</v>
      </c>
      <c r="T352" s="15" t="str">
        <f t="shared" si="27"/>
        <v>Sunday</v>
      </c>
      <c r="U352" t="str">
        <f t="shared" si="28"/>
        <v>January</v>
      </c>
      <c r="V352" s="16" t="str">
        <f t="shared" si="29"/>
        <v>GOOD</v>
      </c>
    </row>
    <row r="353" spans="1:22" x14ac:dyDescent="0.3">
      <c r="A353">
        <v>352</v>
      </c>
      <c r="B353" s="1">
        <v>40559</v>
      </c>
      <c r="C353">
        <v>1</v>
      </c>
      <c r="D353">
        <v>0</v>
      </c>
      <c r="E353">
        <v>1</v>
      </c>
      <c r="F353">
        <v>3</v>
      </c>
      <c r="G353" t="b">
        <f>IF(COUNTIF(AB$4:AB$20,Append1[[#This Row],[dteday]]) &gt; 0, TRUE, FALSE)</f>
        <v>0</v>
      </c>
      <c r="H353">
        <v>0</v>
      </c>
      <c r="I353">
        <v>1</v>
      </c>
      <c r="J353">
        <v>0.22</v>
      </c>
      <c r="K353">
        <f>Append1[[#This Row],[temp]]*100</f>
        <v>22</v>
      </c>
      <c r="L353">
        <v>0.2727</v>
      </c>
      <c r="M353">
        <v>0.69</v>
      </c>
      <c r="N353">
        <v>0</v>
      </c>
      <c r="O353">
        <v>9</v>
      </c>
      <c r="P353">
        <v>6</v>
      </c>
      <c r="Q353">
        <v>15</v>
      </c>
      <c r="R353" s="12" t="str">
        <f t="shared" si="25"/>
        <v>Clear/Few Clouds</v>
      </c>
      <c r="S353" s="14" t="str">
        <f t="shared" si="26"/>
        <v>Winter</v>
      </c>
      <c r="T353" s="15" t="str">
        <f t="shared" si="27"/>
        <v>Sunday</v>
      </c>
      <c r="U353" t="str">
        <f t="shared" si="28"/>
        <v>January</v>
      </c>
      <c r="V353" s="16" t="str">
        <f t="shared" si="29"/>
        <v>GOOD</v>
      </c>
    </row>
    <row r="354" spans="1:22" x14ac:dyDescent="0.3">
      <c r="A354">
        <v>353</v>
      </c>
      <c r="B354" s="1">
        <v>40559</v>
      </c>
      <c r="C354">
        <v>1</v>
      </c>
      <c r="D354">
        <v>0</v>
      </c>
      <c r="E354">
        <v>1</v>
      </c>
      <c r="F354">
        <v>4</v>
      </c>
      <c r="G354" t="b">
        <f>IF(COUNTIF(AB$4:AB$20,Append1[[#This Row],[dteday]]) &gt; 0, TRUE, FALSE)</f>
        <v>0</v>
      </c>
      <c r="H354">
        <v>0</v>
      </c>
      <c r="I354">
        <v>1</v>
      </c>
      <c r="J354">
        <v>0.26</v>
      </c>
      <c r="K354">
        <f>Append1[[#This Row],[temp]]*100</f>
        <v>26</v>
      </c>
      <c r="L354">
        <v>0.2576</v>
      </c>
      <c r="M354">
        <v>0.56000000000000005</v>
      </c>
      <c r="N354">
        <v>0.16420000000000001</v>
      </c>
      <c r="O354">
        <v>0</v>
      </c>
      <c r="P354">
        <v>1</v>
      </c>
      <c r="Q354">
        <v>1</v>
      </c>
      <c r="R354" s="12" t="str">
        <f t="shared" si="25"/>
        <v>Clear/Few Clouds</v>
      </c>
      <c r="S354" s="14" t="str">
        <f t="shared" si="26"/>
        <v>Winter</v>
      </c>
      <c r="T354" s="15" t="str">
        <f t="shared" si="27"/>
        <v>Sunday</v>
      </c>
      <c r="U354" t="str">
        <f t="shared" si="28"/>
        <v>January</v>
      </c>
      <c r="V354" s="16" t="str">
        <f t="shared" si="29"/>
        <v>GOOD</v>
      </c>
    </row>
    <row r="355" spans="1:22" x14ac:dyDescent="0.3">
      <c r="A355">
        <v>354</v>
      </c>
      <c r="B355" s="1">
        <v>40559</v>
      </c>
      <c r="C355">
        <v>1</v>
      </c>
      <c r="D355">
        <v>0</v>
      </c>
      <c r="E355">
        <v>1</v>
      </c>
      <c r="F355">
        <v>5</v>
      </c>
      <c r="G355" t="b">
        <f>IF(COUNTIF(AB$4:AB$20,Append1[[#This Row],[dteday]]) &gt; 0, TRUE, FALSE)</f>
        <v>0</v>
      </c>
      <c r="H355">
        <v>0</v>
      </c>
      <c r="I355">
        <v>2</v>
      </c>
      <c r="J355">
        <v>0.26</v>
      </c>
      <c r="K355">
        <f>Append1[[#This Row],[temp]]*100</f>
        <v>26</v>
      </c>
      <c r="L355">
        <v>0.2576</v>
      </c>
      <c r="M355">
        <v>0.56000000000000005</v>
      </c>
      <c r="N355">
        <v>0.16420000000000001</v>
      </c>
      <c r="O355">
        <v>1</v>
      </c>
      <c r="P355">
        <v>1</v>
      </c>
      <c r="Q355">
        <v>2</v>
      </c>
      <c r="R355" s="12" t="str">
        <f t="shared" si="25"/>
        <v>Mist/Cloudy</v>
      </c>
      <c r="S355" s="14" t="str">
        <f t="shared" si="26"/>
        <v>Winter</v>
      </c>
      <c r="T355" s="15" t="str">
        <f t="shared" si="27"/>
        <v>Sunday</v>
      </c>
      <c r="U355" t="str">
        <f t="shared" si="28"/>
        <v>January</v>
      </c>
      <c r="V355" s="16" t="str">
        <f t="shared" si="29"/>
        <v>MODERATE</v>
      </c>
    </row>
    <row r="356" spans="1:22" x14ac:dyDescent="0.3">
      <c r="A356">
        <v>355</v>
      </c>
      <c r="B356" s="1">
        <v>40559</v>
      </c>
      <c r="C356">
        <v>1</v>
      </c>
      <c r="D356">
        <v>0</v>
      </c>
      <c r="E356">
        <v>1</v>
      </c>
      <c r="F356">
        <v>6</v>
      </c>
      <c r="G356" t="b">
        <f>IF(COUNTIF(AB$4:AB$20,Append1[[#This Row],[dteday]]) &gt; 0, TRUE, FALSE)</f>
        <v>0</v>
      </c>
      <c r="H356">
        <v>0</v>
      </c>
      <c r="I356">
        <v>2</v>
      </c>
      <c r="J356">
        <v>0.26</v>
      </c>
      <c r="K356">
        <f>Append1[[#This Row],[temp]]*100</f>
        <v>26</v>
      </c>
      <c r="L356">
        <v>0.2576</v>
      </c>
      <c r="M356">
        <v>0.56000000000000005</v>
      </c>
      <c r="N356">
        <v>0.16420000000000001</v>
      </c>
      <c r="O356">
        <v>0</v>
      </c>
      <c r="P356">
        <v>1</v>
      </c>
      <c r="Q356">
        <v>1</v>
      </c>
      <c r="R356" s="12" t="str">
        <f t="shared" si="25"/>
        <v>Mist/Cloudy</v>
      </c>
      <c r="S356" s="14" t="str">
        <f t="shared" si="26"/>
        <v>Winter</v>
      </c>
      <c r="T356" s="15" t="str">
        <f t="shared" si="27"/>
        <v>Sunday</v>
      </c>
      <c r="U356" t="str">
        <f t="shared" si="28"/>
        <v>January</v>
      </c>
      <c r="V356" s="16" t="str">
        <f t="shared" si="29"/>
        <v>MODERATE</v>
      </c>
    </row>
    <row r="357" spans="1:22" x14ac:dyDescent="0.3">
      <c r="A357">
        <v>356</v>
      </c>
      <c r="B357" s="1">
        <v>40559</v>
      </c>
      <c r="C357">
        <v>1</v>
      </c>
      <c r="D357">
        <v>0</v>
      </c>
      <c r="E357">
        <v>1</v>
      </c>
      <c r="F357">
        <v>7</v>
      </c>
      <c r="G357" t="b">
        <f>IF(COUNTIF(AB$4:AB$20,Append1[[#This Row],[dteday]]) &gt; 0, TRUE, FALSE)</f>
        <v>0</v>
      </c>
      <c r="H357">
        <v>0</v>
      </c>
      <c r="I357">
        <v>2</v>
      </c>
      <c r="J357">
        <v>0.24</v>
      </c>
      <c r="K357">
        <f>Append1[[#This Row],[temp]]*100</f>
        <v>24</v>
      </c>
      <c r="L357">
        <v>0.21210000000000001</v>
      </c>
      <c r="M357">
        <v>0.56000000000000005</v>
      </c>
      <c r="N357">
        <v>0.29849999999999999</v>
      </c>
      <c r="O357">
        <v>0</v>
      </c>
      <c r="P357">
        <v>3</v>
      </c>
      <c r="Q357">
        <v>3</v>
      </c>
      <c r="R357" s="12" t="str">
        <f t="shared" si="25"/>
        <v>Mist/Cloudy</v>
      </c>
      <c r="S357" s="14" t="str">
        <f t="shared" si="26"/>
        <v>Winter</v>
      </c>
      <c r="T357" s="15" t="str">
        <f t="shared" si="27"/>
        <v>Sunday</v>
      </c>
      <c r="U357" t="str">
        <f t="shared" si="28"/>
        <v>January</v>
      </c>
      <c r="V357" s="16" t="str">
        <f t="shared" si="29"/>
        <v>MODERATE</v>
      </c>
    </row>
    <row r="358" spans="1:22" x14ac:dyDescent="0.3">
      <c r="A358">
        <v>357</v>
      </c>
      <c r="B358" s="1">
        <v>40559</v>
      </c>
      <c r="C358">
        <v>1</v>
      </c>
      <c r="D358">
        <v>0</v>
      </c>
      <c r="E358">
        <v>1</v>
      </c>
      <c r="F358">
        <v>8</v>
      </c>
      <c r="G358" t="b">
        <f>IF(COUNTIF(AB$4:AB$20,Append1[[#This Row],[dteday]]) &gt; 0, TRUE, FALSE)</f>
        <v>0</v>
      </c>
      <c r="H358">
        <v>0</v>
      </c>
      <c r="I358">
        <v>1</v>
      </c>
      <c r="J358">
        <v>0.22</v>
      </c>
      <c r="K358">
        <f>Append1[[#This Row],[temp]]*100</f>
        <v>22</v>
      </c>
      <c r="L358">
        <v>0.21210000000000001</v>
      </c>
      <c r="M358">
        <v>0.55000000000000004</v>
      </c>
      <c r="N358">
        <v>0.28360000000000002</v>
      </c>
      <c r="O358">
        <v>0</v>
      </c>
      <c r="P358">
        <v>18</v>
      </c>
      <c r="Q358">
        <v>18</v>
      </c>
      <c r="R358" s="12" t="str">
        <f t="shared" si="25"/>
        <v>Clear/Few Clouds</v>
      </c>
      <c r="S358" s="14" t="str">
        <f t="shared" si="26"/>
        <v>Winter</v>
      </c>
      <c r="T358" s="15" t="str">
        <f t="shared" si="27"/>
        <v>Sunday</v>
      </c>
      <c r="U358" t="str">
        <f t="shared" si="28"/>
        <v>January</v>
      </c>
      <c r="V358" s="16" t="str">
        <f t="shared" si="29"/>
        <v>GOOD</v>
      </c>
    </row>
    <row r="359" spans="1:22" x14ac:dyDescent="0.3">
      <c r="A359">
        <v>358</v>
      </c>
      <c r="B359" s="1">
        <v>40559</v>
      </c>
      <c r="C359">
        <v>1</v>
      </c>
      <c r="D359">
        <v>0</v>
      </c>
      <c r="E359">
        <v>1</v>
      </c>
      <c r="F359">
        <v>9</v>
      </c>
      <c r="G359" t="b">
        <f>IF(COUNTIF(AB$4:AB$20,Append1[[#This Row],[dteday]]) &gt; 0, TRUE, FALSE)</f>
        <v>0</v>
      </c>
      <c r="H359">
        <v>0</v>
      </c>
      <c r="I359">
        <v>1</v>
      </c>
      <c r="J359">
        <v>0.22</v>
      </c>
      <c r="K359">
        <f>Append1[[#This Row],[temp]]*100</f>
        <v>22</v>
      </c>
      <c r="L359">
        <v>0.21210000000000001</v>
      </c>
      <c r="M359">
        <v>0.51</v>
      </c>
      <c r="N359">
        <v>0.25369999999999998</v>
      </c>
      <c r="O359">
        <v>3</v>
      </c>
      <c r="P359">
        <v>29</v>
      </c>
      <c r="Q359">
        <v>32</v>
      </c>
      <c r="R359" s="12" t="str">
        <f t="shared" si="25"/>
        <v>Clear/Few Clouds</v>
      </c>
      <c r="S359" s="14" t="str">
        <f t="shared" si="26"/>
        <v>Winter</v>
      </c>
      <c r="T359" s="15" t="str">
        <f t="shared" si="27"/>
        <v>Sunday</v>
      </c>
      <c r="U359" t="str">
        <f t="shared" si="28"/>
        <v>January</v>
      </c>
      <c r="V359" s="16" t="str">
        <f t="shared" si="29"/>
        <v>GOOD</v>
      </c>
    </row>
    <row r="360" spans="1:22" x14ac:dyDescent="0.3">
      <c r="A360">
        <v>359</v>
      </c>
      <c r="B360" s="1">
        <v>40559</v>
      </c>
      <c r="C360">
        <v>1</v>
      </c>
      <c r="D360">
        <v>0</v>
      </c>
      <c r="E360">
        <v>1</v>
      </c>
      <c r="F360">
        <v>10</v>
      </c>
      <c r="G360" t="b">
        <f>IF(COUNTIF(AB$4:AB$20,Append1[[#This Row],[dteday]]) &gt; 0, TRUE, FALSE)</f>
        <v>0</v>
      </c>
      <c r="H360">
        <v>0</v>
      </c>
      <c r="I360">
        <v>1</v>
      </c>
      <c r="J360">
        <v>0.22</v>
      </c>
      <c r="K360">
        <f>Append1[[#This Row],[temp]]*100</f>
        <v>22</v>
      </c>
      <c r="L360">
        <v>0.21210000000000001</v>
      </c>
      <c r="M360">
        <v>0.51</v>
      </c>
      <c r="N360">
        <v>0.28360000000000002</v>
      </c>
      <c r="O360">
        <v>8</v>
      </c>
      <c r="P360">
        <v>71</v>
      </c>
      <c r="Q360">
        <v>79</v>
      </c>
      <c r="R360" s="12" t="str">
        <f t="shared" si="25"/>
        <v>Clear/Few Clouds</v>
      </c>
      <c r="S360" s="14" t="str">
        <f t="shared" si="26"/>
        <v>Winter</v>
      </c>
      <c r="T360" s="15" t="str">
        <f t="shared" si="27"/>
        <v>Sunday</v>
      </c>
      <c r="U360" t="str">
        <f t="shared" si="28"/>
        <v>January</v>
      </c>
      <c r="V360" s="16" t="str">
        <f t="shared" si="29"/>
        <v>GOOD</v>
      </c>
    </row>
    <row r="361" spans="1:22" x14ac:dyDescent="0.3">
      <c r="A361">
        <v>360</v>
      </c>
      <c r="B361" s="1">
        <v>40559</v>
      </c>
      <c r="C361">
        <v>1</v>
      </c>
      <c r="D361">
        <v>0</v>
      </c>
      <c r="E361">
        <v>1</v>
      </c>
      <c r="F361">
        <v>11</v>
      </c>
      <c r="G361" t="b">
        <f>IF(COUNTIF(AB$4:AB$20,Append1[[#This Row],[dteday]]) &gt; 0, TRUE, FALSE)</f>
        <v>0</v>
      </c>
      <c r="H361">
        <v>0</v>
      </c>
      <c r="I361">
        <v>1</v>
      </c>
      <c r="J361">
        <v>0.24</v>
      </c>
      <c r="K361">
        <f>Append1[[#This Row],[temp]]*100</f>
        <v>24</v>
      </c>
      <c r="L361">
        <v>0.2273</v>
      </c>
      <c r="M361">
        <v>0.44</v>
      </c>
      <c r="N361">
        <v>0.25369999999999998</v>
      </c>
      <c r="O361">
        <v>23</v>
      </c>
      <c r="P361">
        <v>70</v>
      </c>
      <c r="Q361">
        <v>93</v>
      </c>
      <c r="R361" s="12" t="str">
        <f t="shared" si="25"/>
        <v>Clear/Few Clouds</v>
      </c>
      <c r="S361" s="14" t="str">
        <f t="shared" si="26"/>
        <v>Winter</v>
      </c>
      <c r="T361" s="15" t="str">
        <f t="shared" si="27"/>
        <v>Sunday</v>
      </c>
      <c r="U361" t="str">
        <f t="shared" si="28"/>
        <v>January</v>
      </c>
      <c r="V361" s="16" t="str">
        <f t="shared" si="29"/>
        <v>GOOD</v>
      </c>
    </row>
    <row r="362" spans="1:22" x14ac:dyDescent="0.3">
      <c r="A362">
        <v>361</v>
      </c>
      <c r="B362" s="1">
        <v>40559</v>
      </c>
      <c r="C362">
        <v>1</v>
      </c>
      <c r="D362">
        <v>0</v>
      </c>
      <c r="E362">
        <v>1</v>
      </c>
      <c r="F362">
        <v>12</v>
      </c>
      <c r="G362" t="b">
        <f>IF(COUNTIF(AB$4:AB$20,Append1[[#This Row],[dteday]]) &gt; 0, TRUE, FALSE)</f>
        <v>0</v>
      </c>
      <c r="H362">
        <v>0</v>
      </c>
      <c r="I362">
        <v>1</v>
      </c>
      <c r="J362">
        <v>0.24</v>
      </c>
      <c r="K362">
        <f>Append1[[#This Row],[temp]]*100</f>
        <v>24</v>
      </c>
      <c r="L362">
        <v>0.21210000000000001</v>
      </c>
      <c r="M362">
        <v>0.41</v>
      </c>
      <c r="N362">
        <v>0.28360000000000002</v>
      </c>
      <c r="O362">
        <v>29</v>
      </c>
      <c r="P362">
        <v>75</v>
      </c>
      <c r="Q362">
        <v>104</v>
      </c>
      <c r="R362" s="12" t="str">
        <f t="shared" si="25"/>
        <v>Clear/Few Clouds</v>
      </c>
      <c r="S362" s="14" t="str">
        <f t="shared" si="26"/>
        <v>Winter</v>
      </c>
      <c r="T362" s="15" t="str">
        <f t="shared" si="27"/>
        <v>Sunday</v>
      </c>
      <c r="U362" t="str">
        <f t="shared" si="28"/>
        <v>January</v>
      </c>
      <c r="V362" s="16" t="str">
        <f t="shared" si="29"/>
        <v>GOOD</v>
      </c>
    </row>
    <row r="363" spans="1:22" x14ac:dyDescent="0.3">
      <c r="A363">
        <v>362</v>
      </c>
      <c r="B363" s="1">
        <v>40559</v>
      </c>
      <c r="C363">
        <v>1</v>
      </c>
      <c r="D363">
        <v>0</v>
      </c>
      <c r="E363">
        <v>1</v>
      </c>
      <c r="F363">
        <v>13</v>
      </c>
      <c r="G363" t="b">
        <f>IF(COUNTIF(AB$4:AB$20,Append1[[#This Row],[dteday]]) &gt; 0, TRUE, FALSE)</f>
        <v>0</v>
      </c>
      <c r="H363">
        <v>0</v>
      </c>
      <c r="I363">
        <v>1</v>
      </c>
      <c r="J363">
        <v>0.26</v>
      </c>
      <c r="K363">
        <f>Append1[[#This Row],[temp]]*100</f>
        <v>26</v>
      </c>
      <c r="L363">
        <v>0.2273</v>
      </c>
      <c r="M363">
        <v>0.35</v>
      </c>
      <c r="N363">
        <v>0.29849999999999999</v>
      </c>
      <c r="O363">
        <v>23</v>
      </c>
      <c r="P363">
        <v>95</v>
      </c>
      <c r="Q363">
        <v>118</v>
      </c>
      <c r="R363" s="12" t="str">
        <f t="shared" si="25"/>
        <v>Clear/Few Clouds</v>
      </c>
      <c r="S363" s="14" t="str">
        <f t="shared" si="26"/>
        <v>Winter</v>
      </c>
      <c r="T363" s="15" t="str">
        <f t="shared" si="27"/>
        <v>Sunday</v>
      </c>
      <c r="U363" t="str">
        <f t="shared" si="28"/>
        <v>January</v>
      </c>
      <c r="V363" s="16" t="str">
        <f t="shared" si="29"/>
        <v>GOOD</v>
      </c>
    </row>
    <row r="364" spans="1:22" x14ac:dyDescent="0.3">
      <c r="A364">
        <v>363</v>
      </c>
      <c r="B364" s="1">
        <v>40559</v>
      </c>
      <c r="C364">
        <v>1</v>
      </c>
      <c r="D364">
        <v>0</v>
      </c>
      <c r="E364">
        <v>1</v>
      </c>
      <c r="F364">
        <v>14</v>
      </c>
      <c r="G364" t="b">
        <f>IF(COUNTIF(AB$4:AB$20,Append1[[#This Row],[dteday]]) &gt; 0, TRUE, FALSE)</f>
        <v>0</v>
      </c>
      <c r="H364">
        <v>0</v>
      </c>
      <c r="I364">
        <v>1</v>
      </c>
      <c r="J364">
        <v>0.28000000000000003</v>
      </c>
      <c r="K364">
        <f>Append1[[#This Row],[temp]]*100</f>
        <v>28.000000000000004</v>
      </c>
      <c r="L364">
        <v>0.2727</v>
      </c>
      <c r="M364">
        <v>0.36</v>
      </c>
      <c r="N364">
        <v>0.25369999999999998</v>
      </c>
      <c r="O364">
        <v>22</v>
      </c>
      <c r="P364">
        <v>69</v>
      </c>
      <c r="Q364">
        <v>91</v>
      </c>
      <c r="R364" s="12" t="str">
        <f t="shared" si="25"/>
        <v>Clear/Few Clouds</v>
      </c>
      <c r="S364" s="14" t="str">
        <f t="shared" si="26"/>
        <v>Winter</v>
      </c>
      <c r="T364" s="15" t="str">
        <f t="shared" si="27"/>
        <v>Sunday</v>
      </c>
      <c r="U364" t="str">
        <f t="shared" si="28"/>
        <v>January</v>
      </c>
      <c r="V364" s="16" t="str">
        <f t="shared" si="29"/>
        <v>GOOD</v>
      </c>
    </row>
    <row r="365" spans="1:22" x14ac:dyDescent="0.3">
      <c r="A365">
        <v>364</v>
      </c>
      <c r="B365" s="1">
        <v>40559</v>
      </c>
      <c r="C365">
        <v>1</v>
      </c>
      <c r="D365">
        <v>0</v>
      </c>
      <c r="E365">
        <v>1</v>
      </c>
      <c r="F365">
        <v>15</v>
      </c>
      <c r="G365" t="b">
        <f>IF(COUNTIF(AB$4:AB$20,Append1[[#This Row],[dteday]]) &gt; 0, TRUE, FALSE)</f>
        <v>0</v>
      </c>
      <c r="H365">
        <v>0</v>
      </c>
      <c r="I365">
        <v>1</v>
      </c>
      <c r="J365">
        <v>0.26</v>
      </c>
      <c r="K365">
        <f>Append1[[#This Row],[temp]]*100</f>
        <v>26</v>
      </c>
      <c r="L365">
        <v>0.2424</v>
      </c>
      <c r="M365">
        <v>0.38</v>
      </c>
      <c r="N365">
        <v>0.25369999999999998</v>
      </c>
      <c r="O365">
        <v>35</v>
      </c>
      <c r="P365">
        <v>78</v>
      </c>
      <c r="Q365">
        <v>113</v>
      </c>
      <c r="R365" s="12" t="str">
        <f t="shared" si="25"/>
        <v>Clear/Few Clouds</v>
      </c>
      <c r="S365" s="14" t="str">
        <f t="shared" si="26"/>
        <v>Winter</v>
      </c>
      <c r="T365" s="15" t="str">
        <f t="shared" si="27"/>
        <v>Sunday</v>
      </c>
      <c r="U365" t="str">
        <f t="shared" si="28"/>
        <v>January</v>
      </c>
      <c r="V365" s="16" t="str">
        <f t="shared" si="29"/>
        <v>GOOD</v>
      </c>
    </row>
    <row r="366" spans="1:22" x14ac:dyDescent="0.3">
      <c r="A366">
        <v>365</v>
      </c>
      <c r="B366" s="1">
        <v>40559</v>
      </c>
      <c r="C366">
        <v>1</v>
      </c>
      <c r="D366">
        <v>0</v>
      </c>
      <c r="E366">
        <v>1</v>
      </c>
      <c r="F366">
        <v>16</v>
      </c>
      <c r="G366" t="b">
        <f>IF(COUNTIF(AB$4:AB$20,Append1[[#This Row],[dteday]]) &gt; 0, TRUE, FALSE)</f>
        <v>0</v>
      </c>
      <c r="H366">
        <v>0</v>
      </c>
      <c r="I366">
        <v>1</v>
      </c>
      <c r="J366">
        <v>0.24</v>
      </c>
      <c r="K366">
        <f>Append1[[#This Row],[temp]]*100</f>
        <v>24</v>
      </c>
      <c r="L366">
        <v>0.2273</v>
      </c>
      <c r="M366">
        <v>0.38</v>
      </c>
      <c r="N366">
        <v>0.22389999999999999</v>
      </c>
      <c r="O366">
        <v>22</v>
      </c>
      <c r="P366">
        <v>77</v>
      </c>
      <c r="Q366">
        <v>99</v>
      </c>
      <c r="R366" s="12" t="str">
        <f t="shared" si="25"/>
        <v>Clear/Few Clouds</v>
      </c>
      <c r="S366" s="14" t="str">
        <f t="shared" si="26"/>
        <v>Winter</v>
      </c>
      <c r="T366" s="15" t="str">
        <f t="shared" si="27"/>
        <v>Sunday</v>
      </c>
      <c r="U366" t="str">
        <f t="shared" si="28"/>
        <v>January</v>
      </c>
      <c r="V366" s="16" t="str">
        <f t="shared" si="29"/>
        <v>GOOD</v>
      </c>
    </row>
    <row r="367" spans="1:22" x14ac:dyDescent="0.3">
      <c r="A367">
        <v>366</v>
      </c>
      <c r="B367" s="1">
        <v>40559</v>
      </c>
      <c r="C367">
        <v>1</v>
      </c>
      <c r="D367">
        <v>0</v>
      </c>
      <c r="E367">
        <v>1</v>
      </c>
      <c r="F367">
        <v>17</v>
      </c>
      <c r="G367" t="b">
        <f>IF(COUNTIF(AB$4:AB$20,Append1[[#This Row],[dteday]]) &gt; 0, TRUE, FALSE)</f>
        <v>0</v>
      </c>
      <c r="H367">
        <v>0</v>
      </c>
      <c r="I367">
        <v>1</v>
      </c>
      <c r="J367">
        <v>0.22</v>
      </c>
      <c r="K367">
        <f>Append1[[#This Row],[temp]]*100</f>
        <v>22</v>
      </c>
      <c r="L367">
        <v>0.21210000000000001</v>
      </c>
      <c r="M367">
        <v>0.37</v>
      </c>
      <c r="N367">
        <v>0.25369999999999998</v>
      </c>
      <c r="O367">
        <v>23</v>
      </c>
      <c r="P367">
        <v>82</v>
      </c>
      <c r="Q367">
        <v>105</v>
      </c>
      <c r="R367" s="12" t="str">
        <f t="shared" si="25"/>
        <v>Clear/Few Clouds</v>
      </c>
      <c r="S367" s="14" t="str">
        <f t="shared" si="26"/>
        <v>Winter</v>
      </c>
      <c r="T367" s="15" t="str">
        <f t="shared" si="27"/>
        <v>Sunday</v>
      </c>
      <c r="U367" t="str">
        <f t="shared" si="28"/>
        <v>January</v>
      </c>
      <c r="V367" s="16" t="str">
        <f t="shared" si="29"/>
        <v>GOOD</v>
      </c>
    </row>
    <row r="368" spans="1:22" x14ac:dyDescent="0.3">
      <c r="A368">
        <v>367</v>
      </c>
      <c r="B368" s="1">
        <v>40559</v>
      </c>
      <c r="C368">
        <v>1</v>
      </c>
      <c r="D368">
        <v>0</v>
      </c>
      <c r="E368">
        <v>1</v>
      </c>
      <c r="F368">
        <v>18</v>
      </c>
      <c r="G368" t="b">
        <f>IF(COUNTIF(AB$4:AB$20,Append1[[#This Row],[dteday]]) &gt; 0, TRUE, FALSE)</f>
        <v>0</v>
      </c>
      <c r="H368">
        <v>0</v>
      </c>
      <c r="I368">
        <v>1</v>
      </c>
      <c r="J368">
        <v>0.2</v>
      </c>
      <c r="K368">
        <f>Append1[[#This Row],[temp]]*100</f>
        <v>20</v>
      </c>
      <c r="L368">
        <v>0.21210000000000001</v>
      </c>
      <c r="M368">
        <v>0.4</v>
      </c>
      <c r="N368">
        <v>0.16420000000000001</v>
      </c>
      <c r="O368">
        <v>11</v>
      </c>
      <c r="P368">
        <v>56</v>
      </c>
      <c r="Q368">
        <v>67</v>
      </c>
      <c r="R368" s="12" t="str">
        <f t="shared" si="25"/>
        <v>Clear/Few Clouds</v>
      </c>
      <c r="S368" s="14" t="str">
        <f t="shared" si="26"/>
        <v>Winter</v>
      </c>
      <c r="T368" s="15" t="str">
        <f t="shared" si="27"/>
        <v>Sunday</v>
      </c>
      <c r="U368" t="str">
        <f t="shared" si="28"/>
        <v>January</v>
      </c>
      <c r="V368" s="16" t="str">
        <f t="shared" si="29"/>
        <v>GOOD</v>
      </c>
    </row>
    <row r="369" spans="1:22" x14ac:dyDescent="0.3">
      <c r="A369">
        <v>368</v>
      </c>
      <c r="B369" s="1">
        <v>40559</v>
      </c>
      <c r="C369">
        <v>1</v>
      </c>
      <c r="D369">
        <v>0</v>
      </c>
      <c r="E369">
        <v>1</v>
      </c>
      <c r="F369">
        <v>19</v>
      </c>
      <c r="G369" t="b">
        <f>IF(COUNTIF(AB$4:AB$20,Append1[[#This Row],[dteday]]) &gt; 0, TRUE, FALSE)</f>
        <v>0</v>
      </c>
      <c r="H369">
        <v>0</v>
      </c>
      <c r="I369">
        <v>1</v>
      </c>
      <c r="J369">
        <v>0.18</v>
      </c>
      <c r="K369">
        <f>Append1[[#This Row],[temp]]*100</f>
        <v>18</v>
      </c>
      <c r="L369">
        <v>0.19700000000000001</v>
      </c>
      <c r="M369">
        <v>0.47</v>
      </c>
      <c r="N369">
        <v>0.1343</v>
      </c>
      <c r="O369">
        <v>14</v>
      </c>
      <c r="P369">
        <v>47</v>
      </c>
      <c r="Q369">
        <v>61</v>
      </c>
      <c r="R369" s="12" t="str">
        <f t="shared" si="25"/>
        <v>Clear/Few Clouds</v>
      </c>
      <c r="S369" s="14" t="str">
        <f t="shared" si="26"/>
        <v>Winter</v>
      </c>
      <c r="T369" s="15" t="str">
        <f t="shared" si="27"/>
        <v>Sunday</v>
      </c>
      <c r="U369" t="str">
        <f t="shared" si="28"/>
        <v>January</v>
      </c>
      <c r="V369" s="16" t="str">
        <f t="shared" si="29"/>
        <v>GOOD</v>
      </c>
    </row>
    <row r="370" spans="1:22" x14ac:dyDescent="0.3">
      <c r="A370">
        <v>369</v>
      </c>
      <c r="B370" s="1">
        <v>40559</v>
      </c>
      <c r="C370">
        <v>1</v>
      </c>
      <c r="D370">
        <v>0</v>
      </c>
      <c r="E370">
        <v>1</v>
      </c>
      <c r="F370">
        <v>20</v>
      </c>
      <c r="G370" t="b">
        <f>IF(COUNTIF(AB$4:AB$20,Append1[[#This Row],[dteday]]) &gt; 0, TRUE, FALSE)</f>
        <v>0</v>
      </c>
      <c r="H370">
        <v>0</v>
      </c>
      <c r="I370">
        <v>1</v>
      </c>
      <c r="J370">
        <v>0.18</v>
      </c>
      <c r="K370">
        <f>Append1[[#This Row],[temp]]*100</f>
        <v>18</v>
      </c>
      <c r="L370">
        <v>0.19700000000000001</v>
      </c>
      <c r="M370">
        <v>0.47</v>
      </c>
      <c r="N370">
        <v>0.16420000000000001</v>
      </c>
      <c r="O370">
        <v>7</v>
      </c>
      <c r="P370">
        <v>50</v>
      </c>
      <c r="Q370">
        <v>57</v>
      </c>
      <c r="R370" s="12" t="str">
        <f t="shared" si="25"/>
        <v>Clear/Few Clouds</v>
      </c>
      <c r="S370" s="14" t="str">
        <f t="shared" si="26"/>
        <v>Winter</v>
      </c>
      <c r="T370" s="15" t="str">
        <f t="shared" si="27"/>
        <v>Sunday</v>
      </c>
      <c r="U370" t="str">
        <f t="shared" si="28"/>
        <v>January</v>
      </c>
      <c r="V370" s="16" t="str">
        <f t="shared" si="29"/>
        <v>GOOD</v>
      </c>
    </row>
    <row r="371" spans="1:22" x14ac:dyDescent="0.3">
      <c r="A371">
        <v>370</v>
      </c>
      <c r="B371" s="1">
        <v>40559</v>
      </c>
      <c r="C371">
        <v>1</v>
      </c>
      <c r="D371">
        <v>0</v>
      </c>
      <c r="E371">
        <v>1</v>
      </c>
      <c r="F371">
        <v>21</v>
      </c>
      <c r="G371" t="b">
        <f>IF(COUNTIF(AB$4:AB$20,Append1[[#This Row],[dteday]]) &gt; 0, TRUE, FALSE)</f>
        <v>0</v>
      </c>
      <c r="H371">
        <v>0</v>
      </c>
      <c r="I371">
        <v>1</v>
      </c>
      <c r="J371">
        <v>0.18</v>
      </c>
      <c r="K371">
        <f>Append1[[#This Row],[temp]]*100</f>
        <v>18</v>
      </c>
      <c r="L371">
        <v>0.19700000000000001</v>
      </c>
      <c r="M371">
        <v>0.51</v>
      </c>
      <c r="N371">
        <v>0.16420000000000001</v>
      </c>
      <c r="O371">
        <v>6</v>
      </c>
      <c r="P371">
        <v>22</v>
      </c>
      <c r="Q371">
        <v>28</v>
      </c>
      <c r="R371" s="12" t="str">
        <f t="shared" si="25"/>
        <v>Clear/Few Clouds</v>
      </c>
      <c r="S371" s="14" t="str">
        <f t="shared" si="26"/>
        <v>Winter</v>
      </c>
      <c r="T371" s="15" t="str">
        <f t="shared" si="27"/>
        <v>Sunday</v>
      </c>
      <c r="U371" t="str">
        <f t="shared" si="28"/>
        <v>January</v>
      </c>
      <c r="V371" s="16" t="str">
        <f t="shared" si="29"/>
        <v>GOOD</v>
      </c>
    </row>
    <row r="372" spans="1:22" x14ac:dyDescent="0.3">
      <c r="A372">
        <v>371</v>
      </c>
      <c r="B372" s="1">
        <v>40559</v>
      </c>
      <c r="C372">
        <v>1</v>
      </c>
      <c r="D372">
        <v>0</v>
      </c>
      <c r="E372">
        <v>1</v>
      </c>
      <c r="F372">
        <v>22</v>
      </c>
      <c r="G372" t="b">
        <f>IF(COUNTIF(AB$4:AB$20,Append1[[#This Row],[dteday]]) &gt; 0, TRUE, FALSE)</f>
        <v>0</v>
      </c>
      <c r="H372">
        <v>0</v>
      </c>
      <c r="I372">
        <v>2</v>
      </c>
      <c r="J372">
        <v>0.2</v>
      </c>
      <c r="K372">
        <f>Append1[[#This Row],[temp]]*100</f>
        <v>20</v>
      </c>
      <c r="L372">
        <v>0.21210000000000001</v>
      </c>
      <c r="M372">
        <v>0.49</v>
      </c>
      <c r="N372">
        <v>0.1343</v>
      </c>
      <c r="O372">
        <v>2</v>
      </c>
      <c r="P372">
        <v>19</v>
      </c>
      <c r="Q372">
        <v>21</v>
      </c>
      <c r="R372" s="12" t="str">
        <f t="shared" si="25"/>
        <v>Mist/Cloudy</v>
      </c>
      <c r="S372" s="14" t="str">
        <f t="shared" si="26"/>
        <v>Winter</v>
      </c>
      <c r="T372" s="15" t="str">
        <f t="shared" si="27"/>
        <v>Sunday</v>
      </c>
      <c r="U372" t="str">
        <f t="shared" si="28"/>
        <v>January</v>
      </c>
      <c r="V372" s="16" t="str">
        <f t="shared" si="29"/>
        <v>MODERATE</v>
      </c>
    </row>
    <row r="373" spans="1:22" x14ac:dyDescent="0.3">
      <c r="A373">
        <v>372</v>
      </c>
      <c r="B373" s="1">
        <v>40559</v>
      </c>
      <c r="C373">
        <v>1</v>
      </c>
      <c r="D373">
        <v>0</v>
      </c>
      <c r="E373">
        <v>1</v>
      </c>
      <c r="F373">
        <v>23</v>
      </c>
      <c r="G373" t="b">
        <f>IF(COUNTIF(AB$4:AB$20,Append1[[#This Row],[dteday]]) &gt; 0, TRUE, FALSE)</f>
        <v>0</v>
      </c>
      <c r="H373">
        <v>0</v>
      </c>
      <c r="I373">
        <v>2</v>
      </c>
      <c r="J373">
        <v>0.2</v>
      </c>
      <c r="K373">
        <f>Append1[[#This Row],[temp]]*100</f>
        <v>20</v>
      </c>
      <c r="L373">
        <v>0.2273</v>
      </c>
      <c r="M373">
        <v>0.4</v>
      </c>
      <c r="N373">
        <v>0.1045</v>
      </c>
      <c r="O373">
        <v>0</v>
      </c>
      <c r="P373">
        <v>18</v>
      </c>
      <c r="Q373">
        <v>18</v>
      </c>
      <c r="R373" s="12" t="str">
        <f t="shared" si="25"/>
        <v>Mist/Cloudy</v>
      </c>
      <c r="S373" s="14" t="str">
        <f t="shared" si="26"/>
        <v>Winter</v>
      </c>
      <c r="T373" s="15" t="str">
        <f t="shared" si="27"/>
        <v>Sunday</v>
      </c>
      <c r="U373" t="str">
        <f t="shared" si="28"/>
        <v>January</v>
      </c>
      <c r="V373" s="16" t="str">
        <f t="shared" si="29"/>
        <v>MODERATE</v>
      </c>
    </row>
    <row r="374" spans="1:22" x14ac:dyDescent="0.3">
      <c r="A374">
        <v>373</v>
      </c>
      <c r="B374" s="1">
        <v>40560</v>
      </c>
      <c r="C374">
        <v>1</v>
      </c>
      <c r="D374">
        <v>0</v>
      </c>
      <c r="E374">
        <v>1</v>
      </c>
      <c r="F374">
        <v>0</v>
      </c>
      <c r="G374" t="b">
        <f>IF(COUNTIF(AB$4:AB$20,Append1[[#This Row],[dteday]]) &gt; 0, TRUE, FALSE)</f>
        <v>0</v>
      </c>
      <c r="H374">
        <v>1</v>
      </c>
      <c r="I374">
        <v>2</v>
      </c>
      <c r="J374">
        <v>0.2</v>
      </c>
      <c r="K374">
        <f>Append1[[#This Row],[temp]]*100</f>
        <v>20</v>
      </c>
      <c r="L374">
        <v>0.19700000000000001</v>
      </c>
      <c r="M374">
        <v>0.47</v>
      </c>
      <c r="N374">
        <v>0.22389999999999999</v>
      </c>
      <c r="O374">
        <v>1</v>
      </c>
      <c r="P374">
        <v>16</v>
      </c>
      <c r="Q374">
        <v>17</v>
      </c>
      <c r="R374" s="12" t="str">
        <f t="shared" si="25"/>
        <v>Mist/Cloudy</v>
      </c>
      <c r="S374" s="14" t="str">
        <f t="shared" si="26"/>
        <v>Winter</v>
      </c>
      <c r="T374" s="15" t="str">
        <f t="shared" si="27"/>
        <v>Monday</v>
      </c>
      <c r="U374" t="str">
        <f t="shared" si="28"/>
        <v>January</v>
      </c>
      <c r="V374" s="16" t="str">
        <f t="shared" si="29"/>
        <v>MODERATE</v>
      </c>
    </row>
    <row r="375" spans="1:22" x14ac:dyDescent="0.3">
      <c r="A375">
        <v>374</v>
      </c>
      <c r="B375" s="1">
        <v>40560</v>
      </c>
      <c r="C375">
        <v>1</v>
      </c>
      <c r="D375">
        <v>0</v>
      </c>
      <c r="E375">
        <v>1</v>
      </c>
      <c r="F375">
        <v>1</v>
      </c>
      <c r="G375" t="b">
        <f>IF(COUNTIF(AB$4:AB$20,Append1[[#This Row],[dteday]]) &gt; 0, TRUE, FALSE)</f>
        <v>0</v>
      </c>
      <c r="H375">
        <v>1</v>
      </c>
      <c r="I375">
        <v>2</v>
      </c>
      <c r="J375">
        <v>0.2</v>
      </c>
      <c r="K375">
        <f>Append1[[#This Row],[temp]]*100</f>
        <v>20</v>
      </c>
      <c r="L375">
        <v>0.19700000000000001</v>
      </c>
      <c r="M375">
        <v>0.44</v>
      </c>
      <c r="N375">
        <v>0.19400000000000001</v>
      </c>
      <c r="O375">
        <v>1</v>
      </c>
      <c r="P375">
        <v>15</v>
      </c>
      <c r="Q375">
        <v>16</v>
      </c>
      <c r="R375" s="12" t="str">
        <f t="shared" si="25"/>
        <v>Mist/Cloudy</v>
      </c>
      <c r="S375" s="14" t="str">
        <f t="shared" si="26"/>
        <v>Winter</v>
      </c>
      <c r="T375" s="15" t="str">
        <f t="shared" si="27"/>
        <v>Monday</v>
      </c>
      <c r="U375" t="str">
        <f t="shared" si="28"/>
        <v>January</v>
      </c>
      <c r="V375" s="16" t="str">
        <f t="shared" si="29"/>
        <v>MODERATE</v>
      </c>
    </row>
    <row r="376" spans="1:22" x14ac:dyDescent="0.3">
      <c r="A376">
        <v>375</v>
      </c>
      <c r="B376" s="1">
        <v>40560</v>
      </c>
      <c r="C376">
        <v>1</v>
      </c>
      <c r="D376">
        <v>0</v>
      </c>
      <c r="E376">
        <v>1</v>
      </c>
      <c r="F376">
        <v>2</v>
      </c>
      <c r="G376" t="b">
        <f>IF(COUNTIF(AB$4:AB$20,Append1[[#This Row],[dteday]]) &gt; 0, TRUE, FALSE)</f>
        <v>0</v>
      </c>
      <c r="H376">
        <v>1</v>
      </c>
      <c r="I376">
        <v>2</v>
      </c>
      <c r="J376">
        <v>0.18</v>
      </c>
      <c r="K376">
        <f>Append1[[#This Row],[temp]]*100</f>
        <v>18</v>
      </c>
      <c r="L376">
        <v>0.16669999999999999</v>
      </c>
      <c r="M376">
        <v>0.43</v>
      </c>
      <c r="N376">
        <v>0.25369999999999998</v>
      </c>
      <c r="O376">
        <v>0</v>
      </c>
      <c r="P376">
        <v>8</v>
      </c>
      <c r="Q376">
        <v>8</v>
      </c>
      <c r="R376" s="12" t="str">
        <f t="shared" si="25"/>
        <v>Mist/Cloudy</v>
      </c>
      <c r="S376" s="14" t="str">
        <f t="shared" si="26"/>
        <v>Winter</v>
      </c>
      <c r="T376" s="15" t="str">
        <f t="shared" si="27"/>
        <v>Monday</v>
      </c>
      <c r="U376" t="str">
        <f t="shared" si="28"/>
        <v>January</v>
      </c>
      <c r="V376" s="16" t="str">
        <f t="shared" si="29"/>
        <v>MODERATE</v>
      </c>
    </row>
    <row r="377" spans="1:22" x14ac:dyDescent="0.3">
      <c r="A377">
        <v>376</v>
      </c>
      <c r="B377" s="1">
        <v>40560</v>
      </c>
      <c r="C377">
        <v>1</v>
      </c>
      <c r="D377">
        <v>0</v>
      </c>
      <c r="E377">
        <v>1</v>
      </c>
      <c r="F377">
        <v>3</v>
      </c>
      <c r="G377" t="b">
        <f>IF(COUNTIF(AB$4:AB$20,Append1[[#This Row],[dteday]]) &gt; 0, TRUE, FALSE)</f>
        <v>0</v>
      </c>
      <c r="H377">
        <v>1</v>
      </c>
      <c r="I377">
        <v>2</v>
      </c>
      <c r="J377">
        <v>0.18</v>
      </c>
      <c r="K377">
        <f>Append1[[#This Row],[temp]]*100</f>
        <v>18</v>
      </c>
      <c r="L377">
        <v>0.18179999999999999</v>
      </c>
      <c r="M377">
        <v>0.43</v>
      </c>
      <c r="N377">
        <v>0.19400000000000001</v>
      </c>
      <c r="O377">
        <v>0</v>
      </c>
      <c r="P377">
        <v>2</v>
      </c>
      <c r="Q377">
        <v>2</v>
      </c>
      <c r="R377" s="12" t="str">
        <f t="shared" si="25"/>
        <v>Mist/Cloudy</v>
      </c>
      <c r="S377" s="14" t="str">
        <f t="shared" si="26"/>
        <v>Winter</v>
      </c>
      <c r="T377" s="15" t="str">
        <f t="shared" si="27"/>
        <v>Monday</v>
      </c>
      <c r="U377" t="str">
        <f t="shared" si="28"/>
        <v>January</v>
      </c>
      <c r="V377" s="16" t="str">
        <f t="shared" si="29"/>
        <v>MODERATE</v>
      </c>
    </row>
    <row r="378" spans="1:22" x14ac:dyDescent="0.3">
      <c r="A378">
        <v>377</v>
      </c>
      <c r="B378" s="1">
        <v>40560</v>
      </c>
      <c r="C378">
        <v>1</v>
      </c>
      <c r="D378">
        <v>0</v>
      </c>
      <c r="E378">
        <v>1</v>
      </c>
      <c r="F378">
        <v>4</v>
      </c>
      <c r="G378" t="b">
        <f>IF(COUNTIF(AB$4:AB$20,Append1[[#This Row],[dteday]]) &gt; 0, TRUE, FALSE)</f>
        <v>0</v>
      </c>
      <c r="H378">
        <v>1</v>
      </c>
      <c r="I378">
        <v>2</v>
      </c>
      <c r="J378">
        <v>0.18</v>
      </c>
      <c r="K378">
        <f>Append1[[#This Row],[temp]]*100</f>
        <v>18</v>
      </c>
      <c r="L378">
        <v>0.19700000000000001</v>
      </c>
      <c r="M378">
        <v>0.43</v>
      </c>
      <c r="N378">
        <v>0.1343</v>
      </c>
      <c r="O378">
        <v>1</v>
      </c>
      <c r="P378">
        <v>2</v>
      </c>
      <c r="Q378">
        <v>3</v>
      </c>
      <c r="R378" s="12" t="str">
        <f t="shared" si="25"/>
        <v>Mist/Cloudy</v>
      </c>
      <c r="S378" s="14" t="str">
        <f t="shared" si="26"/>
        <v>Winter</v>
      </c>
      <c r="T378" s="15" t="str">
        <f t="shared" si="27"/>
        <v>Monday</v>
      </c>
      <c r="U378" t="str">
        <f t="shared" si="28"/>
        <v>January</v>
      </c>
      <c r="V378" s="16" t="str">
        <f t="shared" si="29"/>
        <v>MODERATE</v>
      </c>
    </row>
    <row r="379" spans="1:22" x14ac:dyDescent="0.3">
      <c r="A379">
        <v>378</v>
      </c>
      <c r="B379" s="1">
        <v>40560</v>
      </c>
      <c r="C379">
        <v>1</v>
      </c>
      <c r="D379">
        <v>0</v>
      </c>
      <c r="E379">
        <v>1</v>
      </c>
      <c r="F379">
        <v>5</v>
      </c>
      <c r="G379" t="b">
        <f>IF(COUNTIF(AB$4:AB$20,Append1[[#This Row],[dteday]]) &gt; 0, TRUE, FALSE)</f>
        <v>0</v>
      </c>
      <c r="H379">
        <v>1</v>
      </c>
      <c r="I379">
        <v>2</v>
      </c>
      <c r="J379">
        <v>0.18</v>
      </c>
      <c r="K379">
        <f>Append1[[#This Row],[temp]]*100</f>
        <v>18</v>
      </c>
      <c r="L379">
        <v>0.19700000000000001</v>
      </c>
      <c r="M379">
        <v>0.43</v>
      </c>
      <c r="N379">
        <v>0.16420000000000001</v>
      </c>
      <c r="O379">
        <v>0</v>
      </c>
      <c r="P379">
        <v>1</v>
      </c>
      <c r="Q379">
        <v>1</v>
      </c>
      <c r="R379" s="12" t="str">
        <f t="shared" si="25"/>
        <v>Mist/Cloudy</v>
      </c>
      <c r="S379" s="14" t="str">
        <f t="shared" si="26"/>
        <v>Winter</v>
      </c>
      <c r="T379" s="15" t="str">
        <f t="shared" si="27"/>
        <v>Monday</v>
      </c>
      <c r="U379" t="str">
        <f t="shared" si="28"/>
        <v>January</v>
      </c>
      <c r="V379" s="16" t="str">
        <f t="shared" si="29"/>
        <v>MODERATE</v>
      </c>
    </row>
    <row r="380" spans="1:22" x14ac:dyDescent="0.3">
      <c r="A380">
        <v>379</v>
      </c>
      <c r="B380" s="1">
        <v>40560</v>
      </c>
      <c r="C380">
        <v>1</v>
      </c>
      <c r="D380">
        <v>0</v>
      </c>
      <c r="E380">
        <v>1</v>
      </c>
      <c r="F380">
        <v>6</v>
      </c>
      <c r="G380" t="b">
        <f>IF(COUNTIF(AB$4:AB$20,Append1[[#This Row],[dteday]]) &gt; 0, TRUE, FALSE)</f>
        <v>0</v>
      </c>
      <c r="H380">
        <v>1</v>
      </c>
      <c r="I380">
        <v>2</v>
      </c>
      <c r="J380">
        <v>0.18</v>
      </c>
      <c r="K380">
        <f>Append1[[#This Row],[temp]]*100</f>
        <v>18</v>
      </c>
      <c r="L380">
        <v>0.18179999999999999</v>
      </c>
      <c r="M380">
        <v>0.43</v>
      </c>
      <c r="N380">
        <v>0.19400000000000001</v>
      </c>
      <c r="O380">
        <v>0</v>
      </c>
      <c r="P380">
        <v>5</v>
      </c>
      <c r="Q380">
        <v>5</v>
      </c>
      <c r="R380" s="12" t="str">
        <f t="shared" si="25"/>
        <v>Mist/Cloudy</v>
      </c>
      <c r="S380" s="14" t="str">
        <f t="shared" si="26"/>
        <v>Winter</v>
      </c>
      <c r="T380" s="15" t="str">
        <f t="shared" si="27"/>
        <v>Monday</v>
      </c>
      <c r="U380" t="str">
        <f t="shared" si="28"/>
        <v>January</v>
      </c>
      <c r="V380" s="16" t="str">
        <f t="shared" si="29"/>
        <v>MODERATE</v>
      </c>
    </row>
    <row r="381" spans="1:22" x14ac:dyDescent="0.3">
      <c r="A381">
        <v>380</v>
      </c>
      <c r="B381" s="1">
        <v>40560</v>
      </c>
      <c r="C381">
        <v>1</v>
      </c>
      <c r="D381">
        <v>0</v>
      </c>
      <c r="E381">
        <v>1</v>
      </c>
      <c r="F381">
        <v>7</v>
      </c>
      <c r="G381" t="b">
        <f>IF(COUNTIF(AB$4:AB$20,Append1[[#This Row],[dteday]]) &gt; 0, TRUE, FALSE)</f>
        <v>0</v>
      </c>
      <c r="H381">
        <v>1</v>
      </c>
      <c r="I381">
        <v>2</v>
      </c>
      <c r="J381">
        <v>0.16</v>
      </c>
      <c r="K381">
        <f>Append1[[#This Row],[temp]]*100</f>
        <v>16</v>
      </c>
      <c r="L381">
        <v>0.18179999999999999</v>
      </c>
      <c r="M381">
        <v>0.5</v>
      </c>
      <c r="N381">
        <v>0.1343</v>
      </c>
      <c r="O381">
        <v>4</v>
      </c>
      <c r="P381">
        <v>9</v>
      </c>
      <c r="Q381">
        <v>13</v>
      </c>
      <c r="R381" s="12" t="str">
        <f t="shared" si="25"/>
        <v>Mist/Cloudy</v>
      </c>
      <c r="S381" s="14" t="str">
        <f t="shared" si="26"/>
        <v>Winter</v>
      </c>
      <c r="T381" s="15" t="str">
        <f t="shared" si="27"/>
        <v>Monday</v>
      </c>
      <c r="U381" t="str">
        <f t="shared" si="28"/>
        <v>January</v>
      </c>
      <c r="V381" s="16" t="str">
        <f t="shared" si="29"/>
        <v>MODERATE</v>
      </c>
    </row>
    <row r="382" spans="1:22" x14ac:dyDescent="0.3">
      <c r="A382">
        <v>381</v>
      </c>
      <c r="B382" s="1">
        <v>40560</v>
      </c>
      <c r="C382">
        <v>1</v>
      </c>
      <c r="D382">
        <v>0</v>
      </c>
      <c r="E382">
        <v>1</v>
      </c>
      <c r="F382">
        <v>8</v>
      </c>
      <c r="G382" t="b">
        <f>IF(COUNTIF(AB$4:AB$20,Append1[[#This Row],[dteday]]) &gt; 0, TRUE, FALSE)</f>
        <v>0</v>
      </c>
      <c r="H382">
        <v>1</v>
      </c>
      <c r="I382">
        <v>2</v>
      </c>
      <c r="J382">
        <v>0.16</v>
      </c>
      <c r="K382">
        <f>Append1[[#This Row],[temp]]*100</f>
        <v>16</v>
      </c>
      <c r="L382">
        <v>0.1515</v>
      </c>
      <c r="M382">
        <v>0.47</v>
      </c>
      <c r="N382">
        <v>0.22389999999999999</v>
      </c>
      <c r="O382">
        <v>3</v>
      </c>
      <c r="P382">
        <v>30</v>
      </c>
      <c r="Q382">
        <v>33</v>
      </c>
      <c r="R382" s="12" t="str">
        <f t="shared" si="25"/>
        <v>Mist/Cloudy</v>
      </c>
      <c r="S382" s="14" t="str">
        <f t="shared" si="26"/>
        <v>Winter</v>
      </c>
      <c r="T382" s="15" t="str">
        <f t="shared" si="27"/>
        <v>Monday</v>
      </c>
      <c r="U382" t="str">
        <f t="shared" si="28"/>
        <v>January</v>
      </c>
      <c r="V382" s="16" t="str">
        <f t="shared" si="29"/>
        <v>MODERATE</v>
      </c>
    </row>
    <row r="383" spans="1:22" x14ac:dyDescent="0.3">
      <c r="A383">
        <v>382</v>
      </c>
      <c r="B383" s="1">
        <v>40560</v>
      </c>
      <c r="C383">
        <v>1</v>
      </c>
      <c r="D383">
        <v>0</v>
      </c>
      <c r="E383">
        <v>1</v>
      </c>
      <c r="F383">
        <v>9</v>
      </c>
      <c r="G383" t="b">
        <f>IF(COUNTIF(AB$4:AB$20,Append1[[#This Row],[dteday]]) &gt; 0, TRUE, FALSE)</f>
        <v>0</v>
      </c>
      <c r="H383">
        <v>1</v>
      </c>
      <c r="I383">
        <v>2</v>
      </c>
      <c r="J383">
        <v>0.16</v>
      </c>
      <c r="K383">
        <f>Append1[[#This Row],[temp]]*100</f>
        <v>16</v>
      </c>
      <c r="L383">
        <v>0.1515</v>
      </c>
      <c r="M383">
        <v>0.47</v>
      </c>
      <c r="N383">
        <v>0.22389999999999999</v>
      </c>
      <c r="O383">
        <v>8</v>
      </c>
      <c r="P383">
        <v>39</v>
      </c>
      <c r="Q383">
        <v>47</v>
      </c>
      <c r="R383" s="12" t="str">
        <f t="shared" si="25"/>
        <v>Mist/Cloudy</v>
      </c>
      <c r="S383" s="14" t="str">
        <f t="shared" si="26"/>
        <v>Winter</v>
      </c>
      <c r="T383" s="15" t="str">
        <f t="shared" si="27"/>
        <v>Monday</v>
      </c>
      <c r="U383" t="str">
        <f t="shared" si="28"/>
        <v>January</v>
      </c>
      <c r="V383" s="16" t="str">
        <f t="shared" si="29"/>
        <v>MODERATE</v>
      </c>
    </row>
    <row r="384" spans="1:22" x14ac:dyDescent="0.3">
      <c r="A384">
        <v>383</v>
      </c>
      <c r="B384" s="1">
        <v>40560</v>
      </c>
      <c r="C384">
        <v>1</v>
      </c>
      <c r="D384">
        <v>0</v>
      </c>
      <c r="E384">
        <v>1</v>
      </c>
      <c r="F384">
        <v>10</v>
      </c>
      <c r="G384" t="b">
        <f>IF(COUNTIF(AB$4:AB$20,Append1[[#This Row],[dteday]]) &gt; 0, TRUE, FALSE)</f>
        <v>0</v>
      </c>
      <c r="H384">
        <v>1</v>
      </c>
      <c r="I384">
        <v>2</v>
      </c>
      <c r="J384">
        <v>0.16</v>
      </c>
      <c r="K384">
        <f>Append1[[#This Row],[temp]]*100</f>
        <v>16</v>
      </c>
      <c r="L384">
        <v>0.1515</v>
      </c>
      <c r="M384">
        <v>0.5</v>
      </c>
      <c r="N384">
        <v>0.25369999999999998</v>
      </c>
      <c r="O384">
        <v>7</v>
      </c>
      <c r="P384">
        <v>50</v>
      </c>
      <c r="Q384">
        <v>57</v>
      </c>
      <c r="R384" s="12" t="str">
        <f t="shared" si="25"/>
        <v>Mist/Cloudy</v>
      </c>
      <c r="S384" s="14" t="str">
        <f t="shared" si="26"/>
        <v>Winter</v>
      </c>
      <c r="T384" s="15" t="str">
        <f t="shared" si="27"/>
        <v>Monday</v>
      </c>
      <c r="U384" t="str">
        <f t="shared" si="28"/>
        <v>January</v>
      </c>
      <c r="V384" s="16" t="str">
        <f t="shared" si="29"/>
        <v>MODERATE</v>
      </c>
    </row>
    <row r="385" spans="1:22" x14ac:dyDescent="0.3">
      <c r="A385">
        <v>384</v>
      </c>
      <c r="B385" s="1">
        <v>40560</v>
      </c>
      <c r="C385">
        <v>1</v>
      </c>
      <c r="D385">
        <v>0</v>
      </c>
      <c r="E385">
        <v>1</v>
      </c>
      <c r="F385">
        <v>11</v>
      </c>
      <c r="G385" t="b">
        <f>IF(COUNTIF(AB$4:AB$20,Append1[[#This Row],[dteday]]) &gt; 0, TRUE, FALSE)</f>
        <v>0</v>
      </c>
      <c r="H385">
        <v>1</v>
      </c>
      <c r="I385">
        <v>2</v>
      </c>
      <c r="J385">
        <v>0.16</v>
      </c>
      <c r="K385">
        <f>Append1[[#This Row],[temp]]*100</f>
        <v>16</v>
      </c>
      <c r="L385">
        <v>0.1515</v>
      </c>
      <c r="M385">
        <v>0.55000000000000004</v>
      </c>
      <c r="N385">
        <v>0.19400000000000001</v>
      </c>
      <c r="O385">
        <v>9</v>
      </c>
      <c r="P385">
        <v>55</v>
      </c>
      <c r="Q385">
        <v>64</v>
      </c>
      <c r="R385" s="12" t="str">
        <f t="shared" si="25"/>
        <v>Mist/Cloudy</v>
      </c>
      <c r="S385" s="14" t="str">
        <f t="shared" si="26"/>
        <v>Winter</v>
      </c>
      <c r="T385" s="15" t="str">
        <f t="shared" si="27"/>
        <v>Monday</v>
      </c>
      <c r="U385" t="str">
        <f t="shared" si="28"/>
        <v>January</v>
      </c>
      <c r="V385" s="16" t="str">
        <f t="shared" si="29"/>
        <v>MODERATE</v>
      </c>
    </row>
    <row r="386" spans="1:22" x14ac:dyDescent="0.3">
      <c r="A386">
        <v>385</v>
      </c>
      <c r="B386" s="1">
        <v>40560</v>
      </c>
      <c r="C386">
        <v>1</v>
      </c>
      <c r="D386">
        <v>0</v>
      </c>
      <c r="E386">
        <v>1</v>
      </c>
      <c r="F386">
        <v>12</v>
      </c>
      <c r="G386" t="b">
        <f>IF(COUNTIF(AB$4:AB$20,Append1[[#This Row],[dteday]]) &gt; 0, TRUE, FALSE)</f>
        <v>0</v>
      </c>
      <c r="H386">
        <v>1</v>
      </c>
      <c r="I386">
        <v>2</v>
      </c>
      <c r="J386">
        <v>0.18</v>
      </c>
      <c r="K386">
        <f>Append1[[#This Row],[temp]]*100</f>
        <v>18</v>
      </c>
      <c r="L386">
        <v>0.19700000000000001</v>
      </c>
      <c r="M386">
        <v>0.47</v>
      </c>
      <c r="N386">
        <v>0.1343</v>
      </c>
      <c r="O386">
        <v>10</v>
      </c>
      <c r="P386">
        <v>70</v>
      </c>
      <c r="Q386">
        <v>80</v>
      </c>
      <c r="R386" s="12" t="str">
        <f t="shared" ref="R386:R449" si="30">_xlfn.IFS(I386=1,"Clear/Few Clouds",I386=2,"Mist/Cloudy",I386=3,"Light Rain/Snow",I386=4,"Heavy Rain/Snow")</f>
        <v>Mist/Cloudy</v>
      </c>
      <c r="S386" s="14" t="str">
        <f t="shared" ref="S386:S449" si="31">_xlfn.IFS(C386=1,"Winter",C386=2,"Spring",C386=3,"Summer",C386=4,"Autumn")</f>
        <v>Winter</v>
      </c>
      <c r="T386" s="15" t="str">
        <f t="shared" ref="T386:T449" si="32">TEXT(B386,"dddd")</f>
        <v>Monday</v>
      </c>
      <c r="U386" t="str">
        <f t="shared" ref="U386:U449" si="33">TEXT(B386,"mmmm")</f>
        <v>January</v>
      </c>
      <c r="V386" s="16" t="str">
        <f t="shared" ref="V386:V449" si="34">_xlfn.IFS(I386=1,"GOOD",I386=2,"MODERATE",I386=3,"BAD",I386=4,"WORSE")</f>
        <v>MODERATE</v>
      </c>
    </row>
    <row r="387" spans="1:22" x14ac:dyDescent="0.3">
      <c r="A387">
        <v>386</v>
      </c>
      <c r="B387" s="1">
        <v>40560</v>
      </c>
      <c r="C387">
        <v>1</v>
      </c>
      <c r="D387">
        <v>0</v>
      </c>
      <c r="E387">
        <v>1</v>
      </c>
      <c r="F387">
        <v>13</v>
      </c>
      <c r="G387" t="b">
        <f>IF(COUNTIF(AB$4:AB$20,Append1[[#This Row],[dteday]]) &gt; 0, TRUE, FALSE)</f>
        <v>0</v>
      </c>
      <c r="H387">
        <v>1</v>
      </c>
      <c r="I387">
        <v>2</v>
      </c>
      <c r="J387">
        <v>0.18</v>
      </c>
      <c r="K387">
        <f>Append1[[#This Row],[temp]]*100</f>
        <v>18</v>
      </c>
      <c r="L387">
        <v>0.19700000000000001</v>
      </c>
      <c r="M387">
        <v>0.47</v>
      </c>
      <c r="N387">
        <v>0.1343</v>
      </c>
      <c r="O387">
        <v>13</v>
      </c>
      <c r="P387">
        <v>80</v>
      </c>
      <c r="Q387">
        <v>93</v>
      </c>
      <c r="R387" s="12" t="str">
        <f t="shared" si="30"/>
        <v>Mist/Cloudy</v>
      </c>
      <c r="S387" s="14" t="str">
        <f t="shared" si="31"/>
        <v>Winter</v>
      </c>
      <c r="T387" s="15" t="str">
        <f t="shared" si="32"/>
        <v>Monday</v>
      </c>
      <c r="U387" t="str">
        <f t="shared" si="33"/>
        <v>January</v>
      </c>
      <c r="V387" s="16" t="str">
        <f t="shared" si="34"/>
        <v>MODERATE</v>
      </c>
    </row>
    <row r="388" spans="1:22" x14ac:dyDescent="0.3">
      <c r="A388">
        <v>387</v>
      </c>
      <c r="B388" s="1">
        <v>40560</v>
      </c>
      <c r="C388">
        <v>1</v>
      </c>
      <c r="D388">
        <v>0</v>
      </c>
      <c r="E388">
        <v>1</v>
      </c>
      <c r="F388">
        <v>14</v>
      </c>
      <c r="G388" t="b">
        <f>IF(COUNTIF(AB$4:AB$20,Append1[[#This Row],[dteday]]) &gt; 0, TRUE, FALSE)</f>
        <v>0</v>
      </c>
      <c r="H388">
        <v>1</v>
      </c>
      <c r="I388">
        <v>2</v>
      </c>
      <c r="J388">
        <v>0.18</v>
      </c>
      <c r="K388">
        <f>Append1[[#This Row],[temp]]*100</f>
        <v>18</v>
      </c>
      <c r="L388">
        <v>0.21210000000000001</v>
      </c>
      <c r="M388">
        <v>0.43</v>
      </c>
      <c r="N388">
        <v>0.1045</v>
      </c>
      <c r="O388">
        <v>12</v>
      </c>
      <c r="P388">
        <v>74</v>
      </c>
      <c r="Q388">
        <v>86</v>
      </c>
      <c r="R388" s="12" t="str">
        <f t="shared" si="30"/>
        <v>Mist/Cloudy</v>
      </c>
      <c r="S388" s="14" t="str">
        <f t="shared" si="31"/>
        <v>Winter</v>
      </c>
      <c r="T388" s="15" t="str">
        <f t="shared" si="32"/>
        <v>Monday</v>
      </c>
      <c r="U388" t="str">
        <f t="shared" si="33"/>
        <v>January</v>
      </c>
      <c r="V388" s="16" t="str">
        <f t="shared" si="34"/>
        <v>MODERATE</v>
      </c>
    </row>
    <row r="389" spans="1:22" x14ac:dyDescent="0.3">
      <c r="A389">
        <v>388</v>
      </c>
      <c r="B389" s="1">
        <v>40560</v>
      </c>
      <c r="C389">
        <v>1</v>
      </c>
      <c r="D389">
        <v>0</v>
      </c>
      <c r="E389">
        <v>1</v>
      </c>
      <c r="F389">
        <v>15</v>
      </c>
      <c r="G389" t="b">
        <f>IF(COUNTIF(AB$4:AB$20,Append1[[#This Row],[dteday]]) &gt; 0, TRUE, FALSE)</f>
        <v>0</v>
      </c>
      <c r="H389">
        <v>1</v>
      </c>
      <c r="I389">
        <v>2</v>
      </c>
      <c r="J389">
        <v>0.2</v>
      </c>
      <c r="K389">
        <f>Append1[[#This Row],[temp]]*100</f>
        <v>20</v>
      </c>
      <c r="L389">
        <v>0.21210000000000001</v>
      </c>
      <c r="M389">
        <v>0.47</v>
      </c>
      <c r="N389">
        <v>0.16420000000000001</v>
      </c>
      <c r="O389">
        <v>21</v>
      </c>
      <c r="P389">
        <v>72</v>
      </c>
      <c r="Q389">
        <v>93</v>
      </c>
      <c r="R389" s="12" t="str">
        <f t="shared" si="30"/>
        <v>Mist/Cloudy</v>
      </c>
      <c r="S389" s="14" t="str">
        <f t="shared" si="31"/>
        <v>Winter</v>
      </c>
      <c r="T389" s="15" t="str">
        <f t="shared" si="32"/>
        <v>Monday</v>
      </c>
      <c r="U389" t="str">
        <f t="shared" si="33"/>
        <v>January</v>
      </c>
      <c r="V389" s="16" t="str">
        <f t="shared" si="34"/>
        <v>MODERATE</v>
      </c>
    </row>
    <row r="390" spans="1:22" x14ac:dyDescent="0.3">
      <c r="A390">
        <v>389</v>
      </c>
      <c r="B390" s="1">
        <v>40560</v>
      </c>
      <c r="C390">
        <v>1</v>
      </c>
      <c r="D390">
        <v>0</v>
      </c>
      <c r="E390">
        <v>1</v>
      </c>
      <c r="F390">
        <v>16</v>
      </c>
      <c r="G390" t="b">
        <f>IF(COUNTIF(AB$4:AB$20,Append1[[#This Row],[dteday]]) &gt; 0, TRUE, FALSE)</f>
        <v>0</v>
      </c>
      <c r="H390">
        <v>1</v>
      </c>
      <c r="I390">
        <v>2</v>
      </c>
      <c r="J390">
        <v>0.2</v>
      </c>
      <c r="K390">
        <f>Append1[[#This Row],[temp]]*100</f>
        <v>20</v>
      </c>
      <c r="L390">
        <v>0.21210000000000001</v>
      </c>
      <c r="M390">
        <v>0.47</v>
      </c>
      <c r="N390">
        <v>0.16420000000000001</v>
      </c>
      <c r="O390">
        <v>6</v>
      </c>
      <c r="P390">
        <v>76</v>
      </c>
      <c r="Q390">
        <v>82</v>
      </c>
      <c r="R390" s="12" t="str">
        <f t="shared" si="30"/>
        <v>Mist/Cloudy</v>
      </c>
      <c r="S390" s="14" t="str">
        <f t="shared" si="31"/>
        <v>Winter</v>
      </c>
      <c r="T390" s="15" t="str">
        <f t="shared" si="32"/>
        <v>Monday</v>
      </c>
      <c r="U390" t="str">
        <f t="shared" si="33"/>
        <v>January</v>
      </c>
      <c r="V390" s="16" t="str">
        <f t="shared" si="34"/>
        <v>MODERATE</v>
      </c>
    </row>
    <row r="391" spans="1:22" x14ac:dyDescent="0.3">
      <c r="A391">
        <v>390</v>
      </c>
      <c r="B391" s="1">
        <v>40560</v>
      </c>
      <c r="C391">
        <v>1</v>
      </c>
      <c r="D391">
        <v>0</v>
      </c>
      <c r="E391">
        <v>1</v>
      </c>
      <c r="F391">
        <v>17</v>
      </c>
      <c r="G391" t="b">
        <f>IF(COUNTIF(AB$4:AB$20,Append1[[#This Row],[dteday]]) &gt; 0, TRUE, FALSE)</f>
        <v>0</v>
      </c>
      <c r="H391">
        <v>1</v>
      </c>
      <c r="I391">
        <v>1</v>
      </c>
      <c r="J391">
        <v>0.2</v>
      </c>
      <c r="K391">
        <f>Append1[[#This Row],[temp]]*100</f>
        <v>20</v>
      </c>
      <c r="L391">
        <v>0.19700000000000001</v>
      </c>
      <c r="M391">
        <v>0.51</v>
      </c>
      <c r="N391">
        <v>0.19400000000000001</v>
      </c>
      <c r="O391">
        <v>4</v>
      </c>
      <c r="P391">
        <v>67</v>
      </c>
      <c r="Q391">
        <v>71</v>
      </c>
      <c r="R391" s="12" t="str">
        <f t="shared" si="30"/>
        <v>Clear/Few Clouds</v>
      </c>
      <c r="S391" s="14" t="str">
        <f t="shared" si="31"/>
        <v>Winter</v>
      </c>
      <c r="T391" s="15" t="str">
        <f t="shared" si="32"/>
        <v>Monday</v>
      </c>
      <c r="U391" t="str">
        <f t="shared" si="33"/>
        <v>January</v>
      </c>
      <c r="V391" s="16" t="str">
        <f t="shared" si="34"/>
        <v>GOOD</v>
      </c>
    </row>
    <row r="392" spans="1:22" x14ac:dyDescent="0.3">
      <c r="A392">
        <v>391</v>
      </c>
      <c r="B392" s="1">
        <v>40560</v>
      </c>
      <c r="C392">
        <v>1</v>
      </c>
      <c r="D392">
        <v>0</v>
      </c>
      <c r="E392">
        <v>1</v>
      </c>
      <c r="F392">
        <v>18</v>
      </c>
      <c r="G392" t="b">
        <f>IF(COUNTIF(AB$4:AB$20,Append1[[#This Row],[dteday]]) &gt; 0, TRUE, FALSE)</f>
        <v>0</v>
      </c>
      <c r="H392">
        <v>1</v>
      </c>
      <c r="I392">
        <v>2</v>
      </c>
      <c r="J392">
        <v>0.18</v>
      </c>
      <c r="K392">
        <f>Append1[[#This Row],[temp]]*100</f>
        <v>18</v>
      </c>
      <c r="L392">
        <v>0.16669999999999999</v>
      </c>
      <c r="M392">
        <v>0.55000000000000004</v>
      </c>
      <c r="N392">
        <v>0.25369999999999998</v>
      </c>
      <c r="O392">
        <v>7</v>
      </c>
      <c r="P392">
        <v>85</v>
      </c>
      <c r="Q392">
        <v>92</v>
      </c>
      <c r="R392" s="12" t="str">
        <f t="shared" si="30"/>
        <v>Mist/Cloudy</v>
      </c>
      <c r="S392" s="14" t="str">
        <f t="shared" si="31"/>
        <v>Winter</v>
      </c>
      <c r="T392" s="15" t="str">
        <f t="shared" si="32"/>
        <v>Monday</v>
      </c>
      <c r="U392" t="str">
        <f t="shared" si="33"/>
        <v>January</v>
      </c>
      <c r="V392" s="16" t="str">
        <f t="shared" si="34"/>
        <v>MODERATE</v>
      </c>
    </row>
    <row r="393" spans="1:22" x14ac:dyDescent="0.3">
      <c r="A393">
        <v>392</v>
      </c>
      <c r="B393" s="1">
        <v>40560</v>
      </c>
      <c r="C393">
        <v>1</v>
      </c>
      <c r="D393">
        <v>0</v>
      </c>
      <c r="E393">
        <v>1</v>
      </c>
      <c r="F393">
        <v>19</v>
      </c>
      <c r="G393" t="b">
        <f>IF(COUNTIF(AB$4:AB$20,Append1[[#This Row],[dteday]]) &gt; 0, TRUE, FALSE)</f>
        <v>0</v>
      </c>
      <c r="H393">
        <v>1</v>
      </c>
      <c r="I393">
        <v>3</v>
      </c>
      <c r="J393">
        <v>0.18</v>
      </c>
      <c r="K393">
        <f>Append1[[#This Row],[temp]]*100</f>
        <v>18</v>
      </c>
      <c r="L393">
        <v>0.18179999999999999</v>
      </c>
      <c r="M393">
        <v>0.59</v>
      </c>
      <c r="N393">
        <v>0.19400000000000001</v>
      </c>
      <c r="O393">
        <v>2</v>
      </c>
      <c r="P393">
        <v>58</v>
      </c>
      <c r="Q393">
        <v>60</v>
      </c>
      <c r="R393" s="12" t="str">
        <f t="shared" si="30"/>
        <v>Light Rain/Snow</v>
      </c>
      <c r="S393" s="14" t="str">
        <f t="shared" si="31"/>
        <v>Winter</v>
      </c>
      <c r="T393" s="15" t="str">
        <f t="shared" si="32"/>
        <v>Monday</v>
      </c>
      <c r="U393" t="str">
        <f t="shared" si="33"/>
        <v>January</v>
      </c>
      <c r="V393" s="16" t="str">
        <f t="shared" si="34"/>
        <v>BAD</v>
      </c>
    </row>
    <row r="394" spans="1:22" x14ac:dyDescent="0.3">
      <c r="A394">
        <v>393</v>
      </c>
      <c r="B394" s="1">
        <v>40560</v>
      </c>
      <c r="C394">
        <v>1</v>
      </c>
      <c r="D394">
        <v>0</v>
      </c>
      <c r="E394">
        <v>1</v>
      </c>
      <c r="F394">
        <v>20</v>
      </c>
      <c r="G394" t="b">
        <f>IF(COUNTIF(AB$4:AB$20,Append1[[#This Row],[dteday]]) &gt; 0, TRUE, FALSE)</f>
        <v>0</v>
      </c>
      <c r="H394">
        <v>1</v>
      </c>
      <c r="I394">
        <v>3</v>
      </c>
      <c r="J394">
        <v>0.16</v>
      </c>
      <c r="K394">
        <f>Append1[[#This Row],[temp]]*100</f>
        <v>16</v>
      </c>
      <c r="L394">
        <v>0.1515</v>
      </c>
      <c r="M394">
        <v>0.8</v>
      </c>
      <c r="N394">
        <v>0.19400000000000001</v>
      </c>
      <c r="O394">
        <v>4</v>
      </c>
      <c r="P394">
        <v>29</v>
      </c>
      <c r="Q394">
        <v>33</v>
      </c>
      <c r="R394" s="12" t="str">
        <f t="shared" si="30"/>
        <v>Light Rain/Snow</v>
      </c>
      <c r="S394" s="14" t="str">
        <f t="shared" si="31"/>
        <v>Winter</v>
      </c>
      <c r="T394" s="15" t="str">
        <f t="shared" si="32"/>
        <v>Monday</v>
      </c>
      <c r="U394" t="str">
        <f t="shared" si="33"/>
        <v>January</v>
      </c>
      <c r="V394" s="16" t="str">
        <f t="shared" si="34"/>
        <v>BAD</v>
      </c>
    </row>
    <row r="395" spans="1:22" x14ac:dyDescent="0.3">
      <c r="A395">
        <v>394</v>
      </c>
      <c r="B395" s="1">
        <v>40560</v>
      </c>
      <c r="C395">
        <v>1</v>
      </c>
      <c r="D395">
        <v>0</v>
      </c>
      <c r="E395">
        <v>1</v>
      </c>
      <c r="F395">
        <v>21</v>
      </c>
      <c r="G395" t="b">
        <f>IF(COUNTIF(AB$4:AB$20,Append1[[#This Row],[dteday]]) &gt; 0, TRUE, FALSE)</f>
        <v>0</v>
      </c>
      <c r="H395">
        <v>1</v>
      </c>
      <c r="I395">
        <v>3</v>
      </c>
      <c r="J395">
        <v>0.16</v>
      </c>
      <c r="K395">
        <f>Append1[[#This Row],[temp]]*100</f>
        <v>16</v>
      </c>
      <c r="L395">
        <v>0.1515</v>
      </c>
      <c r="M395">
        <v>0.8</v>
      </c>
      <c r="N395">
        <v>0.19400000000000001</v>
      </c>
      <c r="O395">
        <v>3</v>
      </c>
      <c r="P395">
        <v>24</v>
      </c>
      <c r="Q395">
        <v>27</v>
      </c>
      <c r="R395" s="12" t="str">
        <f t="shared" si="30"/>
        <v>Light Rain/Snow</v>
      </c>
      <c r="S395" s="14" t="str">
        <f t="shared" si="31"/>
        <v>Winter</v>
      </c>
      <c r="T395" s="15" t="str">
        <f t="shared" si="32"/>
        <v>Monday</v>
      </c>
      <c r="U395" t="str">
        <f t="shared" si="33"/>
        <v>January</v>
      </c>
      <c r="V395" s="16" t="str">
        <f t="shared" si="34"/>
        <v>BAD</v>
      </c>
    </row>
    <row r="396" spans="1:22" x14ac:dyDescent="0.3">
      <c r="A396">
        <v>395</v>
      </c>
      <c r="B396" s="1">
        <v>40560</v>
      </c>
      <c r="C396">
        <v>1</v>
      </c>
      <c r="D396">
        <v>0</v>
      </c>
      <c r="E396">
        <v>1</v>
      </c>
      <c r="F396">
        <v>22</v>
      </c>
      <c r="G396" t="b">
        <f>IF(COUNTIF(AB$4:AB$20,Append1[[#This Row],[dteday]]) &gt; 0, TRUE, FALSE)</f>
        <v>0</v>
      </c>
      <c r="H396">
        <v>1</v>
      </c>
      <c r="I396">
        <v>3</v>
      </c>
      <c r="J396">
        <v>0.14000000000000001</v>
      </c>
      <c r="K396">
        <f>Append1[[#This Row],[temp]]*100</f>
        <v>14.000000000000002</v>
      </c>
      <c r="L396">
        <v>0.1212</v>
      </c>
      <c r="M396">
        <v>0.93</v>
      </c>
      <c r="N396">
        <v>0.25369999999999998</v>
      </c>
      <c r="O396">
        <v>0</v>
      </c>
      <c r="P396">
        <v>13</v>
      </c>
      <c r="Q396">
        <v>13</v>
      </c>
      <c r="R396" s="12" t="str">
        <f t="shared" si="30"/>
        <v>Light Rain/Snow</v>
      </c>
      <c r="S396" s="14" t="str">
        <f t="shared" si="31"/>
        <v>Winter</v>
      </c>
      <c r="T396" s="15" t="str">
        <f t="shared" si="32"/>
        <v>Monday</v>
      </c>
      <c r="U396" t="str">
        <f t="shared" si="33"/>
        <v>January</v>
      </c>
      <c r="V396" s="16" t="str">
        <f t="shared" si="34"/>
        <v>BAD</v>
      </c>
    </row>
    <row r="397" spans="1:22" x14ac:dyDescent="0.3">
      <c r="A397">
        <v>396</v>
      </c>
      <c r="B397" s="1">
        <v>40560</v>
      </c>
      <c r="C397">
        <v>1</v>
      </c>
      <c r="D397">
        <v>0</v>
      </c>
      <c r="E397">
        <v>1</v>
      </c>
      <c r="F397">
        <v>23</v>
      </c>
      <c r="G397" t="b">
        <f>IF(COUNTIF(AB$4:AB$20,Append1[[#This Row],[dteday]]) &gt; 0, TRUE, FALSE)</f>
        <v>0</v>
      </c>
      <c r="H397">
        <v>1</v>
      </c>
      <c r="I397">
        <v>3</v>
      </c>
      <c r="J397">
        <v>0.16</v>
      </c>
      <c r="K397">
        <f>Append1[[#This Row],[temp]]*100</f>
        <v>16</v>
      </c>
      <c r="L397">
        <v>0.13639999999999999</v>
      </c>
      <c r="M397">
        <v>0.86</v>
      </c>
      <c r="N397">
        <v>0.28360000000000002</v>
      </c>
      <c r="O397">
        <v>1</v>
      </c>
      <c r="P397">
        <v>3</v>
      </c>
      <c r="Q397">
        <v>4</v>
      </c>
      <c r="R397" s="12" t="str">
        <f t="shared" si="30"/>
        <v>Light Rain/Snow</v>
      </c>
      <c r="S397" s="14" t="str">
        <f t="shared" si="31"/>
        <v>Winter</v>
      </c>
      <c r="T397" s="15" t="str">
        <f t="shared" si="32"/>
        <v>Monday</v>
      </c>
      <c r="U397" t="str">
        <f t="shared" si="33"/>
        <v>January</v>
      </c>
      <c r="V397" s="16" t="str">
        <f t="shared" si="34"/>
        <v>BAD</v>
      </c>
    </row>
    <row r="398" spans="1:22" x14ac:dyDescent="0.3">
      <c r="A398">
        <v>397</v>
      </c>
      <c r="B398" s="1">
        <v>40561</v>
      </c>
      <c r="C398">
        <v>1</v>
      </c>
      <c r="D398">
        <v>0</v>
      </c>
      <c r="E398">
        <v>1</v>
      </c>
      <c r="F398">
        <v>12</v>
      </c>
      <c r="G398" t="b">
        <f>IF(COUNTIF(AB$4:AB$20,Append1[[#This Row],[dteday]]) &gt; 0, TRUE, FALSE)</f>
        <v>0</v>
      </c>
      <c r="H398">
        <v>2</v>
      </c>
      <c r="I398">
        <v>2</v>
      </c>
      <c r="J398">
        <v>0.2</v>
      </c>
      <c r="K398">
        <f>Append1[[#This Row],[temp]]*100</f>
        <v>20</v>
      </c>
      <c r="L398">
        <v>0.18179999999999999</v>
      </c>
      <c r="M398">
        <v>0.86</v>
      </c>
      <c r="N398">
        <v>0.32840000000000003</v>
      </c>
      <c r="O398">
        <v>0</v>
      </c>
      <c r="P398">
        <v>3</v>
      </c>
      <c r="Q398">
        <v>3</v>
      </c>
      <c r="R398" s="12" t="str">
        <f t="shared" si="30"/>
        <v>Mist/Cloudy</v>
      </c>
      <c r="S398" s="14" t="str">
        <f t="shared" si="31"/>
        <v>Winter</v>
      </c>
      <c r="T398" s="15" t="str">
        <f t="shared" si="32"/>
        <v>Tuesday</v>
      </c>
      <c r="U398" t="str">
        <f t="shared" si="33"/>
        <v>January</v>
      </c>
      <c r="V398" s="16" t="str">
        <f t="shared" si="34"/>
        <v>MODERATE</v>
      </c>
    </row>
    <row r="399" spans="1:22" x14ac:dyDescent="0.3">
      <c r="A399">
        <v>398</v>
      </c>
      <c r="B399" s="1">
        <v>40561</v>
      </c>
      <c r="C399">
        <v>1</v>
      </c>
      <c r="D399">
        <v>0</v>
      </c>
      <c r="E399">
        <v>1</v>
      </c>
      <c r="F399">
        <v>13</v>
      </c>
      <c r="G399" t="b">
        <f>IF(COUNTIF(AB$4:AB$20,Append1[[#This Row],[dteday]]) &gt; 0, TRUE, FALSE)</f>
        <v>0</v>
      </c>
      <c r="H399">
        <v>2</v>
      </c>
      <c r="I399">
        <v>2</v>
      </c>
      <c r="J399">
        <v>0.2</v>
      </c>
      <c r="K399">
        <f>Append1[[#This Row],[temp]]*100</f>
        <v>20</v>
      </c>
      <c r="L399">
        <v>0.19700000000000001</v>
      </c>
      <c r="M399">
        <v>0.86</v>
      </c>
      <c r="N399">
        <v>0.22389999999999999</v>
      </c>
      <c r="O399">
        <v>0</v>
      </c>
      <c r="P399">
        <v>22</v>
      </c>
      <c r="Q399">
        <v>22</v>
      </c>
      <c r="R399" s="12" t="str">
        <f t="shared" si="30"/>
        <v>Mist/Cloudy</v>
      </c>
      <c r="S399" s="14" t="str">
        <f t="shared" si="31"/>
        <v>Winter</v>
      </c>
      <c r="T399" s="15" t="str">
        <f t="shared" si="32"/>
        <v>Tuesday</v>
      </c>
      <c r="U399" t="str">
        <f t="shared" si="33"/>
        <v>January</v>
      </c>
      <c r="V399" s="16" t="str">
        <f t="shared" si="34"/>
        <v>MODERATE</v>
      </c>
    </row>
    <row r="400" spans="1:22" x14ac:dyDescent="0.3">
      <c r="A400">
        <v>399</v>
      </c>
      <c r="B400" s="1">
        <v>40561</v>
      </c>
      <c r="C400">
        <v>1</v>
      </c>
      <c r="D400">
        <v>0</v>
      </c>
      <c r="E400">
        <v>1</v>
      </c>
      <c r="F400">
        <v>14</v>
      </c>
      <c r="G400" t="b">
        <f>IF(COUNTIF(AB$4:AB$20,Append1[[#This Row],[dteday]]) &gt; 0, TRUE, FALSE)</f>
        <v>0</v>
      </c>
      <c r="H400">
        <v>2</v>
      </c>
      <c r="I400">
        <v>2</v>
      </c>
      <c r="J400">
        <v>0.22</v>
      </c>
      <c r="K400">
        <f>Append1[[#This Row],[temp]]*100</f>
        <v>22</v>
      </c>
      <c r="L400">
        <v>0.2273</v>
      </c>
      <c r="M400">
        <v>0.8</v>
      </c>
      <c r="N400">
        <v>0.16420000000000001</v>
      </c>
      <c r="O400">
        <v>2</v>
      </c>
      <c r="P400">
        <v>26</v>
      </c>
      <c r="Q400">
        <v>28</v>
      </c>
      <c r="R400" s="12" t="str">
        <f t="shared" si="30"/>
        <v>Mist/Cloudy</v>
      </c>
      <c r="S400" s="14" t="str">
        <f t="shared" si="31"/>
        <v>Winter</v>
      </c>
      <c r="T400" s="15" t="str">
        <f t="shared" si="32"/>
        <v>Tuesday</v>
      </c>
      <c r="U400" t="str">
        <f t="shared" si="33"/>
        <v>January</v>
      </c>
      <c r="V400" s="16" t="str">
        <f t="shared" si="34"/>
        <v>MODERATE</v>
      </c>
    </row>
    <row r="401" spans="1:22" x14ac:dyDescent="0.3">
      <c r="A401">
        <v>400</v>
      </c>
      <c r="B401" s="1">
        <v>40561</v>
      </c>
      <c r="C401">
        <v>1</v>
      </c>
      <c r="D401">
        <v>0</v>
      </c>
      <c r="E401">
        <v>1</v>
      </c>
      <c r="F401">
        <v>15</v>
      </c>
      <c r="G401" t="b">
        <f>IF(COUNTIF(AB$4:AB$20,Append1[[#This Row],[dteday]]) &gt; 0, TRUE, FALSE)</f>
        <v>0</v>
      </c>
      <c r="H401">
        <v>2</v>
      </c>
      <c r="I401">
        <v>2</v>
      </c>
      <c r="J401">
        <v>0.22</v>
      </c>
      <c r="K401">
        <f>Append1[[#This Row],[temp]]*100</f>
        <v>22</v>
      </c>
      <c r="L401">
        <v>0.2273</v>
      </c>
      <c r="M401">
        <v>0.87</v>
      </c>
      <c r="N401">
        <v>0.16420000000000001</v>
      </c>
      <c r="O401">
        <v>3</v>
      </c>
      <c r="P401">
        <v>32</v>
      </c>
      <c r="Q401">
        <v>35</v>
      </c>
      <c r="R401" s="12" t="str">
        <f t="shared" si="30"/>
        <v>Mist/Cloudy</v>
      </c>
      <c r="S401" s="14" t="str">
        <f t="shared" si="31"/>
        <v>Winter</v>
      </c>
      <c r="T401" s="15" t="str">
        <f t="shared" si="32"/>
        <v>Tuesday</v>
      </c>
      <c r="U401" t="str">
        <f t="shared" si="33"/>
        <v>January</v>
      </c>
      <c r="V401" s="16" t="str">
        <f t="shared" si="34"/>
        <v>MODERATE</v>
      </c>
    </row>
    <row r="402" spans="1:22" x14ac:dyDescent="0.3">
      <c r="A402">
        <v>401</v>
      </c>
      <c r="B402" s="1">
        <v>40561</v>
      </c>
      <c r="C402">
        <v>1</v>
      </c>
      <c r="D402">
        <v>0</v>
      </c>
      <c r="E402">
        <v>1</v>
      </c>
      <c r="F402">
        <v>16</v>
      </c>
      <c r="G402" t="b">
        <f>IF(COUNTIF(AB$4:AB$20,Append1[[#This Row],[dteday]]) &gt; 0, TRUE, FALSE)</f>
        <v>0</v>
      </c>
      <c r="H402">
        <v>2</v>
      </c>
      <c r="I402">
        <v>2</v>
      </c>
      <c r="J402">
        <v>0.22</v>
      </c>
      <c r="K402">
        <f>Append1[[#This Row],[temp]]*100</f>
        <v>22</v>
      </c>
      <c r="L402">
        <v>0.2273</v>
      </c>
      <c r="M402">
        <v>0.87</v>
      </c>
      <c r="N402">
        <v>0.19400000000000001</v>
      </c>
      <c r="O402">
        <v>0</v>
      </c>
      <c r="P402">
        <v>61</v>
      </c>
      <c r="Q402">
        <v>61</v>
      </c>
      <c r="R402" s="12" t="str">
        <f t="shared" si="30"/>
        <v>Mist/Cloudy</v>
      </c>
      <c r="S402" s="14" t="str">
        <f t="shared" si="31"/>
        <v>Winter</v>
      </c>
      <c r="T402" s="15" t="str">
        <f t="shared" si="32"/>
        <v>Tuesday</v>
      </c>
      <c r="U402" t="str">
        <f t="shared" si="33"/>
        <v>January</v>
      </c>
      <c r="V402" s="16" t="str">
        <f t="shared" si="34"/>
        <v>MODERATE</v>
      </c>
    </row>
    <row r="403" spans="1:22" x14ac:dyDescent="0.3">
      <c r="A403">
        <v>402</v>
      </c>
      <c r="B403" s="1">
        <v>40561</v>
      </c>
      <c r="C403">
        <v>1</v>
      </c>
      <c r="D403">
        <v>0</v>
      </c>
      <c r="E403">
        <v>1</v>
      </c>
      <c r="F403">
        <v>17</v>
      </c>
      <c r="G403" t="b">
        <f>IF(COUNTIF(AB$4:AB$20,Append1[[#This Row],[dteday]]) &gt; 0, TRUE, FALSE)</f>
        <v>0</v>
      </c>
      <c r="H403">
        <v>2</v>
      </c>
      <c r="I403">
        <v>2</v>
      </c>
      <c r="J403">
        <v>0.22</v>
      </c>
      <c r="K403">
        <f>Append1[[#This Row],[temp]]*100</f>
        <v>22</v>
      </c>
      <c r="L403">
        <v>0.2273</v>
      </c>
      <c r="M403">
        <v>0.82</v>
      </c>
      <c r="N403">
        <v>0.19400000000000001</v>
      </c>
      <c r="O403">
        <v>1</v>
      </c>
      <c r="P403">
        <v>124</v>
      </c>
      <c r="Q403">
        <v>125</v>
      </c>
      <c r="R403" s="12" t="str">
        <f t="shared" si="30"/>
        <v>Mist/Cloudy</v>
      </c>
      <c r="S403" s="14" t="str">
        <f t="shared" si="31"/>
        <v>Winter</v>
      </c>
      <c r="T403" s="15" t="str">
        <f t="shared" si="32"/>
        <v>Tuesday</v>
      </c>
      <c r="U403" t="str">
        <f t="shared" si="33"/>
        <v>January</v>
      </c>
      <c r="V403" s="16" t="str">
        <f t="shared" si="34"/>
        <v>MODERATE</v>
      </c>
    </row>
    <row r="404" spans="1:22" x14ac:dyDescent="0.3">
      <c r="A404">
        <v>403</v>
      </c>
      <c r="B404" s="1">
        <v>40561</v>
      </c>
      <c r="C404">
        <v>1</v>
      </c>
      <c r="D404">
        <v>0</v>
      </c>
      <c r="E404">
        <v>1</v>
      </c>
      <c r="F404">
        <v>18</v>
      </c>
      <c r="G404" t="b">
        <f>IF(COUNTIF(AB$4:AB$20,Append1[[#This Row],[dteday]]) &gt; 0, TRUE, FALSE)</f>
        <v>0</v>
      </c>
      <c r="H404">
        <v>2</v>
      </c>
      <c r="I404">
        <v>2</v>
      </c>
      <c r="J404">
        <v>0.22</v>
      </c>
      <c r="K404">
        <f>Append1[[#This Row],[temp]]*100</f>
        <v>22</v>
      </c>
      <c r="L404">
        <v>0.2273</v>
      </c>
      <c r="M404">
        <v>0.8</v>
      </c>
      <c r="N404">
        <v>0.16420000000000001</v>
      </c>
      <c r="O404">
        <v>1</v>
      </c>
      <c r="P404">
        <v>132</v>
      </c>
      <c r="Q404">
        <v>133</v>
      </c>
      <c r="R404" s="12" t="str">
        <f t="shared" si="30"/>
        <v>Mist/Cloudy</v>
      </c>
      <c r="S404" s="14" t="str">
        <f t="shared" si="31"/>
        <v>Winter</v>
      </c>
      <c r="T404" s="15" t="str">
        <f t="shared" si="32"/>
        <v>Tuesday</v>
      </c>
      <c r="U404" t="str">
        <f t="shared" si="33"/>
        <v>January</v>
      </c>
      <c r="V404" s="16" t="str">
        <f t="shared" si="34"/>
        <v>MODERATE</v>
      </c>
    </row>
    <row r="405" spans="1:22" x14ac:dyDescent="0.3">
      <c r="A405">
        <v>404</v>
      </c>
      <c r="B405" s="1">
        <v>40561</v>
      </c>
      <c r="C405">
        <v>1</v>
      </c>
      <c r="D405">
        <v>0</v>
      </c>
      <c r="E405">
        <v>1</v>
      </c>
      <c r="F405">
        <v>19</v>
      </c>
      <c r="G405" t="b">
        <f>IF(COUNTIF(AB$4:AB$20,Append1[[#This Row],[dteday]]) &gt; 0, TRUE, FALSE)</f>
        <v>0</v>
      </c>
      <c r="H405">
        <v>2</v>
      </c>
      <c r="I405">
        <v>2</v>
      </c>
      <c r="J405">
        <v>0.22</v>
      </c>
      <c r="K405">
        <f>Append1[[#This Row],[temp]]*100</f>
        <v>22</v>
      </c>
      <c r="L405">
        <v>0.2273</v>
      </c>
      <c r="M405">
        <v>0.8</v>
      </c>
      <c r="N405">
        <v>0.1343</v>
      </c>
      <c r="O405">
        <v>1</v>
      </c>
      <c r="P405">
        <v>98</v>
      </c>
      <c r="Q405">
        <v>99</v>
      </c>
      <c r="R405" s="12" t="str">
        <f t="shared" si="30"/>
        <v>Mist/Cloudy</v>
      </c>
      <c r="S405" s="14" t="str">
        <f t="shared" si="31"/>
        <v>Winter</v>
      </c>
      <c r="T405" s="15" t="str">
        <f t="shared" si="32"/>
        <v>Tuesday</v>
      </c>
      <c r="U405" t="str">
        <f t="shared" si="33"/>
        <v>January</v>
      </c>
      <c r="V405" s="16" t="str">
        <f t="shared" si="34"/>
        <v>MODERATE</v>
      </c>
    </row>
    <row r="406" spans="1:22" x14ac:dyDescent="0.3">
      <c r="A406">
        <v>405</v>
      </c>
      <c r="B406" s="1">
        <v>40561</v>
      </c>
      <c r="C406">
        <v>1</v>
      </c>
      <c r="D406">
        <v>0</v>
      </c>
      <c r="E406">
        <v>1</v>
      </c>
      <c r="F406">
        <v>20</v>
      </c>
      <c r="G406" t="b">
        <f>IF(COUNTIF(AB$4:AB$20,Append1[[#This Row],[dteday]]) &gt; 0, TRUE, FALSE)</f>
        <v>0</v>
      </c>
      <c r="H406">
        <v>2</v>
      </c>
      <c r="I406">
        <v>2</v>
      </c>
      <c r="J406">
        <v>0.22</v>
      </c>
      <c r="K406">
        <f>Append1[[#This Row],[temp]]*100</f>
        <v>22</v>
      </c>
      <c r="L406">
        <v>0.2727</v>
      </c>
      <c r="M406">
        <v>0.87</v>
      </c>
      <c r="N406">
        <v>0</v>
      </c>
      <c r="O406">
        <v>0</v>
      </c>
      <c r="P406">
        <v>83</v>
      </c>
      <c r="Q406">
        <v>83</v>
      </c>
      <c r="R406" s="12" t="str">
        <f t="shared" si="30"/>
        <v>Mist/Cloudy</v>
      </c>
      <c r="S406" s="14" t="str">
        <f t="shared" si="31"/>
        <v>Winter</v>
      </c>
      <c r="T406" s="15" t="str">
        <f t="shared" si="32"/>
        <v>Tuesday</v>
      </c>
      <c r="U406" t="str">
        <f t="shared" si="33"/>
        <v>January</v>
      </c>
      <c r="V406" s="16" t="str">
        <f t="shared" si="34"/>
        <v>MODERATE</v>
      </c>
    </row>
    <row r="407" spans="1:22" x14ac:dyDescent="0.3">
      <c r="A407">
        <v>406</v>
      </c>
      <c r="B407" s="1">
        <v>40561</v>
      </c>
      <c r="C407">
        <v>1</v>
      </c>
      <c r="D407">
        <v>0</v>
      </c>
      <c r="E407">
        <v>1</v>
      </c>
      <c r="F407">
        <v>21</v>
      </c>
      <c r="G407" t="b">
        <f>IF(COUNTIF(AB$4:AB$20,Append1[[#This Row],[dteday]]) &gt; 0, TRUE, FALSE)</f>
        <v>0</v>
      </c>
      <c r="H407">
        <v>2</v>
      </c>
      <c r="I407">
        <v>2</v>
      </c>
      <c r="J407">
        <v>0.22</v>
      </c>
      <c r="K407">
        <f>Append1[[#This Row],[temp]]*100</f>
        <v>22</v>
      </c>
      <c r="L407">
        <v>0.2424</v>
      </c>
      <c r="M407">
        <v>0.93</v>
      </c>
      <c r="N407">
        <v>0.1045</v>
      </c>
      <c r="O407">
        <v>0</v>
      </c>
      <c r="P407">
        <v>41</v>
      </c>
      <c r="Q407">
        <v>41</v>
      </c>
      <c r="R407" s="12" t="str">
        <f t="shared" si="30"/>
        <v>Mist/Cloudy</v>
      </c>
      <c r="S407" s="14" t="str">
        <f t="shared" si="31"/>
        <v>Winter</v>
      </c>
      <c r="T407" s="15" t="str">
        <f t="shared" si="32"/>
        <v>Tuesday</v>
      </c>
      <c r="U407" t="str">
        <f t="shared" si="33"/>
        <v>January</v>
      </c>
      <c r="V407" s="16" t="str">
        <f t="shared" si="34"/>
        <v>MODERATE</v>
      </c>
    </row>
    <row r="408" spans="1:22" x14ac:dyDescent="0.3">
      <c r="A408">
        <v>407</v>
      </c>
      <c r="B408" s="1">
        <v>40561</v>
      </c>
      <c r="C408">
        <v>1</v>
      </c>
      <c r="D408">
        <v>0</v>
      </c>
      <c r="E408">
        <v>1</v>
      </c>
      <c r="F408">
        <v>22</v>
      </c>
      <c r="G408" t="b">
        <f>IF(COUNTIF(AB$4:AB$20,Append1[[#This Row],[dteday]]) &gt; 0, TRUE, FALSE)</f>
        <v>0</v>
      </c>
      <c r="H408">
        <v>2</v>
      </c>
      <c r="I408">
        <v>2</v>
      </c>
      <c r="J408">
        <v>0.22</v>
      </c>
      <c r="K408">
        <f>Append1[[#This Row],[temp]]*100</f>
        <v>22</v>
      </c>
      <c r="L408">
        <v>0.2576</v>
      </c>
      <c r="M408">
        <v>0.93</v>
      </c>
      <c r="N408">
        <v>8.9599999999999999E-2</v>
      </c>
      <c r="O408">
        <v>0</v>
      </c>
      <c r="P408">
        <v>33</v>
      </c>
      <c r="Q408">
        <v>33</v>
      </c>
      <c r="R408" s="12" t="str">
        <f t="shared" si="30"/>
        <v>Mist/Cloudy</v>
      </c>
      <c r="S408" s="14" t="str">
        <f t="shared" si="31"/>
        <v>Winter</v>
      </c>
      <c r="T408" s="15" t="str">
        <f t="shared" si="32"/>
        <v>Tuesday</v>
      </c>
      <c r="U408" t="str">
        <f t="shared" si="33"/>
        <v>January</v>
      </c>
      <c r="V408" s="16" t="str">
        <f t="shared" si="34"/>
        <v>MODERATE</v>
      </c>
    </row>
    <row r="409" spans="1:22" x14ac:dyDescent="0.3">
      <c r="A409">
        <v>408</v>
      </c>
      <c r="B409" s="1">
        <v>40561</v>
      </c>
      <c r="C409">
        <v>1</v>
      </c>
      <c r="D409">
        <v>0</v>
      </c>
      <c r="E409">
        <v>1</v>
      </c>
      <c r="F409">
        <v>23</v>
      </c>
      <c r="G409" t="b">
        <f>IF(COUNTIF(AB$4:AB$20,Append1[[#This Row],[dteday]]) &gt; 0, TRUE, FALSE)</f>
        <v>0</v>
      </c>
      <c r="H409">
        <v>2</v>
      </c>
      <c r="I409">
        <v>2</v>
      </c>
      <c r="J409">
        <v>0.22</v>
      </c>
      <c r="K409">
        <f>Append1[[#This Row],[temp]]*100</f>
        <v>22</v>
      </c>
      <c r="L409">
        <v>0.2727</v>
      </c>
      <c r="M409">
        <v>0.93</v>
      </c>
      <c r="N409">
        <v>0</v>
      </c>
      <c r="O409">
        <v>1</v>
      </c>
      <c r="P409">
        <v>19</v>
      </c>
      <c r="Q409">
        <v>20</v>
      </c>
      <c r="R409" s="12" t="str">
        <f t="shared" si="30"/>
        <v>Mist/Cloudy</v>
      </c>
      <c r="S409" s="14" t="str">
        <f t="shared" si="31"/>
        <v>Winter</v>
      </c>
      <c r="T409" s="15" t="str">
        <f t="shared" si="32"/>
        <v>Tuesday</v>
      </c>
      <c r="U409" t="str">
        <f t="shared" si="33"/>
        <v>January</v>
      </c>
      <c r="V409" s="16" t="str">
        <f t="shared" si="34"/>
        <v>MODERATE</v>
      </c>
    </row>
    <row r="410" spans="1:22" x14ac:dyDescent="0.3">
      <c r="A410">
        <v>409</v>
      </c>
      <c r="B410" s="1">
        <v>40562</v>
      </c>
      <c r="C410">
        <v>1</v>
      </c>
      <c r="D410">
        <v>0</v>
      </c>
      <c r="E410">
        <v>1</v>
      </c>
      <c r="F410">
        <v>0</v>
      </c>
      <c r="G410" t="b">
        <f>IF(COUNTIF(AB$4:AB$20,Append1[[#This Row],[dteday]]) &gt; 0, TRUE, FALSE)</f>
        <v>0</v>
      </c>
      <c r="H410">
        <v>3</v>
      </c>
      <c r="I410">
        <v>2</v>
      </c>
      <c r="J410">
        <v>0.22</v>
      </c>
      <c r="K410">
        <f>Append1[[#This Row],[temp]]*100</f>
        <v>22</v>
      </c>
      <c r="L410">
        <v>0.2727</v>
      </c>
      <c r="M410">
        <v>0.93</v>
      </c>
      <c r="N410">
        <v>0</v>
      </c>
      <c r="O410">
        <v>0</v>
      </c>
      <c r="P410">
        <v>3</v>
      </c>
      <c r="Q410">
        <v>3</v>
      </c>
      <c r="R410" s="12" t="str">
        <f t="shared" si="30"/>
        <v>Mist/Cloudy</v>
      </c>
      <c r="S410" s="14" t="str">
        <f t="shared" si="31"/>
        <v>Winter</v>
      </c>
      <c r="T410" s="15" t="str">
        <f t="shared" si="32"/>
        <v>Wednesday</v>
      </c>
      <c r="U410" t="str">
        <f t="shared" si="33"/>
        <v>January</v>
      </c>
      <c r="V410" s="16" t="str">
        <f t="shared" si="34"/>
        <v>MODERATE</v>
      </c>
    </row>
    <row r="411" spans="1:22" x14ac:dyDescent="0.3">
      <c r="A411">
        <v>410</v>
      </c>
      <c r="B411" s="1">
        <v>40562</v>
      </c>
      <c r="C411">
        <v>1</v>
      </c>
      <c r="D411">
        <v>0</v>
      </c>
      <c r="E411">
        <v>1</v>
      </c>
      <c r="F411">
        <v>1</v>
      </c>
      <c r="G411" t="b">
        <f>IF(COUNTIF(AB$4:AB$20,Append1[[#This Row],[dteday]]) &gt; 0, TRUE, FALSE)</f>
        <v>0</v>
      </c>
      <c r="H411">
        <v>3</v>
      </c>
      <c r="I411">
        <v>3</v>
      </c>
      <c r="J411">
        <v>0.22</v>
      </c>
      <c r="K411">
        <f>Append1[[#This Row],[temp]]*100</f>
        <v>22</v>
      </c>
      <c r="L411">
        <v>0.2273</v>
      </c>
      <c r="M411">
        <v>0.93</v>
      </c>
      <c r="N411">
        <v>0.1343</v>
      </c>
      <c r="O411">
        <v>1</v>
      </c>
      <c r="P411">
        <v>6</v>
      </c>
      <c r="Q411">
        <v>7</v>
      </c>
      <c r="R411" s="12" t="str">
        <f t="shared" si="30"/>
        <v>Light Rain/Snow</v>
      </c>
      <c r="S411" s="14" t="str">
        <f t="shared" si="31"/>
        <v>Winter</v>
      </c>
      <c r="T411" s="15" t="str">
        <f t="shared" si="32"/>
        <v>Wednesday</v>
      </c>
      <c r="U411" t="str">
        <f t="shared" si="33"/>
        <v>January</v>
      </c>
      <c r="V411" s="16" t="str">
        <f t="shared" si="34"/>
        <v>BAD</v>
      </c>
    </row>
    <row r="412" spans="1:22" x14ac:dyDescent="0.3">
      <c r="A412">
        <v>411</v>
      </c>
      <c r="B412" s="1">
        <v>40562</v>
      </c>
      <c r="C412">
        <v>1</v>
      </c>
      <c r="D412">
        <v>0</v>
      </c>
      <c r="E412">
        <v>1</v>
      </c>
      <c r="F412">
        <v>2</v>
      </c>
      <c r="G412" t="b">
        <f>IF(COUNTIF(AB$4:AB$20,Append1[[#This Row],[dteday]]) &gt; 0, TRUE, FALSE)</f>
        <v>0</v>
      </c>
      <c r="H412">
        <v>3</v>
      </c>
      <c r="I412">
        <v>3</v>
      </c>
      <c r="J412">
        <v>0.22</v>
      </c>
      <c r="K412">
        <f>Append1[[#This Row],[temp]]*100</f>
        <v>22</v>
      </c>
      <c r="L412">
        <v>0.2273</v>
      </c>
      <c r="M412">
        <v>0.93</v>
      </c>
      <c r="N412">
        <v>0.1343</v>
      </c>
      <c r="O412">
        <v>0</v>
      </c>
      <c r="P412">
        <v>3</v>
      </c>
      <c r="Q412">
        <v>3</v>
      </c>
      <c r="R412" s="12" t="str">
        <f t="shared" si="30"/>
        <v>Light Rain/Snow</v>
      </c>
      <c r="S412" s="14" t="str">
        <f t="shared" si="31"/>
        <v>Winter</v>
      </c>
      <c r="T412" s="15" t="str">
        <f t="shared" si="32"/>
        <v>Wednesday</v>
      </c>
      <c r="U412" t="str">
        <f t="shared" si="33"/>
        <v>January</v>
      </c>
      <c r="V412" s="16" t="str">
        <f t="shared" si="34"/>
        <v>BAD</v>
      </c>
    </row>
    <row r="413" spans="1:22" x14ac:dyDescent="0.3">
      <c r="A413">
        <v>412</v>
      </c>
      <c r="B413" s="1">
        <v>40562</v>
      </c>
      <c r="C413">
        <v>1</v>
      </c>
      <c r="D413">
        <v>0</v>
      </c>
      <c r="E413">
        <v>1</v>
      </c>
      <c r="F413">
        <v>4</v>
      </c>
      <c r="G413" t="b">
        <f>IF(COUNTIF(AB$4:AB$20,Append1[[#This Row],[dteday]]) &gt; 0, TRUE, FALSE)</f>
        <v>0</v>
      </c>
      <c r="H413">
        <v>3</v>
      </c>
      <c r="I413">
        <v>3</v>
      </c>
      <c r="J413">
        <v>0.22</v>
      </c>
      <c r="K413">
        <f>Append1[[#This Row],[temp]]*100</f>
        <v>22</v>
      </c>
      <c r="L413">
        <v>0.2273</v>
      </c>
      <c r="M413">
        <v>0.93</v>
      </c>
      <c r="N413">
        <v>0.1343</v>
      </c>
      <c r="O413">
        <v>1</v>
      </c>
      <c r="P413">
        <v>1</v>
      </c>
      <c r="Q413">
        <v>2</v>
      </c>
      <c r="R413" s="12" t="str">
        <f t="shared" si="30"/>
        <v>Light Rain/Snow</v>
      </c>
      <c r="S413" s="14" t="str">
        <f t="shared" si="31"/>
        <v>Winter</v>
      </c>
      <c r="T413" s="15" t="str">
        <f t="shared" si="32"/>
        <v>Wednesday</v>
      </c>
      <c r="U413" t="str">
        <f t="shared" si="33"/>
        <v>January</v>
      </c>
      <c r="V413" s="16" t="str">
        <f t="shared" si="34"/>
        <v>BAD</v>
      </c>
    </row>
    <row r="414" spans="1:22" x14ac:dyDescent="0.3">
      <c r="A414">
        <v>413</v>
      </c>
      <c r="B414" s="1">
        <v>40562</v>
      </c>
      <c r="C414">
        <v>1</v>
      </c>
      <c r="D414">
        <v>0</v>
      </c>
      <c r="E414">
        <v>1</v>
      </c>
      <c r="F414">
        <v>5</v>
      </c>
      <c r="G414" t="b">
        <f>IF(COUNTIF(AB$4:AB$20,Append1[[#This Row],[dteday]]) &gt; 0, TRUE, FALSE)</f>
        <v>0</v>
      </c>
      <c r="H414">
        <v>3</v>
      </c>
      <c r="I414">
        <v>2</v>
      </c>
      <c r="J414">
        <v>0.22</v>
      </c>
      <c r="K414">
        <f>Append1[[#This Row],[temp]]*100</f>
        <v>22</v>
      </c>
      <c r="L414">
        <v>0.2576</v>
      </c>
      <c r="M414">
        <v>0.93</v>
      </c>
      <c r="N414">
        <v>8.9599999999999999E-2</v>
      </c>
      <c r="O414">
        <v>0</v>
      </c>
      <c r="P414">
        <v>7</v>
      </c>
      <c r="Q414">
        <v>7</v>
      </c>
      <c r="R414" s="12" t="str">
        <f t="shared" si="30"/>
        <v>Mist/Cloudy</v>
      </c>
      <c r="S414" s="14" t="str">
        <f t="shared" si="31"/>
        <v>Winter</v>
      </c>
      <c r="T414" s="15" t="str">
        <f t="shared" si="32"/>
        <v>Wednesday</v>
      </c>
      <c r="U414" t="str">
        <f t="shared" si="33"/>
        <v>January</v>
      </c>
      <c r="V414" s="16" t="str">
        <f t="shared" si="34"/>
        <v>MODERATE</v>
      </c>
    </row>
    <row r="415" spans="1:22" x14ac:dyDescent="0.3">
      <c r="A415">
        <v>414</v>
      </c>
      <c r="B415" s="1">
        <v>40562</v>
      </c>
      <c r="C415">
        <v>1</v>
      </c>
      <c r="D415">
        <v>0</v>
      </c>
      <c r="E415">
        <v>1</v>
      </c>
      <c r="F415">
        <v>6</v>
      </c>
      <c r="G415" t="b">
        <f>IF(COUNTIF(AB$4:AB$20,Append1[[#This Row],[dteday]]) &gt; 0, TRUE, FALSE)</f>
        <v>0</v>
      </c>
      <c r="H415">
        <v>3</v>
      </c>
      <c r="I415">
        <v>2</v>
      </c>
      <c r="J415">
        <v>0.22</v>
      </c>
      <c r="K415">
        <f>Append1[[#This Row],[temp]]*100</f>
        <v>22</v>
      </c>
      <c r="L415">
        <v>0.2576</v>
      </c>
      <c r="M415">
        <v>0.93</v>
      </c>
      <c r="N415">
        <v>8.9599999999999999E-2</v>
      </c>
      <c r="O415">
        <v>0</v>
      </c>
      <c r="P415">
        <v>32</v>
      </c>
      <c r="Q415">
        <v>32</v>
      </c>
      <c r="R415" s="12" t="str">
        <f t="shared" si="30"/>
        <v>Mist/Cloudy</v>
      </c>
      <c r="S415" s="14" t="str">
        <f t="shared" si="31"/>
        <v>Winter</v>
      </c>
      <c r="T415" s="15" t="str">
        <f t="shared" si="32"/>
        <v>Wednesday</v>
      </c>
      <c r="U415" t="str">
        <f t="shared" si="33"/>
        <v>January</v>
      </c>
      <c r="V415" s="16" t="str">
        <f t="shared" si="34"/>
        <v>MODERATE</v>
      </c>
    </row>
    <row r="416" spans="1:22" x14ac:dyDescent="0.3">
      <c r="A416">
        <v>415</v>
      </c>
      <c r="B416" s="1">
        <v>40562</v>
      </c>
      <c r="C416">
        <v>1</v>
      </c>
      <c r="D416">
        <v>0</v>
      </c>
      <c r="E416">
        <v>1</v>
      </c>
      <c r="F416">
        <v>7</v>
      </c>
      <c r="G416" t="b">
        <f>IF(COUNTIF(AB$4:AB$20,Append1[[#This Row],[dteday]]) &gt; 0, TRUE, FALSE)</f>
        <v>0</v>
      </c>
      <c r="H416">
        <v>3</v>
      </c>
      <c r="I416">
        <v>2</v>
      </c>
      <c r="J416">
        <v>0.24</v>
      </c>
      <c r="K416">
        <f>Append1[[#This Row],[temp]]*100</f>
        <v>24</v>
      </c>
      <c r="L416">
        <v>0.2576</v>
      </c>
      <c r="M416">
        <v>0.92</v>
      </c>
      <c r="N416">
        <v>0.1045</v>
      </c>
      <c r="O416">
        <v>1</v>
      </c>
      <c r="P416">
        <v>89</v>
      </c>
      <c r="Q416">
        <v>90</v>
      </c>
      <c r="R416" s="12" t="str">
        <f t="shared" si="30"/>
        <v>Mist/Cloudy</v>
      </c>
      <c r="S416" s="14" t="str">
        <f t="shared" si="31"/>
        <v>Winter</v>
      </c>
      <c r="T416" s="15" t="str">
        <f t="shared" si="32"/>
        <v>Wednesday</v>
      </c>
      <c r="U416" t="str">
        <f t="shared" si="33"/>
        <v>January</v>
      </c>
      <c r="V416" s="16" t="str">
        <f t="shared" si="34"/>
        <v>MODERATE</v>
      </c>
    </row>
    <row r="417" spans="1:22" x14ac:dyDescent="0.3">
      <c r="A417">
        <v>416</v>
      </c>
      <c r="B417" s="1">
        <v>40562</v>
      </c>
      <c r="C417">
        <v>1</v>
      </c>
      <c r="D417">
        <v>0</v>
      </c>
      <c r="E417">
        <v>1</v>
      </c>
      <c r="F417">
        <v>8</v>
      </c>
      <c r="G417" t="b">
        <f>IF(COUNTIF(AB$4:AB$20,Append1[[#This Row],[dteday]]) &gt; 0, TRUE, FALSE)</f>
        <v>0</v>
      </c>
      <c r="H417">
        <v>3</v>
      </c>
      <c r="I417">
        <v>2</v>
      </c>
      <c r="J417">
        <v>0.24</v>
      </c>
      <c r="K417">
        <f>Append1[[#This Row],[temp]]*100</f>
        <v>24</v>
      </c>
      <c r="L417">
        <v>0.2576</v>
      </c>
      <c r="M417">
        <v>0.93</v>
      </c>
      <c r="N417">
        <v>0.1045</v>
      </c>
      <c r="O417">
        <v>1</v>
      </c>
      <c r="P417">
        <v>196</v>
      </c>
      <c r="Q417">
        <v>197</v>
      </c>
      <c r="R417" s="12" t="str">
        <f t="shared" si="30"/>
        <v>Mist/Cloudy</v>
      </c>
      <c r="S417" s="14" t="str">
        <f t="shared" si="31"/>
        <v>Winter</v>
      </c>
      <c r="T417" s="15" t="str">
        <f t="shared" si="32"/>
        <v>Wednesday</v>
      </c>
      <c r="U417" t="str">
        <f t="shared" si="33"/>
        <v>January</v>
      </c>
      <c r="V417" s="16" t="str">
        <f t="shared" si="34"/>
        <v>MODERATE</v>
      </c>
    </row>
    <row r="418" spans="1:22" x14ac:dyDescent="0.3">
      <c r="A418">
        <v>417</v>
      </c>
      <c r="B418" s="1">
        <v>40562</v>
      </c>
      <c r="C418">
        <v>1</v>
      </c>
      <c r="D418">
        <v>0</v>
      </c>
      <c r="E418">
        <v>1</v>
      </c>
      <c r="F418">
        <v>9</v>
      </c>
      <c r="G418" t="b">
        <f>IF(COUNTIF(AB$4:AB$20,Append1[[#This Row],[dteday]]) &gt; 0, TRUE, FALSE)</f>
        <v>0</v>
      </c>
      <c r="H418">
        <v>3</v>
      </c>
      <c r="I418">
        <v>2</v>
      </c>
      <c r="J418">
        <v>0.24</v>
      </c>
      <c r="K418">
        <f>Append1[[#This Row],[temp]]*100</f>
        <v>24</v>
      </c>
      <c r="L418">
        <v>0.2576</v>
      </c>
      <c r="M418">
        <v>0.93</v>
      </c>
      <c r="N418">
        <v>0.1045</v>
      </c>
      <c r="O418">
        <v>2</v>
      </c>
      <c r="P418">
        <v>107</v>
      </c>
      <c r="Q418">
        <v>109</v>
      </c>
      <c r="R418" s="12" t="str">
        <f t="shared" si="30"/>
        <v>Mist/Cloudy</v>
      </c>
      <c r="S418" s="14" t="str">
        <f t="shared" si="31"/>
        <v>Winter</v>
      </c>
      <c r="T418" s="15" t="str">
        <f t="shared" si="32"/>
        <v>Wednesday</v>
      </c>
      <c r="U418" t="str">
        <f t="shared" si="33"/>
        <v>January</v>
      </c>
      <c r="V418" s="16" t="str">
        <f t="shared" si="34"/>
        <v>MODERATE</v>
      </c>
    </row>
    <row r="419" spans="1:22" x14ac:dyDescent="0.3">
      <c r="A419">
        <v>418</v>
      </c>
      <c r="B419" s="1">
        <v>40562</v>
      </c>
      <c r="C419">
        <v>1</v>
      </c>
      <c r="D419">
        <v>0</v>
      </c>
      <c r="E419">
        <v>1</v>
      </c>
      <c r="F419">
        <v>10</v>
      </c>
      <c r="G419" t="b">
        <f>IF(COUNTIF(AB$4:AB$20,Append1[[#This Row],[dteday]]) &gt; 0, TRUE, FALSE)</f>
        <v>0</v>
      </c>
      <c r="H419">
        <v>3</v>
      </c>
      <c r="I419">
        <v>2</v>
      </c>
      <c r="J419">
        <v>0.26</v>
      </c>
      <c r="K419">
        <f>Append1[[#This Row],[temp]]*100</f>
        <v>26</v>
      </c>
      <c r="L419">
        <v>0.2727</v>
      </c>
      <c r="M419">
        <v>0.93</v>
      </c>
      <c r="N419">
        <v>0.1343</v>
      </c>
      <c r="O419">
        <v>1</v>
      </c>
      <c r="P419">
        <v>46</v>
      </c>
      <c r="Q419">
        <v>47</v>
      </c>
      <c r="R419" s="12" t="str">
        <f t="shared" si="30"/>
        <v>Mist/Cloudy</v>
      </c>
      <c r="S419" s="14" t="str">
        <f t="shared" si="31"/>
        <v>Winter</v>
      </c>
      <c r="T419" s="15" t="str">
        <f t="shared" si="32"/>
        <v>Wednesday</v>
      </c>
      <c r="U419" t="str">
        <f t="shared" si="33"/>
        <v>January</v>
      </c>
      <c r="V419" s="16" t="str">
        <f t="shared" si="34"/>
        <v>MODERATE</v>
      </c>
    </row>
    <row r="420" spans="1:22" x14ac:dyDescent="0.3">
      <c r="A420">
        <v>419</v>
      </c>
      <c r="B420" s="1">
        <v>40562</v>
      </c>
      <c r="C420">
        <v>1</v>
      </c>
      <c r="D420">
        <v>0</v>
      </c>
      <c r="E420">
        <v>1</v>
      </c>
      <c r="F420">
        <v>11</v>
      </c>
      <c r="G420" t="b">
        <f>IF(COUNTIF(AB$4:AB$20,Append1[[#This Row],[dteday]]) &gt; 0, TRUE, FALSE)</f>
        <v>0</v>
      </c>
      <c r="H420">
        <v>3</v>
      </c>
      <c r="I420">
        <v>2</v>
      </c>
      <c r="J420">
        <v>0.28000000000000003</v>
      </c>
      <c r="K420">
        <f>Append1[[#This Row],[temp]]*100</f>
        <v>28.000000000000004</v>
      </c>
      <c r="L420">
        <v>0.30299999999999999</v>
      </c>
      <c r="M420">
        <v>0.87</v>
      </c>
      <c r="N420">
        <v>8.9599999999999999E-2</v>
      </c>
      <c r="O420">
        <v>5</v>
      </c>
      <c r="P420">
        <v>47</v>
      </c>
      <c r="Q420">
        <v>52</v>
      </c>
      <c r="R420" s="12" t="str">
        <f t="shared" si="30"/>
        <v>Mist/Cloudy</v>
      </c>
      <c r="S420" s="14" t="str">
        <f t="shared" si="31"/>
        <v>Winter</v>
      </c>
      <c r="T420" s="15" t="str">
        <f t="shared" si="32"/>
        <v>Wednesday</v>
      </c>
      <c r="U420" t="str">
        <f t="shared" si="33"/>
        <v>January</v>
      </c>
      <c r="V420" s="16" t="str">
        <f t="shared" si="34"/>
        <v>MODERATE</v>
      </c>
    </row>
    <row r="421" spans="1:22" x14ac:dyDescent="0.3">
      <c r="A421">
        <v>420</v>
      </c>
      <c r="B421" s="1">
        <v>40562</v>
      </c>
      <c r="C421">
        <v>1</v>
      </c>
      <c r="D421">
        <v>0</v>
      </c>
      <c r="E421">
        <v>1</v>
      </c>
      <c r="F421">
        <v>12</v>
      </c>
      <c r="G421" t="b">
        <f>IF(COUNTIF(AB$4:AB$20,Append1[[#This Row],[dteday]]) &gt; 0, TRUE, FALSE)</f>
        <v>0</v>
      </c>
      <c r="H421">
        <v>3</v>
      </c>
      <c r="I421">
        <v>2</v>
      </c>
      <c r="J421">
        <v>0.3</v>
      </c>
      <c r="K421">
        <f>Append1[[#This Row],[temp]]*100</f>
        <v>30</v>
      </c>
      <c r="L421">
        <v>0.31819999999999998</v>
      </c>
      <c r="M421">
        <v>0.81</v>
      </c>
      <c r="N421">
        <v>8.9599999999999999E-2</v>
      </c>
      <c r="O421">
        <v>5</v>
      </c>
      <c r="P421">
        <v>65</v>
      </c>
      <c r="Q421">
        <v>70</v>
      </c>
      <c r="R421" s="12" t="str">
        <f t="shared" si="30"/>
        <v>Mist/Cloudy</v>
      </c>
      <c r="S421" s="14" t="str">
        <f t="shared" si="31"/>
        <v>Winter</v>
      </c>
      <c r="T421" s="15" t="str">
        <f t="shared" si="32"/>
        <v>Wednesday</v>
      </c>
      <c r="U421" t="str">
        <f t="shared" si="33"/>
        <v>January</v>
      </c>
      <c r="V421" s="16" t="str">
        <f t="shared" si="34"/>
        <v>MODERATE</v>
      </c>
    </row>
    <row r="422" spans="1:22" x14ac:dyDescent="0.3">
      <c r="A422">
        <v>421</v>
      </c>
      <c r="B422" s="1">
        <v>40562</v>
      </c>
      <c r="C422">
        <v>1</v>
      </c>
      <c r="D422">
        <v>0</v>
      </c>
      <c r="E422">
        <v>1</v>
      </c>
      <c r="F422">
        <v>13</v>
      </c>
      <c r="G422" t="b">
        <f>IF(COUNTIF(AB$4:AB$20,Append1[[#This Row],[dteday]]) &gt; 0, TRUE, FALSE)</f>
        <v>0</v>
      </c>
      <c r="H422">
        <v>3</v>
      </c>
      <c r="I422">
        <v>1</v>
      </c>
      <c r="J422">
        <v>0.4</v>
      </c>
      <c r="K422">
        <f>Append1[[#This Row],[temp]]*100</f>
        <v>40</v>
      </c>
      <c r="L422">
        <v>0.40910000000000002</v>
      </c>
      <c r="M422">
        <v>0.62</v>
      </c>
      <c r="N422">
        <v>0.28360000000000002</v>
      </c>
      <c r="O422">
        <v>11</v>
      </c>
      <c r="P422">
        <v>67</v>
      </c>
      <c r="Q422">
        <v>78</v>
      </c>
      <c r="R422" s="12" t="str">
        <f t="shared" si="30"/>
        <v>Clear/Few Clouds</v>
      </c>
      <c r="S422" s="14" t="str">
        <f t="shared" si="31"/>
        <v>Winter</v>
      </c>
      <c r="T422" s="15" t="str">
        <f t="shared" si="32"/>
        <v>Wednesday</v>
      </c>
      <c r="U422" t="str">
        <f t="shared" si="33"/>
        <v>January</v>
      </c>
      <c r="V422" s="16" t="str">
        <f t="shared" si="34"/>
        <v>GOOD</v>
      </c>
    </row>
    <row r="423" spans="1:22" x14ac:dyDescent="0.3">
      <c r="A423">
        <v>422</v>
      </c>
      <c r="B423" s="1">
        <v>40562</v>
      </c>
      <c r="C423">
        <v>1</v>
      </c>
      <c r="D423">
        <v>0</v>
      </c>
      <c r="E423">
        <v>1</v>
      </c>
      <c r="F423">
        <v>14</v>
      </c>
      <c r="G423" t="b">
        <f>IF(COUNTIF(AB$4:AB$20,Append1[[#This Row],[dteday]]) &gt; 0, TRUE, FALSE)</f>
        <v>0</v>
      </c>
      <c r="H423">
        <v>3</v>
      </c>
      <c r="I423">
        <v>1</v>
      </c>
      <c r="J423">
        <v>0.4</v>
      </c>
      <c r="K423">
        <f>Append1[[#This Row],[temp]]*100</f>
        <v>40</v>
      </c>
      <c r="L423">
        <v>0.40910000000000002</v>
      </c>
      <c r="M423">
        <v>0.57999999999999996</v>
      </c>
      <c r="N423">
        <v>0.25369999999999998</v>
      </c>
      <c r="O423">
        <v>7</v>
      </c>
      <c r="P423">
        <v>68</v>
      </c>
      <c r="Q423">
        <v>75</v>
      </c>
      <c r="R423" s="12" t="str">
        <f t="shared" si="30"/>
        <v>Clear/Few Clouds</v>
      </c>
      <c r="S423" s="14" t="str">
        <f t="shared" si="31"/>
        <v>Winter</v>
      </c>
      <c r="T423" s="15" t="str">
        <f t="shared" si="32"/>
        <v>Wednesday</v>
      </c>
      <c r="U423" t="str">
        <f t="shared" si="33"/>
        <v>January</v>
      </c>
      <c r="V423" s="16" t="str">
        <f t="shared" si="34"/>
        <v>GOOD</v>
      </c>
    </row>
    <row r="424" spans="1:22" x14ac:dyDescent="0.3">
      <c r="A424">
        <v>423</v>
      </c>
      <c r="B424" s="1">
        <v>40562</v>
      </c>
      <c r="C424">
        <v>1</v>
      </c>
      <c r="D424">
        <v>0</v>
      </c>
      <c r="E424">
        <v>1</v>
      </c>
      <c r="F424">
        <v>15</v>
      </c>
      <c r="G424" t="b">
        <f>IF(COUNTIF(AB$4:AB$20,Append1[[#This Row],[dteday]]) &gt; 0, TRUE, FALSE)</f>
        <v>0</v>
      </c>
      <c r="H424">
        <v>3</v>
      </c>
      <c r="I424">
        <v>1</v>
      </c>
      <c r="J424">
        <v>0.4</v>
      </c>
      <c r="K424">
        <f>Append1[[#This Row],[temp]]*100</f>
        <v>40</v>
      </c>
      <c r="L424">
        <v>0.40910000000000002</v>
      </c>
      <c r="M424">
        <v>0.54</v>
      </c>
      <c r="N424">
        <v>0.28360000000000002</v>
      </c>
      <c r="O424">
        <v>4</v>
      </c>
      <c r="P424">
        <v>78</v>
      </c>
      <c r="Q424">
        <v>82</v>
      </c>
      <c r="R424" s="12" t="str">
        <f t="shared" si="30"/>
        <v>Clear/Few Clouds</v>
      </c>
      <c r="S424" s="14" t="str">
        <f t="shared" si="31"/>
        <v>Winter</v>
      </c>
      <c r="T424" s="15" t="str">
        <f t="shared" si="32"/>
        <v>Wednesday</v>
      </c>
      <c r="U424" t="str">
        <f t="shared" si="33"/>
        <v>January</v>
      </c>
      <c r="V424" s="16" t="str">
        <f t="shared" si="34"/>
        <v>GOOD</v>
      </c>
    </row>
    <row r="425" spans="1:22" x14ac:dyDescent="0.3">
      <c r="A425">
        <v>424</v>
      </c>
      <c r="B425" s="1">
        <v>40562</v>
      </c>
      <c r="C425">
        <v>1</v>
      </c>
      <c r="D425">
        <v>0</v>
      </c>
      <c r="E425">
        <v>1</v>
      </c>
      <c r="F425">
        <v>16</v>
      </c>
      <c r="G425" t="b">
        <f>IF(COUNTIF(AB$4:AB$20,Append1[[#This Row],[dteday]]) &gt; 0, TRUE, FALSE)</f>
        <v>0</v>
      </c>
      <c r="H425">
        <v>3</v>
      </c>
      <c r="I425">
        <v>1</v>
      </c>
      <c r="J425">
        <v>0.38</v>
      </c>
      <c r="K425">
        <f>Append1[[#This Row],[temp]]*100</f>
        <v>38</v>
      </c>
      <c r="L425">
        <v>0.39389999999999997</v>
      </c>
      <c r="M425">
        <v>0.57999999999999996</v>
      </c>
      <c r="N425">
        <v>0.3881</v>
      </c>
      <c r="O425">
        <v>10</v>
      </c>
      <c r="P425">
        <v>94</v>
      </c>
      <c r="Q425">
        <v>104</v>
      </c>
      <c r="R425" s="12" t="str">
        <f t="shared" si="30"/>
        <v>Clear/Few Clouds</v>
      </c>
      <c r="S425" s="14" t="str">
        <f t="shared" si="31"/>
        <v>Winter</v>
      </c>
      <c r="T425" s="15" t="str">
        <f t="shared" si="32"/>
        <v>Wednesday</v>
      </c>
      <c r="U425" t="str">
        <f t="shared" si="33"/>
        <v>January</v>
      </c>
      <c r="V425" s="16" t="str">
        <f t="shared" si="34"/>
        <v>GOOD</v>
      </c>
    </row>
    <row r="426" spans="1:22" x14ac:dyDescent="0.3">
      <c r="A426">
        <v>425</v>
      </c>
      <c r="B426" s="1">
        <v>40562</v>
      </c>
      <c r="C426">
        <v>1</v>
      </c>
      <c r="D426">
        <v>0</v>
      </c>
      <c r="E426">
        <v>1</v>
      </c>
      <c r="F426">
        <v>17</v>
      </c>
      <c r="G426" t="b">
        <f>IF(COUNTIF(AB$4:AB$20,Append1[[#This Row],[dteday]]) &gt; 0, TRUE, FALSE)</f>
        <v>0</v>
      </c>
      <c r="H426">
        <v>3</v>
      </c>
      <c r="I426">
        <v>1</v>
      </c>
      <c r="J426">
        <v>0.36</v>
      </c>
      <c r="K426">
        <f>Append1[[#This Row],[temp]]*100</f>
        <v>36</v>
      </c>
      <c r="L426">
        <v>0.33329999999999999</v>
      </c>
      <c r="M426">
        <v>0.56999999999999995</v>
      </c>
      <c r="N426">
        <v>0.32840000000000003</v>
      </c>
      <c r="O426">
        <v>7</v>
      </c>
      <c r="P426">
        <v>190</v>
      </c>
      <c r="Q426">
        <v>197</v>
      </c>
      <c r="R426" s="12" t="str">
        <f t="shared" si="30"/>
        <v>Clear/Few Clouds</v>
      </c>
      <c r="S426" s="14" t="str">
        <f t="shared" si="31"/>
        <v>Winter</v>
      </c>
      <c r="T426" s="15" t="str">
        <f t="shared" si="32"/>
        <v>Wednesday</v>
      </c>
      <c r="U426" t="str">
        <f t="shared" si="33"/>
        <v>January</v>
      </c>
      <c r="V426" s="16" t="str">
        <f t="shared" si="34"/>
        <v>GOOD</v>
      </c>
    </row>
    <row r="427" spans="1:22" x14ac:dyDescent="0.3">
      <c r="A427">
        <v>426</v>
      </c>
      <c r="B427" s="1">
        <v>40562</v>
      </c>
      <c r="C427">
        <v>1</v>
      </c>
      <c r="D427">
        <v>0</v>
      </c>
      <c r="E427">
        <v>1</v>
      </c>
      <c r="F427">
        <v>18</v>
      </c>
      <c r="G427" t="b">
        <f>IF(COUNTIF(AB$4:AB$20,Append1[[#This Row],[dteday]]) &gt; 0, TRUE, FALSE)</f>
        <v>0</v>
      </c>
      <c r="H427">
        <v>3</v>
      </c>
      <c r="I427">
        <v>1</v>
      </c>
      <c r="J427">
        <v>0.34</v>
      </c>
      <c r="K427">
        <f>Append1[[#This Row],[temp]]*100</f>
        <v>34</v>
      </c>
      <c r="L427">
        <v>0.31819999999999998</v>
      </c>
      <c r="M427">
        <v>0.61</v>
      </c>
      <c r="N427">
        <v>0.28360000000000002</v>
      </c>
      <c r="O427">
        <v>5</v>
      </c>
      <c r="P427">
        <v>156</v>
      </c>
      <c r="Q427">
        <v>161</v>
      </c>
      <c r="R427" s="12" t="str">
        <f t="shared" si="30"/>
        <v>Clear/Few Clouds</v>
      </c>
      <c r="S427" s="14" t="str">
        <f t="shared" si="31"/>
        <v>Winter</v>
      </c>
      <c r="T427" s="15" t="str">
        <f t="shared" si="32"/>
        <v>Wednesday</v>
      </c>
      <c r="U427" t="str">
        <f t="shared" si="33"/>
        <v>January</v>
      </c>
      <c r="V427" s="16" t="str">
        <f t="shared" si="34"/>
        <v>GOOD</v>
      </c>
    </row>
    <row r="428" spans="1:22" x14ac:dyDescent="0.3">
      <c r="A428">
        <v>427</v>
      </c>
      <c r="B428" s="1">
        <v>40562</v>
      </c>
      <c r="C428">
        <v>1</v>
      </c>
      <c r="D428">
        <v>0</v>
      </c>
      <c r="E428">
        <v>1</v>
      </c>
      <c r="F428">
        <v>19</v>
      </c>
      <c r="G428" t="b">
        <f>IF(COUNTIF(AB$4:AB$20,Append1[[#This Row],[dteday]]) &gt; 0, TRUE, FALSE)</f>
        <v>0</v>
      </c>
      <c r="H428">
        <v>3</v>
      </c>
      <c r="I428">
        <v>1</v>
      </c>
      <c r="J428">
        <v>0.32</v>
      </c>
      <c r="K428">
        <f>Append1[[#This Row],[temp]]*100</f>
        <v>32</v>
      </c>
      <c r="L428">
        <v>0.28789999999999999</v>
      </c>
      <c r="M428">
        <v>0.56999999999999995</v>
      </c>
      <c r="N428">
        <v>0.41789999999999999</v>
      </c>
      <c r="O428">
        <v>4</v>
      </c>
      <c r="P428">
        <v>108</v>
      </c>
      <c r="Q428">
        <v>112</v>
      </c>
      <c r="R428" s="12" t="str">
        <f t="shared" si="30"/>
        <v>Clear/Few Clouds</v>
      </c>
      <c r="S428" s="14" t="str">
        <f t="shared" si="31"/>
        <v>Winter</v>
      </c>
      <c r="T428" s="15" t="str">
        <f t="shared" si="32"/>
        <v>Wednesday</v>
      </c>
      <c r="U428" t="str">
        <f t="shared" si="33"/>
        <v>January</v>
      </c>
      <c r="V428" s="16" t="str">
        <f t="shared" si="34"/>
        <v>GOOD</v>
      </c>
    </row>
    <row r="429" spans="1:22" x14ac:dyDescent="0.3">
      <c r="A429">
        <v>428</v>
      </c>
      <c r="B429" s="1">
        <v>40562</v>
      </c>
      <c r="C429">
        <v>1</v>
      </c>
      <c r="D429">
        <v>0</v>
      </c>
      <c r="E429">
        <v>1</v>
      </c>
      <c r="F429">
        <v>20</v>
      </c>
      <c r="G429" t="b">
        <f>IF(COUNTIF(AB$4:AB$20,Append1[[#This Row],[dteday]]) &gt; 0, TRUE, FALSE)</f>
        <v>0</v>
      </c>
      <c r="H429">
        <v>3</v>
      </c>
      <c r="I429">
        <v>1</v>
      </c>
      <c r="J429">
        <v>0.32</v>
      </c>
      <c r="K429">
        <f>Append1[[#This Row],[temp]]*100</f>
        <v>32</v>
      </c>
      <c r="L429">
        <v>0.30299999999999999</v>
      </c>
      <c r="M429">
        <v>0.49</v>
      </c>
      <c r="N429">
        <v>0.29849999999999999</v>
      </c>
      <c r="O429">
        <v>2</v>
      </c>
      <c r="P429">
        <v>74</v>
      </c>
      <c r="Q429">
        <v>76</v>
      </c>
      <c r="R429" s="12" t="str">
        <f t="shared" si="30"/>
        <v>Clear/Few Clouds</v>
      </c>
      <c r="S429" s="14" t="str">
        <f t="shared" si="31"/>
        <v>Winter</v>
      </c>
      <c r="T429" s="15" t="str">
        <f t="shared" si="32"/>
        <v>Wednesday</v>
      </c>
      <c r="U429" t="str">
        <f t="shared" si="33"/>
        <v>January</v>
      </c>
      <c r="V429" s="16" t="str">
        <f t="shared" si="34"/>
        <v>GOOD</v>
      </c>
    </row>
    <row r="430" spans="1:22" x14ac:dyDescent="0.3">
      <c r="A430">
        <v>429</v>
      </c>
      <c r="B430" s="1">
        <v>40562</v>
      </c>
      <c r="C430">
        <v>1</v>
      </c>
      <c r="D430">
        <v>0</v>
      </c>
      <c r="E430">
        <v>1</v>
      </c>
      <c r="F430">
        <v>21</v>
      </c>
      <c r="G430" t="b">
        <f>IF(COUNTIF(AB$4:AB$20,Append1[[#This Row],[dteday]]) &gt; 0, TRUE, FALSE)</f>
        <v>0</v>
      </c>
      <c r="H430">
        <v>3</v>
      </c>
      <c r="I430">
        <v>1</v>
      </c>
      <c r="J430">
        <v>0.32</v>
      </c>
      <c r="K430">
        <f>Append1[[#This Row],[temp]]*100</f>
        <v>32</v>
      </c>
      <c r="L430">
        <v>0.28789999999999999</v>
      </c>
      <c r="M430">
        <v>0.49</v>
      </c>
      <c r="N430">
        <v>0.41789999999999999</v>
      </c>
      <c r="O430">
        <v>4</v>
      </c>
      <c r="P430">
        <v>55</v>
      </c>
      <c r="Q430">
        <v>59</v>
      </c>
      <c r="R430" s="12" t="str">
        <f t="shared" si="30"/>
        <v>Clear/Few Clouds</v>
      </c>
      <c r="S430" s="14" t="str">
        <f t="shared" si="31"/>
        <v>Winter</v>
      </c>
      <c r="T430" s="15" t="str">
        <f t="shared" si="32"/>
        <v>Wednesday</v>
      </c>
      <c r="U430" t="str">
        <f t="shared" si="33"/>
        <v>January</v>
      </c>
      <c r="V430" s="16" t="str">
        <f t="shared" si="34"/>
        <v>GOOD</v>
      </c>
    </row>
    <row r="431" spans="1:22" x14ac:dyDescent="0.3">
      <c r="A431">
        <v>430</v>
      </c>
      <c r="B431" s="1">
        <v>40562</v>
      </c>
      <c r="C431">
        <v>1</v>
      </c>
      <c r="D431">
        <v>0</v>
      </c>
      <c r="E431">
        <v>1</v>
      </c>
      <c r="F431">
        <v>22</v>
      </c>
      <c r="G431" t="b">
        <f>IF(COUNTIF(AB$4:AB$20,Append1[[#This Row],[dteday]]) &gt; 0, TRUE, FALSE)</f>
        <v>0</v>
      </c>
      <c r="H431">
        <v>3</v>
      </c>
      <c r="I431">
        <v>1</v>
      </c>
      <c r="J431">
        <v>0.3</v>
      </c>
      <c r="K431">
        <f>Append1[[#This Row],[temp]]*100</f>
        <v>30</v>
      </c>
      <c r="L431">
        <v>0.30299999999999999</v>
      </c>
      <c r="M431">
        <v>0.52</v>
      </c>
      <c r="N431">
        <v>0.16420000000000001</v>
      </c>
      <c r="O431">
        <v>6</v>
      </c>
      <c r="P431">
        <v>53</v>
      </c>
      <c r="Q431">
        <v>59</v>
      </c>
      <c r="R431" s="12" t="str">
        <f t="shared" si="30"/>
        <v>Clear/Few Clouds</v>
      </c>
      <c r="S431" s="14" t="str">
        <f t="shared" si="31"/>
        <v>Winter</v>
      </c>
      <c r="T431" s="15" t="str">
        <f t="shared" si="32"/>
        <v>Wednesday</v>
      </c>
      <c r="U431" t="str">
        <f t="shared" si="33"/>
        <v>January</v>
      </c>
      <c r="V431" s="16" t="str">
        <f t="shared" si="34"/>
        <v>GOOD</v>
      </c>
    </row>
    <row r="432" spans="1:22" x14ac:dyDescent="0.3">
      <c r="A432">
        <v>431</v>
      </c>
      <c r="B432" s="1">
        <v>40562</v>
      </c>
      <c r="C432">
        <v>1</v>
      </c>
      <c r="D432">
        <v>0</v>
      </c>
      <c r="E432">
        <v>1</v>
      </c>
      <c r="F432">
        <v>23</v>
      </c>
      <c r="G432" t="b">
        <f>IF(COUNTIF(AB$4:AB$20,Append1[[#This Row],[dteday]]) &gt; 0, TRUE, FALSE)</f>
        <v>0</v>
      </c>
      <c r="H432">
        <v>3</v>
      </c>
      <c r="I432">
        <v>1</v>
      </c>
      <c r="J432">
        <v>0.3</v>
      </c>
      <c r="K432">
        <f>Append1[[#This Row],[temp]]*100</f>
        <v>30</v>
      </c>
      <c r="L432">
        <v>0.2727</v>
      </c>
      <c r="M432">
        <v>0.52</v>
      </c>
      <c r="N432">
        <v>0.4627</v>
      </c>
      <c r="O432">
        <v>1</v>
      </c>
      <c r="P432">
        <v>27</v>
      </c>
      <c r="Q432">
        <v>28</v>
      </c>
      <c r="R432" s="12" t="str">
        <f t="shared" si="30"/>
        <v>Clear/Few Clouds</v>
      </c>
      <c r="S432" s="14" t="str">
        <f t="shared" si="31"/>
        <v>Winter</v>
      </c>
      <c r="T432" s="15" t="str">
        <f t="shared" si="32"/>
        <v>Wednesday</v>
      </c>
      <c r="U432" t="str">
        <f t="shared" si="33"/>
        <v>January</v>
      </c>
      <c r="V432" s="16" t="str">
        <f t="shared" si="34"/>
        <v>GOOD</v>
      </c>
    </row>
    <row r="433" spans="1:22" x14ac:dyDescent="0.3">
      <c r="A433">
        <v>432</v>
      </c>
      <c r="B433" s="1">
        <v>40563</v>
      </c>
      <c r="C433">
        <v>1</v>
      </c>
      <c r="D433">
        <v>0</v>
      </c>
      <c r="E433">
        <v>1</v>
      </c>
      <c r="F433">
        <v>0</v>
      </c>
      <c r="G433" t="b">
        <f>IF(COUNTIF(AB$4:AB$20,Append1[[#This Row],[dteday]]) &gt; 0, TRUE, FALSE)</f>
        <v>0</v>
      </c>
      <c r="H433">
        <v>4</v>
      </c>
      <c r="I433">
        <v>1</v>
      </c>
      <c r="J433">
        <v>0.26</v>
      </c>
      <c r="K433">
        <f>Append1[[#This Row],[temp]]*100</f>
        <v>26</v>
      </c>
      <c r="L433">
        <v>0.2273</v>
      </c>
      <c r="M433">
        <v>0.56000000000000005</v>
      </c>
      <c r="N433">
        <v>0.3881</v>
      </c>
      <c r="O433">
        <v>5</v>
      </c>
      <c r="P433">
        <v>8</v>
      </c>
      <c r="Q433">
        <v>13</v>
      </c>
      <c r="R433" s="12" t="str">
        <f t="shared" si="30"/>
        <v>Clear/Few Clouds</v>
      </c>
      <c r="S433" s="14" t="str">
        <f t="shared" si="31"/>
        <v>Winter</v>
      </c>
      <c r="T433" s="15" t="str">
        <f t="shared" si="32"/>
        <v>Thursday</v>
      </c>
      <c r="U433" t="str">
        <f t="shared" si="33"/>
        <v>January</v>
      </c>
      <c r="V433" s="16" t="str">
        <f t="shared" si="34"/>
        <v>GOOD</v>
      </c>
    </row>
    <row r="434" spans="1:22" x14ac:dyDescent="0.3">
      <c r="A434">
        <v>433</v>
      </c>
      <c r="B434" s="1">
        <v>40563</v>
      </c>
      <c r="C434">
        <v>1</v>
      </c>
      <c r="D434">
        <v>0</v>
      </c>
      <c r="E434">
        <v>1</v>
      </c>
      <c r="F434">
        <v>1</v>
      </c>
      <c r="G434" t="b">
        <f>IF(COUNTIF(AB$4:AB$20,Append1[[#This Row],[dteday]]) &gt; 0, TRUE, FALSE)</f>
        <v>0</v>
      </c>
      <c r="H434">
        <v>4</v>
      </c>
      <c r="I434">
        <v>1</v>
      </c>
      <c r="J434">
        <v>0.26</v>
      </c>
      <c r="K434">
        <f>Append1[[#This Row],[temp]]*100</f>
        <v>26</v>
      </c>
      <c r="L434">
        <v>0.2727</v>
      </c>
      <c r="M434">
        <v>0.56000000000000005</v>
      </c>
      <c r="N434">
        <v>0</v>
      </c>
      <c r="O434">
        <v>2</v>
      </c>
      <c r="P434">
        <v>3</v>
      </c>
      <c r="Q434">
        <v>5</v>
      </c>
      <c r="R434" s="12" t="str">
        <f t="shared" si="30"/>
        <v>Clear/Few Clouds</v>
      </c>
      <c r="S434" s="14" t="str">
        <f t="shared" si="31"/>
        <v>Winter</v>
      </c>
      <c r="T434" s="15" t="str">
        <f t="shared" si="32"/>
        <v>Thursday</v>
      </c>
      <c r="U434" t="str">
        <f t="shared" si="33"/>
        <v>January</v>
      </c>
      <c r="V434" s="16" t="str">
        <f t="shared" si="34"/>
        <v>GOOD</v>
      </c>
    </row>
    <row r="435" spans="1:22" x14ac:dyDescent="0.3">
      <c r="A435">
        <v>434</v>
      </c>
      <c r="B435" s="1">
        <v>40563</v>
      </c>
      <c r="C435">
        <v>1</v>
      </c>
      <c r="D435">
        <v>0</v>
      </c>
      <c r="E435">
        <v>1</v>
      </c>
      <c r="F435">
        <v>2</v>
      </c>
      <c r="G435" t="b">
        <f>IF(COUNTIF(AB$4:AB$20,Append1[[#This Row],[dteday]]) &gt; 0, TRUE, FALSE)</f>
        <v>0</v>
      </c>
      <c r="H435">
        <v>4</v>
      </c>
      <c r="I435">
        <v>1</v>
      </c>
      <c r="J435">
        <v>0.26</v>
      </c>
      <c r="K435">
        <f>Append1[[#This Row],[temp]]*100</f>
        <v>26</v>
      </c>
      <c r="L435">
        <v>0.2727</v>
      </c>
      <c r="M435">
        <v>0.56000000000000005</v>
      </c>
      <c r="N435">
        <v>0</v>
      </c>
      <c r="O435">
        <v>0</v>
      </c>
      <c r="P435">
        <v>2</v>
      </c>
      <c r="Q435">
        <v>2</v>
      </c>
      <c r="R435" s="12" t="str">
        <f t="shared" si="30"/>
        <v>Clear/Few Clouds</v>
      </c>
      <c r="S435" s="14" t="str">
        <f t="shared" si="31"/>
        <v>Winter</v>
      </c>
      <c r="T435" s="15" t="str">
        <f t="shared" si="32"/>
        <v>Thursday</v>
      </c>
      <c r="U435" t="str">
        <f t="shared" si="33"/>
        <v>January</v>
      </c>
      <c r="V435" s="16" t="str">
        <f t="shared" si="34"/>
        <v>GOOD</v>
      </c>
    </row>
    <row r="436" spans="1:22" x14ac:dyDescent="0.3">
      <c r="A436">
        <v>435</v>
      </c>
      <c r="B436" s="1">
        <v>40563</v>
      </c>
      <c r="C436">
        <v>1</v>
      </c>
      <c r="D436">
        <v>0</v>
      </c>
      <c r="E436">
        <v>1</v>
      </c>
      <c r="F436">
        <v>3</v>
      </c>
      <c r="G436" t="b">
        <f>IF(COUNTIF(AB$4:AB$20,Append1[[#This Row],[dteday]]) &gt; 0, TRUE, FALSE)</f>
        <v>0</v>
      </c>
      <c r="H436">
        <v>4</v>
      </c>
      <c r="I436">
        <v>1</v>
      </c>
      <c r="J436">
        <v>0.26</v>
      </c>
      <c r="K436">
        <f>Append1[[#This Row],[temp]]*100</f>
        <v>26</v>
      </c>
      <c r="L436">
        <v>0.2576</v>
      </c>
      <c r="M436">
        <v>0.56000000000000005</v>
      </c>
      <c r="N436">
        <v>0.16420000000000001</v>
      </c>
      <c r="O436">
        <v>0</v>
      </c>
      <c r="P436">
        <v>1</v>
      </c>
      <c r="Q436">
        <v>1</v>
      </c>
      <c r="R436" s="12" t="str">
        <f t="shared" si="30"/>
        <v>Clear/Few Clouds</v>
      </c>
      <c r="S436" s="14" t="str">
        <f t="shared" si="31"/>
        <v>Winter</v>
      </c>
      <c r="T436" s="15" t="str">
        <f t="shared" si="32"/>
        <v>Thursday</v>
      </c>
      <c r="U436" t="str">
        <f t="shared" si="33"/>
        <v>January</v>
      </c>
      <c r="V436" s="16" t="str">
        <f t="shared" si="34"/>
        <v>GOOD</v>
      </c>
    </row>
    <row r="437" spans="1:22" x14ac:dyDescent="0.3">
      <c r="A437">
        <v>436</v>
      </c>
      <c r="B437" s="1">
        <v>40563</v>
      </c>
      <c r="C437">
        <v>1</v>
      </c>
      <c r="D437">
        <v>0</v>
      </c>
      <c r="E437">
        <v>1</v>
      </c>
      <c r="F437">
        <v>4</v>
      </c>
      <c r="G437" t="b">
        <f>IF(COUNTIF(AB$4:AB$20,Append1[[#This Row],[dteday]]) &gt; 0, TRUE, FALSE)</f>
        <v>0</v>
      </c>
      <c r="H437">
        <v>4</v>
      </c>
      <c r="I437">
        <v>1</v>
      </c>
      <c r="J437">
        <v>0.26</v>
      </c>
      <c r="K437">
        <f>Append1[[#This Row],[temp]]*100</f>
        <v>26</v>
      </c>
      <c r="L437">
        <v>0.2576</v>
      </c>
      <c r="M437">
        <v>0.56000000000000005</v>
      </c>
      <c r="N437">
        <v>0.16420000000000001</v>
      </c>
      <c r="O437">
        <v>0</v>
      </c>
      <c r="P437">
        <v>1</v>
      </c>
      <c r="Q437">
        <v>1</v>
      </c>
      <c r="R437" s="12" t="str">
        <f t="shared" si="30"/>
        <v>Clear/Few Clouds</v>
      </c>
      <c r="S437" s="14" t="str">
        <f t="shared" si="31"/>
        <v>Winter</v>
      </c>
      <c r="T437" s="15" t="str">
        <f t="shared" si="32"/>
        <v>Thursday</v>
      </c>
      <c r="U437" t="str">
        <f t="shared" si="33"/>
        <v>January</v>
      </c>
      <c r="V437" s="16" t="str">
        <f t="shared" si="34"/>
        <v>GOOD</v>
      </c>
    </row>
    <row r="438" spans="1:22" x14ac:dyDescent="0.3">
      <c r="A438">
        <v>437</v>
      </c>
      <c r="B438" s="1">
        <v>40563</v>
      </c>
      <c r="C438">
        <v>1</v>
      </c>
      <c r="D438">
        <v>0</v>
      </c>
      <c r="E438">
        <v>1</v>
      </c>
      <c r="F438">
        <v>5</v>
      </c>
      <c r="G438" t="b">
        <f>IF(COUNTIF(AB$4:AB$20,Append1[[#This Row],[dteday]]) &gt; 0, TRUE, FALSE)</f>
        <v>0</v>
      </c>
      <c r="H438">
        <v>4</v>
      </c>
      <c r="I438">
        <v>1</v>
      </c>
      <c r="J438">
        <v>0.24</v>
      </c>
      <c r="K438">
        <f>Append1[[#This Row],[temp]]*100</f>
        <v>24</v>
      </c>
      <c r="L438">
        <v>0.2273</v>
      </c>
      <c r="M438">
        <v>0.6</v>
      </c>
      <c r="N438">
        <v>0.22389999999999999</v>
      </c>
      <c r="O438">
        <v>0</v>
      </c>
      <c r="P438">
        <v>6</v>
      </c>
      <c r="Q438">
        <v>6</v>
      </c>
      <c r="R438" s="12" t="str">
        <f t="shared" si="30"/>
        <v>Clear/Few Clouds</v>
      </c>
      <c r="S438" s="14" t="str">
        <f t="shared" si="31"/>
        <v>Winter</v>
      </c>
      <c r="T438" s="15" t="str">
        <f t="shared" si="32"/>
        <v>Thursday</v>
      </c>
      <c r="U438" t="str">
        <f t="shared" si="33"/>
        <v>January</v>
      </c>
      <c r="V438" s="16" t="str">
        <f t="shared" si="34"/>
        <v>GOOD</v>
      </c>
    </row>
    <row r="439" spans="1:22" x14ac:dyDescent="0.3">
      <c r="A439">
        <v>438</v>
      </c>
      <c r="B439" s="1">
        <v>40563</v>
      </c>
      <c r="C439">
        <v>1</v>
      </c>
      <c r="D439">
        <v>0</v>
      </c>
      <c r="E439">
        <v>1</v>
      </c>
      <c r="F439">
        <v>6</v>
      </c>
      <c r="G439" t="b">
        <f>IF(COUNTIF(AB$4:AB$20,Append1[[#This Row],[dteday]]) &gt; 0, TRUE, FALSE)</f>
        <v>0</v>
      </c>
      <c r="H439">
        <v>4</v>
      </c>
      <c r="I439">
        <v>1</v>
      </c>
      <c r="J439">
        <v>0.22</v>
      </c>
      <c r="K439">
        <f>Append1[[#This Row],[temp]]*100</f>
        <v>22</v>
      </c>
      <c r="L439">
        <v>0.21210000000000001</v>
      </c>
      <c r="M439">
        <v>0.6</v>
      </c>
      <c r="N439">
        <v>0.22389999999999999</v>
      </c>
      <c r="O439">
        <v>0</v>
      </c>
      <c r="P439">
        <v>35</v>
      </c>
      <c r="Q439">
        <v>35</v>
      </c>
      <c r="R439" s="12" t="str">
        <f t="shared" si="30"/>
        <v>Clear/Few Clouds</v>
      </c>
      <c r="S439" s="14" t="str">
        <f t="shared" si="31"/>
        <v>Winter</v>
      </c>
      <c r="T439" s="15" t="str">
        <f t="shared" si="32"/>
        <v>Thursday</v>
      </c>
      <c r="U439" t="str">
        <f t="shared" si="33"/>
        <v>January</v>
      </c>
      <c r="V439" s="16" t="str">
        <f t="shared" si="34"/>
        <v>GOOD</v>
      </c>
    </row>
    <row r="440" spans="1:22" x14ac:dyDescent="0.3">
      <c r="A440">
        <v>439</v>
      </c>
      <c r="B440" s="1">
        <v>40563</v>
      </c>
      <c r="C440">
        <v>1</v>
      </c>
      <c r="D440">
        <v>0</v>
      </c>
      <c r="E440">
        <v>1</v>
      </c>
      <c r="F440">
        <v>7</v>
      </c>
      <c r="G440" t="b">
        <f>IF(COUNTIF(AB$4:AB$20,Append1[[#This Row],[dteday]]) &gt; 0, TRUE, FALSE)</f>
        <v>0</v>
      </c>
      <c r="H440">
        <v>4</v>
      </c>
      <c r="I440">
        <v>1</v>
      </c>
      <c r="J440">
        <v>0.22</v>
      </c>
      <c r="K440">
        <f>Append1[[#This Row],[temp]]*100</f>
        <v>22</v>
      </c>
      <c r="L440">
        <v>0.21210000000000001</v>
      </c>
      <c r="M440">
        <v>0.55000000000000004</v>
      </c>
      <c r="N440">
        <v>0.22389999999999999</v>
      </c>
      <c r="O440">
        <v>1</v>
      </c>
      <c r="P440">
        <v>100</v>
      </c>
      <c r="Q440">
        <v>101</v>
      </c>
      <c r="R440" s="12" t="str">
        <f t="shared" si="30"/>
        <v>Clear/Few Clouds</v>
      </c>
      <c r="S440" s="14" t="str">
        <f t="shared" si="31"/>
        <v>Winter</v>
      </c>
      <c r="T440" s="15" t="str">
        <f t="shared" si="32"/>
        <v>Thursday</v>
      </c>
      <c r="U440" t="str">
        <f t="shared" si="33"/>
        <v>January</v>
      </c>
      <c r="V440" s="16" t="str">
        <f t="shared" si="34"/>
        <v>GOOD</v>
      </c>
    </row>
    <row r="441" spans="1:22" x14ac:dyDescent="0.3">
      <c r="A441">
        <v>440</v>
      </c>
      <c r="B441" s="1">
        <v>40563</v>
      </c>
      <c r="C441">
        <v>1</v>
      </c>
      <c r="D441">
        <v>0</v>
      </c>
      <c r="E441">
        <v>1</v>
      </c>
      <c r="F441">
        <v>8</v>
      </c>
      <c r="G441" t="b">
        <f>IF(COUNTIF(AB$4:AB$20,Append1[[#This Row],[dteday]]) &gt; 0, TRUE, FALSE)</f>
        <v>0</v>
      </c>
      <c r="H441">
        <v>4</v>
      </c>
      <c r="I441">
        <v>1</v>
      </c>
      <c r="J441">
        <v>0.22</v>
      </c>
      <c r="K441">
        <f>Append1[[#This Row],[temp]]*100</f>
        <v>22</v>
      </c>
      <c r="L441">
        <v>0.21210000000000001</v>
      </c>
      <c r="M441">
        <v>0.55000000000000004</v>
      </c>
      <c r="N441">
        <v>0.28360000000000002</v>
      </c>
      <c r="O441">
        <v>2</v>
      </c>
      <c r="P441">
        <v>247</v>
      </c>
      <c r="Q441">
        <v>249</v>
      </c>
      <c r="R441" s="12" t="str">
        <f t="shared" si="30"/>
        <v>Clear/Few Clouds</v>
      </c>
      <c r="S441" s="14" t="str">
        <f t="shared" si="31"/>
        <v>Winter</v>
      </c>
      <c r="T441" s="15" t="str">
        <f t="shared" si="32"/>
        <v>Thursday</v>
      </c>
      <c r="U441" t="str">
        <f t="shared" si="33"/>
        <v>January</v>
      </c>
      <c r="V441" s="16" t="str">
        <f t="shared" si="34"/>
        <v>GOOD</v>
      </c>
    </row>
    <row r="442" spans="1:22" x14ac:dyDescent="0.3">
      <c r="A442">
        <v>441</v>
      </c>
      <c r="B442" s="1">
        <v>40563</v>
      </c>
      <c r="C442">
        <v>1</v>
      </c>
      <c r="D442">
        <v>0</v>
      </c>
      <c r="E442">
        <v>1</v>
      </c>
      <c r="F442">
        <v>9</v>
      </c>
      <c r="G442" t="b">
        <f>IF(COUNTIF(AB$4:AB$20,Append1[[#This Row],[dteday]]) &gt; 0, TRUE, FALSE)</f>
        <v>0</v>
      </c>
      <c r="H442">
        <v>4</v>
      </c>
      <c r="I442">
        <v>2</v>
      </c>
      <c r="J442">
        <v>0.24</v>
      </c>
      <c r="K442">
        <f>Append1[[#This Row],[temp]]*100</f>
        <v>24</v>
      </c>
      <c r="L442">
        <v>0.2273</v>
      </c>
      <c r="M442">
        <v>0.52</v>
      </c>
      <c r="N442">
        <v>0.22389999999999999</v>
      </c>
      <c r="O442">
        <v>3</v>
      </c>
      <c r="P442">
        <v>140</v>
      </c>
      <c r="Q442">
        <v>143</v>
      </c>
      <c r="R442" s="12" t="str">
        <f t="shared" si="30"/>
        <v>Mist/Cloudy</v>
      </c>
      <c r="S442" s="14" t="str">
        <f t="shared" si="31"/>
        <v>Winter</v>
      </c>
      <c r="T442" s="15" t="str">
        <f t="shared" si="32"/>
        <v>Thursday</v>
      </c>
      <c r="U442" t="str">
        <f t="shared" si="33"/>
        <v>January</v>
      </c>
      <c r="V442" s="16" t="str">
        <f t="shared" si="34"/>
        <v>MODERATE</v>
      </c>
    </row>
    <row r="443" spans="1:22" x14ac:dyDescent="0.3">
      <c r="A443">
        <v>442</v>
      </c>
      <c r="B443" s="1">
        <v>40563</v>
      </c>
      <c r="C443">
        <v>1</v>
      </c>
      <c r="D443">
        <v>0</v>
      </c>
      <c r="E443">
        <v>1</v>
      </c>
      <c r="F443">
        <v>10</v>
      </c>
      <c r="G443" t="b">
        <f>IF(COUNTIF(AB$4:AB$20,Append1[[#This Row],[dteday]]) &gt; 0, TRUE, FALSE)</f>
        <v>0</v>
      </c>
      <c r="H443">
        <v>4</v>
      </c>
      <c r="I443">
        <v>1</v>
      </c>
      <c r="J443">
        <v>0.26</v>
      </c>
      <c r="K443">
        <f>Append1[[#This Row],[temp]]*100</f>
        <v>26</v>
      </c>
      <c r="L443">
        <v>0.2273</v>
      </c>
      <c r="M443">
        <v>0.48</v>
      </c>
      <c r="N443">
        <v>0.29849999999999999</v>
      </c>
      <c r="O443">
        <v>1</v>
      </c>
      <c r="P443">
        <v>56</v>
      </c>
      <c r="Q443">
        <v>57</v>
      </c>
      <c r="R443" s="12" t="str">
        <f t="shared" si="30"/>
        <v>Clear/Few Clouds</v>
      </c>
      <c r="S443" s="14" t="str">
        <f t="shared" si="31"/>
        <v>Winter</v>
      </c>
      <c r="T443" s="15" t="str">
        <f t="shared" si="32"/>
        <v>Thursday</v>
      </c>
      <c r="U443" t="str">
        <f t="shared" si="33"/>
        <v>January</v>
      </c>
      <c r="V443" s="16" t="str">
        <f t="shared" si="34"/>
        <v>GOOD</v>
      </c>
    </row>
    <row r="444" spans="1:22" x14ac:dyDescent="0.3">
      <c r="A444">
        <v>443</v>
      </c>
      <c r="B444" s="1">
        <v>40563</v>
      </c>
      <c r="C444">
        <v>1</v>
      </c>
      <c r="D444">
        <v>0</v>
      </c>
      <c r="E444">
        <v>1</v>
      </c>
      <c r="F444">
        <v>11</v>
      </c>
      <c r="G444" t="b">
        <f>IF(COUNTIF(AB$4:AB$20,Append1[[#This Row],[dteday]]) &gt; 0, TRUE, FALSE)</f>
        <v>0</v>
      </c>
      <c r="H444">
        <v>4</v>
      </c>
      <c r="I444">
        <v>2</v>
      </c>
      <c r="J444">
        <v>0.28000000000000003</v>
      </c>
      <c r="K444">
        <f>Append1[[#This Row],[temp]]*100</f>
        <v>28.000000000000004</v>
      </c>
      <c r="L444">
        <v>0.2727</v>
      </c>
      <c r="M444">
        <v>0.45</v>
      </c>
      <c r="N444">
        <v>0.16420000000000001</v>
      </c>
      <c r="O444">
        <v>5</v>
      </c>
      <c r="P444">
        <v>63</v>
      </c>
      <c r="Q444">
        <v>68</v>
      </c>
      <c r="R444" s="12" t="str">
        <f t="shared" si="30"/>
        <v>Mist/Cloudy</v>
      </c>
      <c r="S444" s="14" t="str">
        <f t="shared" si="31"/>
        <v>Winter</v>
      </c>
      <c r="T444" s="15" t="str">
        <f t="shared" si="32"/>
        <v>Thursday</v>
      </c>
      <c r="U444" t="str">
        <f t="shared" si="33"/>
        <v>January</v>
      </c>
      <c r="V444" s="16" t="str">
        <f t="shared" si="34"/>
        <v>MODERATE</v>
      </c>
    </row>
    <row r="445" spans="1:22" x14ac:dyDescent="0.3">
      <c r="A445">
        <v>444</v>
      </c>
      <c r="B445" s="1">
        <v>40563</v>
      </c>
      <c r="C445">
        <v>1</v>
      </c>
      <c r="D445">
        <v>0</v>
      </c>
      <c r="E445">
        <v>1</v>
      </c>
      <c r="F445">
        <v>12</v>
      </c>
      <c r="G445" t="b">
        <f>IF(COUNTIF(AB$4:AB$20,Append1[[#This Row],[dteday]]) &gt; 0, TRUE, FALSE)</f>
        <v>0</v>
      </c>
      <c r="H445">
        <v>4</v>
      </c>
      <c r="I445">
        <v>2</v>
      </c>
      <c r="J445">
        <v>0.3</v>
      </c>
      <c r="K445">
        <f>Append1[[#This Row],[temp]]*100</f>
        <v>30</v>
      </c>
      <c r="L445">
        <v>0.33329999999999999</v>
      </c>
      <c r="M445">
        <v>0.42</v>
      </c>
      <c r="N445">
        <v>0</v>
      </c>
      <c r="O445">
        <v>7</v>
      </c>
      <c r="P445">
        <v>77</v>
      </c>
      <c r="Q445">
        <v>84</v>
      </c>
      <c r="R445" s="12" t="str">
        <f t="shared" si="30"/>
        <v>Mist/Cloudy</v>
      </c>
      <c r="S445" s="14" t="str">
        <f t="shared" si="31"/>
        <v>Winter</v>
      </c>
      <c r="T445" s="15" t="str">
        <f t="shared" si="32"/>
        <v>Thursday</v>
      </c>
      <c r="U445" t="str">
        <f t="shared" si="33"/>
        <v>January</v>
      </c>
      <c r="V445" s="16" t="str">
        <f t="shared" si="34"/>
        <v>MODERATE</v>
      </c>
    </row>
    <row r="446" spans="1:22" x14ac:dyDescent="0.3">
      <c r="A446">
        <v>445</v>
      </c>
      <c r="B446" s="1">
        <v>40563</v>
      </c>
      <c r="C446">
        <v>1</v>
      </c>
      <c r="D446">
        <v>0</v>
      </c>
      <c r="E446">
        <v>1</v>
      </c>
      <c r="F446">
        <v>13</v>
      </c>
      <c r="G446" t="b">
        <f>IF(COUNTIF(AB$4:AB$20,Append1[[#This Row],[dteday]]) &gt; 0, TRUE, FALSE)</f>
        <v>0</v>
      </c>
      <c r="H446">
        <v>4</v>
      </c>
      <c r="I446">
        <v>2</v>
      </c>
      <c r="J446">
        <v>0.28000000000000003</v>
      </c>
      <c r="K446">
        <f>Append1[[#This Row],[temp]]*100</f>
        <v>28.000000000000004</v>
      </c>
      <c r="L446">
        <v>0.28789999999999999</v>
      </c>
      <c r="M446">
        <v>0.45</v>
      </c>
      <c r="N446">
        <v>0.1045</v>
      </c>
      <c r="O446">
        <v>12</v>
      </c>
      <c r="P446">
        <v>86</v>
      </c>
      <c r="Q446">
        <v>98</v>
      </c>
      <c r="R446" s="12" t="str">
        <f t="shared" si="30"/>
        <v>Mist/Cloudy</v>
      </c>
      <c r="S446" s="14" t="str">
        <f t="shared" si="31"/>
        <v>Winter</v>
      </c>
      <c r="T446" s="15" t="str">
        <f t="shared" si="32"/>
        <v>Thursday</v>
      </c>
      <c r="U446" t="str">
        <f t="shared" si="33"/>
        <v>January</v>
      </c>
      <c r="V446" s="16" t="str">
        <f t="shared" si="34"/>
        <v>MODERATE</v>
      </c>
    </row>
    <row r="447" spans="1:22" x14ac:dyDescent="0.3">
      <c r="A447">
        <v>446</v>
      </c>
      <c r="B447" s="1">
        <v>40563</v>
      </c>
      <c r="C447">
        <v>1</v>
      </c>
      <c r="D447">
        <v>0</v>
      </c>
      <c r="E447">
        <v>1</v>
      </c>
      <c r="F447">
        <v>14</v>
      </c>
      <c r="G447" t="b">
        <f>IF(COUNTIF(AB$4:AB$20,Append1[[#This Row],[dteday]]) &gt; 0, TRUE, FALSE)</f>
        <v>0</v>
      </c>
      <c r="H447">
        <v>4</v>
      </c>
      <c r="I447">
        <v>2</v>
      </c>
      <c r="J447">
        <v>0.3</v>
      </c>
      <c r="K447">
        <f>Append1[[#This Row],[temp]]*100</f>
        <v>30</v>
      </c>
      <c r="L447">
        <v>0.30299999999999999</v>
      </c>
      <c r="M447">
        <v>0.45</v>
      </c>
      <c r="N447">
        <v>0.1343</v>
      </c>
      <c r="O447">
        <v>6</v>
      </c>
      <c r="P447">
        <v>75</v>
      </c>
      <c r="Q447">
        <v>81</v>
      </c>
      <c r="R447" s="12" t="str">
        <f t="shared" si="30"/>
        <v>Mist/Cloudy</v>
      </c>
      <c r="S447" s="14" t="str">
        <f t="shared" si="31"/>
        <v>Winter</v>
      </c>
      <c r="T447" s="15" t="str">
        <f t="shared" si="32"/>
        <v>Thursday</v>
      </c>
      <c r="U447" t="str">
        <f t="shared" si="33"/>
        <v>January</v>
      </c>
      <c r="V447" s="16" t="str">
        <f t="shared" si="34"/>
        <v>MODERATE</v>
      </c>
    </row>
    <row r="448" spans="1:22" x14ac:dyDescent="0.3">
      <c r="A448">
        <v>447</v>
      </c>
      <c r="B448" s="1">
        <v>40563</v>
      </c>
      <c r="C448">
        <v>1</v>
      </c>
      <c r="D448">
        <v>0</v>
      </c>
      <c r="E448">
        <v>1</v>
      </c>
      <c r="F448">
        <v>15</v>
      </c>
      <c r="G448" t="b">
        <f>IF(COUNTIF(AB$4:AB$20,Append1[[#This Row],[dteday]]) &gt; 0, TRUE, FALSE)</f>
        <v>0</v>
      </c>
      <c r="H448">
        <v>4</v>
      </c>
      <c r="I448">
        <v>2</v>
      </c>
      <c r="J448">
        <v>0.32</v>
      </c>
      <c r="K448">
        <f>Append1[[#This Row],[temp]]*100</f>
        <v>32</v>
      </c>
      <c r="L448">
        <v>0.31819999999999998</v>
      </c>
      <c r="M448">
        <v>0.45</v>
      </c>
      <c r="N448">
        <v>0.19400000000000001</v>
      </c>
      <c r="O448">
        <v>8</v>
      </c>
      <c r="P448">
        <v>62</v>
      </c>
      <c r="Q448">
        <v>70</v>
      </c>
      <c r="R448" s="12" t="str">
        <f t="shared" si="30"/>
        <v>Mist/Cloudy</v>
      </c>
      <c r="S448" s="14" t="str">
        <f t="shared" si="31"/>
        <v>Winter</v>
      </c>
      <c r="T448" s="15" t="str">
        <f t="shared" si="32"/>
        <v>Thursday</v>
      </c>
      <c r="U448" t="str">
        <f t="shared" si="33"/>
        <v>January</v>
      </c>
      <c r="V448" s="16" t="str">
        <f t="shared" si="34"/>
        <v>MODERATE</v>
      </c>
    </row>
    <row r="449" spans="1:22" x14ac:dyDescent="0.3">
      <c r="A449">
        <v>448</v>
      </c>
      <c r="B449" s="1">
        <v>40563</v>
      </c>
      <c r="C449">
        <v>1</v>
      </c>
      <c r="D449">
        <v>0</v>
      </c>
      <c r="E449">
        <v>1</v>
      </c>
      <c r="F449">
        <v>16</v>
      </c>
      <c r="G449" t="b">
        <f>IF(COUNTIF(AB$4:AB$20,Append1[[#This Row],[dteday]]) &gt; 0, TRUE, FALSE)</f>
        <v>0</v>
      </c>
      <c r="H449">
        <v>4</v>
      </c>
      <c r="I449">
        <v>2</v>
      </c>
      <c r="J449">
        <v>0.3</v>
      </c>
      <c r="K449">
        <f>Append1[[#This Row],[temp]]*100</f>
        <v>30</v>
      </c>
      <c r="L449">
        <v>0.30299999999999999</v>
      </c>
      <c r="M449">
        <v>0.49</v>
      </c>
      <c r="N449">
        <v>0.1343</v>
      </c>
      <c r="O449">
        <v>8</v>
      </c>
      <c r="P449">
        <v>83</v>
      </c>
      <c r="Q449">
        <v>91</v>
      </c>
      <c r="R449" s="12" t="str">
        <f t="shared" si="30"/>
        <v>Mist/Cloudy</v>
      </c>
      <c r="S449" s="14" t="str">
        <f t="shared" si="31"/>
        <v>Winter</v>
      </c>
      <c r="T449" s="15" t="str">
        <f t="shared" si="32"/>
        <v>Thursday</v>
      </c>
      <c r="U449" t="str">
        <f t="shared" si="33"/>
        <v>January</v>
      </c>
      <c r="V449" s="16" t="str">
        <f t="shared" si="34"/>
        <v>MODERATE</v>
      </c>
    </row>
    <row r="450" spans="1:22" x14ac:dyDescent="0.3">
      <c r="A450">
        <v>449</v>
      </c>
      <c r="B450" s="1">
        <v>40563</v>
      </c>
      <c r="C450">
        <v>1</v>
      </c>
      <c r="D450">
        <v>0</v>
      </c>
      <c r="E450">
        <v>1</v>
      </c>
      <c r="F450">
        <v>17</v>
      </c>
      <c r="G450" t="b">
        <f>IF(COUNTIF(AB$4:AB$20,Append1[[#This Row],[dteday]]) &gt; 0, TRUE, FALSE)</f>
        <v>0</v>
      </c>
      <c r="H450">
        <v>4</v>
      </c>
      <c r="I450">
        <v>2</v>
      </c>
      <c r="J450">
        <v>0.3</v>
      </c>
      <c r="K450">
        <f>Append1[[#This Row],[temp]]*100</f>
        <v>30</v>
      </c>
      <c r="L450">
        <v>0.31819999999999998</v>
      </c>
      <c r="M450">
        <v>0.49</v>
      </c>
      <c r="N450">
        <v>0.1045</v>
      </c>
      <c r="O450">
        <v>8</v>
      </c>
      <c r="P450">
        <v>207</v>
      </c>
      <c r="Q450">
        <v>215</v>
      </c>
      <c r="R450" s="12" t="str">
        <f t="shared" ref="R450:R513" si="35">_xlfn.IFS(I450=1,"Clear/Few Clouds",I450=2,"Mist/Cloudy",I450=3,"Light Rain/Snow",I450=4,"Heavy Rain/Snow")</f>
        <v>Mist/Cloudy</v>
      </c>
      <c r="S450" s="14" t="str">
        <f t="shared" ref="S450:S513" si="36">_xlfn.IFS(C450=1,"Winter",C450=2,"Spring",C450=3,"Summer",C450=4,"Autumn")</f>
        <v>Winter</v>
      </c>
      <c r="T450" s="15" t="str">
        <f t="shared" ref="T450:T513" si="37">TEXT(B450,"dddd")</f>
        <v>Thursday</v>
      </c>
      <c r="U450" t="str">
        <f t="shared" ref="U450:U513" si="38">TEXT(B450,"mmmm")</f>
        <v>January</v>
      </c>
      <c r="V450" s="16" t="str">
        <f t="shared" ref="V450:V513" si="39">_xlfn.IFS(I450=1,"GOOD",I450=2,"MODERATE",I450=3,"BAD",I450=4,"WORSE")</f>
        <v>MODERATE</v>
      </c>
    </row>
    <row r="451" spans="1:22" x14ac:dyDescent="0.3">
      <c r="A451">
        <v>450</v>
      </c>
      <c r="B451" s="1">
        <v>40563</v>
      </c>
      <c r="C451">
        <v>1</v>
      </c>
      <c r="D451">
        <v>0</v>
      </c>
      <c r="E451">
        <v>1</v>
      </c>
      <c r="F451">
        <v>18</v>
      </c>
      <c r="G451" t="b">
        <f>IF(COUNTIF(AB$4:AB$20,Append1[[#This Row],[dteday]]) &gt; 0, TRUE, FALSE)</f>
        <v>0</v>
      </c>
      <c r="H451">
        <v>4</v>
      </c>
      <c r="I451">
        <v>2</v>
      </c>
      <c r="J451">
        <v>0.26</v>
      </c>
      <c r="K451">
        <f>Append1[[#This Row],[temp]]*100</f>
        <v>26</v>
      </c>
      <c r="L451">
        <v>0.2576</v>
      </c>
      <c r="M451">
        <v>0.56000000000000005</v>
      </c>
      <c r="N451">
        <v>0.19400000000000001</v>
      </c>
      <c r="O451">
        <v>1</v>
      </c>
      <c r="P451">
        <v>184</v>
      </c>
      <c r="Q451">
        <v>185</v>
      </c>
      <c r="R451" s="12" t="str">
        <f t="shared" si="35"/>
        <v>Mist/Cloudy</v>
      </c>
      <c r="S451" s="14" t="str">
        <f t="shared" si="36"/>
        <v>Winter</v>
      </c>
      <c r="T451" s="15" t="str">
        <f t="shared" si="37"/>
        <v>Thursday</v>
      </c>
      <c r="U451" t="str">
        <f t="shared" si="38"/>
        <v>January</v>
      </c>
      <c r="V451" s="16" t="str">
        <f t="shared" si="39"/>
        <v>MODERATE</v>
      </c>
    </row>
    <row r="452" spans="1:22" x14ac:dyDescent="0.3">
      <c r="A452">
        <v>451</v>
      </c>
      <c r="B452" s="1">
        <v>40563</v>
      </c>
      <c r="C452">
        <v>1</v>
      </c>
      <c r="D452">
        <v>0</v>
      </c>
      <c r="E452">
        <v>1</v>
      </c>
      <c r="F452">
        <v>19</v>
      </c>
      <c r="G452" t="b">
        <f>IF(COUNTIF(AB$4:AB$20,Append1[[#This Row],[dteday]]) &gt; 0, TRUE, FALSE)</f>
        <v>0</v>
      </c>
      <c r="H452">
        <v>4</v>
      </c>
      <c r="I452">
        <v>1</v>
      </c>
      <c r="J452">
        <v>0.26</v>
      </c>
      <c r="K452">
        <f>Append1[[#This Row],[temp]]*100</f>
        <v>26</v>
      </c>
      <c r="L452">
        <v>0.2273</v>
      </c>
      <c r="M452">
        <v>0.56000000000000005</v>
      </c>
      <c r="N452">
        <v>0.32840000000000003</v>
      </c>
      <c r="O452">
        <v>6</v>
      </c>
      <c r="P452">
        <v>146</v>
      </c>
      <c r="Q452">
        <v>152</v>
      </c>
      <c r="R452" s="12" t="str">
        <f t="shared" si="35"/>
        <v>Clear/Few Clouds</v>
      </c>
      <c r="S452" s="14" t="str">
        <f t="shared" si="36"/>
        <v>Winter</v>
      </c>
      <c r="T452" s="15" t="str">
        <f t="shared" si="37"/>
        <v>Thursday</v>
      </c>
      <c r="U452" t="str">
        <f t="shared" si="38"/>
        <v>January</v>
      </c>
      <c r="V452" s="16" t="str">
        <f t="shared" si="39"/>
        <v>GOOD</v>
      </c>
    </row>
    <row r="453" spans="1:22" x14ac:dyDescent="0.3">
      <c r="A453">
        <v>452</v>
      </c>
      <c r="B453" s="1">
        <v>40563</v>
      </c>
      <c r="C453">
        <v>1</v>
      </c>
      <c r="D453">
        <v>0</v>
      </c>
      <c r="E453">
        <v>1</v>
      </c>
      <c r="F453">
        <v>20</v>
      </c>
      <c r="G453" t="b">
        <f>IF(COUNTIF(AB$4:AB$20,Append1[[#This Row],[dteday]]) &gt; 0, TRUE, FALSE)</f>
        <v>0</v>
      </c>
      <c r="H453">
        <v>4</v>
      </c>
      <c r="I453">
        <v>2</v>
      </c>
      <c r="J453">
        <v>0.26</v>
      </c>
      <c r="K453">
        <f>Append1[[#This Row],[temp]]*100</f>
        <v>26</v>
      </c>
      <c r="L453">
        <v>0.2424</v>
      </c>
      <c r="M453">
        <v>0.6</v>
      </c>
      <c r="N453">
        <v>0.28360000000000002</v>
      </c>
      <c r="O453">
        <v>2</v>
      </c>
      <c r="P453">
        <v>124</v>
      </c>
      <c r="Q453">
        <v>126</v>
      </c>
      <c r="R453" s="12" t="str">
        <f t="shared" si="35"/>
        <v>Mist/Cloudy</v>
      </c>
      <c r="S453" s="14" t="str">
        <f t="shared" si="36"/>
        <v>Winter</v>
      </c>
      <c r="T453" s="15" t="str">
        <f t="shared" si="37"/>
        <v>Thursday</v>
      </c>
      <c r="U453" t="str">
        <f t="shared" si="38"/>
        <v>January</v>
      </c>
      <c r="V453" s="16" t="str">
        <f t="shared" si="39"/>
        <v>MODERATE</v>
      </c>
    </row>
    <row r="454" spans="1:22" x14ac:dyDescent="0.3">
      <c r="A454">
        <v>453</v>
      </c>
      <c r="B454" s="1">
        <v>40563</v>
      </c>
      <c r="C454">
        <v>1</v>
      </c>
      <c r="D454">
        <v>0</v>
      </c>
      <c r="E454">
        <v>1</v>
      </c>
      <c r="F454">
        <v>21</v>
      </c>
      <c r="G454" t="b">
        <f>IF(COUNTIF(AB$4:AB$20,Append1[[#This Row],[dteday]]) &gt; 0, TRUE, FALSE)</f>
        <v>0</v>
      </c>
      <c r="H454">
        <v>4</v>
      </c>
      <c r="I454">
        <v>2</v>
      </c>
      <c r="J454">
        <v>0.24</v>
      </c>
      <c r="K454">
        <f>Append1[[#This Row],[temp]]*100</f>
        <v>24</v>
      </c>
      <c r="L454">
        <v>0.2273</v>
      </c>
      <c r="M454">
        <v>0.6</v>
      </c>
      <c r="N454">
        <v>0.25369999999999998</v>
      </c>
      <c r="O454">
        <v>3</v>
      </c>
      <c r="P454">
        <v>54</v>
      </c>
      <c r="Q454">
        <v>57</v>
      </c>
      <c r="R454" s="12" t="str">
        <f t="shared" si="35"/>
        <v>Mist/Cloudy</v>
      </c>
      <c r="S454" s="14" t="str">
        <f t="shared" si="36"/>
        <v>Winter</v>
      </c>
      <c r="T454" s="15" t="str">
        <f t="shared" si="37"/>
        <v>Thursday</v>
      </c>
      <c r="U454" t="str">
        <f t="shared" si="38"/>
        <v>January</v>
      </c>
      <c r="V454" s="16" t="str">
        <f t="shared" si="39"/>
        <v>MODERATE</v>
      </c>
    </row>
    <row r="455" spans="1:22" x14ac:dyDescent="0.3">
      <c r="A455">
        <v>454</v>
      </c>
      <c r="B455" s="1">
        <v>40563</v>
      </c>
      <c r="C455">
        <v>1</v>
      </c>
      <c r="D455">
        <v>0</v>
      </c>
      <c r="E455">
        <v>1</v>
      </c>
      <c r="F455">
        <v>22</v>
      </c>
      <c r="G455" t="b">
        <f>IF(COUNTIF(AB$4:AB$20,Append1[[#This Row],[dteday]]) &gt; 0, TRUE, FALSE)</f>
        <v>0</v>
      </c>
      <c r="H455">
        <v>4</v>
      </c>
      <c r="I455">
        <v>2</v>
      </c>
      <c r="J455">
        <v>0.24</v>
      </c>
      <c r="K455">
        <f>Append1[[#This Row],[temp]]*100</f>
        <v>24</v>
      </c>
      <c r="L455">
        <v>0.21210000000000001</v>
      </c>
      <c r="M455">
        <v>0.65</v>
      </c>
      <c r="N455">
        <v>0.28360000000000002</v>
      </c>
      <c r="O455">
        <v>0</v>
      </c>
      <c r="P455">
        <v>56</v>
      </c>
      <c r="Q455">
        <v>56</v>
      </c>
      <c r="R455" s="12" t="str">
        <f t="shared" si="35"/>
        <v>Mist/Cloudy</v>
      </c>
      <c r="S455" s="14" t="str">
        <f t="shared" si="36"/>
        <v>Winter</v>
      </c>
      <c r="T455" s="15" t="str">
        <f t="shared" si="37"/>
        <v>Thursday</v>
      </c>
      <c r="U455" t="str">
        <f t="shared" si="38"/>
        <v>January</v>
      </c>
      <c r="V455" s="16" t="str">
        <f t="shared" si="39"/>
        <v>MODERATE</v>
      </c>
    </row>
    <row r="456" spans="1:22" x14ac:dyDescent="0.3">
      <c r="A456">
        <v>455</v>
      </c>
      <c r="B456" s="1">
        <v>40563</v>
      </c>
      <c r="C456">
        <v>1</v>
      </c>
      <c r="D456">
        <v>0</v>
      </c>
      <c r="E456">
        <v>1</v>
      </c>
      <c r="F456">
        <v>23</v>
      </c>
      <c r="G456" t="b">
        <f>IF(COUNTIF(AB$4:AB$20,Append1[[#This Row],[dteday]]) &gt; 0, TRUE, FALSE)</f>
        <v>0</v>
      </c>
      <c r="H456">
        <v>4</v>
      </c>
      <c r="I456">
        <v>2</v>
      </c>
      <c r="J456">
        <v>0.24</v>
      </c>
      <c r="K456">
        <f>Append1[[#This Row],[temp]]*100</f>
        <v>24</v>
      </c>
      <c r="L456">
        <v>0.21210000000000001</v>
      </c>
      <c r="M456">
        <v>0.65</v>
      </c>
      <c r="N456">
        <v>0.32840000000000003</v>
      </c>
      <c r="O456">
        <v>3</v>
      </c>
      <c r="P456">
        <v>28</v>
      </c>
      <c r="Q456">
        <v>31</v>
      </c>
      <c r="R456" s="12" t="str">
        <f t="shared" si="35"/>
        <v>Mist/Cloudy</v>
      </c>
      <c r="S456" s="14" t="str">
        <f t="shared" si="36"/>
        <v>Winter</v>
      </c>
      <c r="T456" s="15" t="str">
        <f t="shared" si="37"/>
        <v>Thursday</v>
      </c>
      <c r="U456" t="str">
        <f t="shared" si="38"/>
        <v>January</v>
      </c>
      <c r="V456" s="16" t="str">
        <f t="shared" si="39"/>
        <v>MODERATE</v>
      </c>
    </row>
    <row r="457" spans="1:22" x14ac:dyDescent="0.3">
      <c r="A457">
        <v>456</v>
      </c>
      <c r="B457" s="1">
        <v>40564</v>
      </c>
      <c r="C457">
        <v>1</v>
      </c>
      <c r="D457">
        <v>0</v>
      </c>
      <c r="E457">
        <v>1</v>
      </c>
      <c r="F457">
        <v>0</v>
      </c>
      <c r="G457" t="b">
        <f>IF(COUNTIF(AB$4:AB$20,Append1[[#This Row],[dteday]]) &gt; 0, TRUE, FALSE)</f>
        <v>0</v>
      </c>
      <c r="H457">
        <v>5</v>
      </c>
      <c r="I457">
        <v>2</v>
      </c>
      <c r="J457">
        <v>0.24</v>
      </c>
      <c r="K457">
        <f>Append1[[#This Row],[temp]]*100</f>
        <v>24</v>
      </c>
      <c r="L457">
        <v>0.2273</v>
      </c>
      <c r="M457">
        <v>0.7</v>
      </c>
      <c r="N457">
        <v>0.25369999999999998</v>
      </c>
      <c r="O457">
        <v>1</v>
      </c>
      <c r="P457">
        <v>20</v>
      </c>
      <c r="Q457">
        <v>21</v>
      </c>
      <c r="R457" s="12" t="str">
        <f t="shared" si="35"/>
        <v>Mist/Cloudy</v>
      </c>
      <c r="S457" s="14" t="str">
        <f t="shared" si="36"/>
        <v>Winter</v>
      </c>
      <c r="T457" s="15" t="str">
        <f t="shared" si="37"/>
        <v>Friday</v>
      </c>
      <c r="U457" t="str">
        <f t="shared" si="38"/>
        <v>January</v>
      </c>
      <c r="V457" s="16" t="str">
        <f t="shared" si="39"/>
        <v>MODERATE</v>
      </c>
    </row>
    <row r="458" spans="1:22" x14ac:dyDescent="0.3">
      <c r="A458">
        <v>457</v>
      </c>
      <c r="B458" s="1">
        <v>40564</v>
      </c>
      <c r="C458">
        <v>1</v>
      </c>
      <c r="D458">
        <v>0</v>
      </c>
      <c r="E458">
        <v>1</v>
      </c>
      <c r="F458">
        <v>1</v>
      </c>
      <c r="G458" t="b">
        <f>IF(COUNTIF(AB$4:AB$20,Append1[[#This Row],[dteday]]) &gt; 0, TRUE, FALSE)</f>
        <v>0</v>
      </c>
      <c r="H458">
        <v>5</v>
      </c>
      <c r="I458">
        <v>2</v>
      </c>
      <c r="J458">
        <v>0.24</v>
      </c>
      <c r="K458">
        <f>Append1[[#This Row],[temp]]*100</f>
        <v>24</v>
      </c>
      <c r="L458">
        <v>0.2273</v>
      </c>
      <c r="M458">
        <v>0.7</v>
      </c>
      <c r="N458">
        <v>0.25369999999999998</v>
      </c>
      <c r="O458">
        <v>0</v>
      </c>
      <c r="P458">
        <v>6</v>
      </c>
      <c r="Q458">
        <v>6</v>
      </c>
      <c r="R458" s="12" t="str">
        <f t="shared" si="35"/>
        <v>Mist/Cloudy</v>
      </c>
      <c r="S458" s="14" t="str">
        <f t="shared" si="36"/>
        <v>Winter</v>
      </c>
      <c r="T458" s="15" t="str">
        <f t="shared" si="37"/>
        <v>Friday</v>
      </c>
      <c r="U458" t="str">
        <f t="shared" si="38"/>
        <v>January</v>
      </c>
      <c r="V458" s="16" t="str">
        <f t="shared" si="39"/>
        <v>MODERATE</v>
      </c>
    </row>
    <row r="459" spans="1:22" x14ac:dyDescent="0.3">
      <c r="A459">
        <v>458</v>
      </c>
      <c r="B459" s="1">
        <v>40564</v>
      </c>
      <c r="C459">
        <v>1</v>
      </c>
      <c r="D459">
        <v>0</v>
      </c>
      <c r="E459">
        <v>1</v>
      </c>
      <c r="F459">
        <v>2</v>
      </c>
      <c r="G459" t="b">
        <f>IF(COUNTIF(AB$4:AB$20,Append1[[#This Row],[dteday]]) &gt; 0, TRUE, FALSE)</f>
        <v>0</v>
      </c>
      <c r="H459">
        <v>5</v>
      </c>
      <c r="I459">
        <v>3</v>
      </c>
      <c r="J459">
        <v>0.24</v>
      </c>
      <c r="K459">
        <f>Append1[[#This Row],[temp]]*100</f>
        <v>24</v>
      </c>
      <c r="L459">
        <v>0.2424</v>
      </c>
      <c r="M459">
        <v>0.75</v>
      </c>
      <c r="N459">
        <v>0.16420000000000001</v>
      </c>
      <c r="O459">
        <v>0</v>
      </c>
      <c r="P459">
        <v>2</v>
      </c>
      <c r="Q459">
        <v>2</v>
      </c>
      <c r="R459" s="12" t="str">
        <f t="shared" si="35"/>
        <v>Light Rain/Snow</v>
      </c>
      <c r="S459" s="14" t="str">
        <f t="shared" si="36"/>
        <v>Winter</v>
      </c>
      <c r="T459" s="15" t="str">
        <f t="shared" si="37"/>
        <v>Friday</v>
      </c>
      <c r="U459" t="str">
        <f t="shared" si="38"/>
        <v>January</v>
      </c>
      <c r="V459" s="16" t="str">
        <f t="shared" si="39"/>
        <v>BAD</v>
      </c>
    </row>
    <row r="460" spans="1:22" x14ac:dyDescent="0.3">
      <c r="A460">
        <v>459</v>
      </c>
      <c r="B460" s="1">
        <v>40564</v>
      </c>
      <c r="C460">
        <v>1</v>
      </c>
      <c r="D460">
        <v>0</v>
      </c>
      <c r="E460">
        <v>1</v>
      </c>
      <c r="F460">
        <v>3</v>
      </c>
      <c r="G460" t="b">
        <f>IF(COUNTIF(AB$4:AB$20,Append1[[#This Row],[dteday]]) &gt; 0, TRUE, FALSE)</f>
        <v>0</v>
      </c>
      <c r="H460">
        <v>5</v>
      </c>
      <c r="I460">
        <v>3</v>
      </c>
      <c r="J460">
        <v>0.22</v>
      </c>
      <c r="K460">
        <f>Append1[[#This Row],[temp]]*100</f>
        <v>22</v>
      </c>
      <c r="L460">
        <v>0.21210000000000001</v>
      </c>
      <c r="M460">
        <v>0.8</v>
      </c>
      <c r="N460">
        <v>0.29849999999999999</v>
      </c>
      <c r="O460">
        <v>0</v>
      </c>
      <c r="P460">
        <v>1</v>
      </c>
      <c r="Q460">
        <v>1</v>
      </c>
      <c r="R460" s="12" t="str">
        <f t="shared" si="35"/>
        <v>Light Rain/Snow</v>
      </c>
      <c r="S460" s="14" t="str">
        <f t="shared" si="36"/>
        <v>Winter</v>
      </c>
      <c r="T460" s="15" t="str">
        <f t="shared" si="37"/>
        <v>Friday</v>
      </c>
      <c r="U460" t="str">
        <f t="shared" si="38"/>
        <v>January</v>
      </c>
      <c r="V460" s="16" t="str">
        <f t="shared" si="39"/>
        <v>BAD</v>
      </c>
    </row>
    <row r="461" spans="1:22" x14ac:dyDescent="0.3">
      <c r="A461">
        <v>460</v>
      </c>
      <c r="B461" s="1">
        <v>40564</v>
      </c>
      <c r="C461">
        <v>1</v>
      </c>
      <c r="D461">
        <v>0</v>
      </c>
      <c r="E461">
        <v>1</v>
      </c>
      <c r="F461">
        <v>4</v>
      </c>
      <c r="G461" t="b">
        <f>IF(COUNTIF(AB$4:AB$20,Append1[[#This Row],[dteday]]) &gt; 0, TRUE, FALSE)</f>
        <v>0</v>
      </c>
      <c r="H461">
        <v>5</v>
      </c>
      <c r="I461">
        <v>2</v>
      </c>
      <c r="J461">
        <v>0.22</v>
      </c>
      <c r="K461">
        <f>Append1[[#This Row],[temp]]*100</f>
        <v>22</v>
      </c>
      <c r="L461">
        <v>0.2576</v>
      </c>
      <c r="M461">
        <v>0.87</v>
      </c>
      <c r="N461">
        <v>8.9599999999999999E-2</v>
      </c>
      <c r="O461">
        <v>0</v>
      </c>
      <c r="P461">
        <v>1</v>
      </c>
      <c r="Q461">
        <v>1</v>
      </c>
      <c r="R461" s="12" t="str">
        <f t="shared" si="35"/>
        <v>Mist/Cloudy</v>
      </c>
      <c r="S461" s="14" t="str">
        <f t="shared" si="36"/>
        <v>Winter</v>
      </c>
      <c r="T461" s="15" t="str">
        <f t="shared" si="37"/>
        <v>Friday</v>
      </c>
      <c r="U461" t="str">
        <f t="shared" si="38"/>
        <v>January</v>
      </c>
      <c r="V461" s="16" t="str">
        <f t="shared" si="39"/>
        <v>MODERATE</v>
      </c>
    </row>
    <row r="462" spans="1:22" x14ac:dyDescent="0.3">
      <c r="A462">
        <v>461</v>
      </c>
      <c r="B462" s="1">
        <v>40564</v>
      </c>
      <c r="C462">
        <v>1</v>
      </c>
      <c r="D462">
        <v>0</v>
      </c>
      <c r="E462">
        <v>1</v>
      </c>
      <c r="F462">
        <v>5</v>
      </c>
      <c r="G462" t="b">
        <f>IF(COUNTIF(AB$4:AB$20,Append1[[#This Row],[dteday]]) &gt; 0, TRUE, FALSE)</f>
        <v>0</v>
      </c>
      <c r="H462">
        <v>5</v>
      </c>
      <c r="I462">
        <v>1</v>
      </c>
      <c r="J462">
        <v>0.24</v>
      </c>
      <c r="K462">
        <f>Append1[[#This Row],[temp]]*100</f>
        <v>24</v>
      </c>
      <c r="L462">
        <v>0.19700000000000001</v>
      </c>
      <c r="M462">
        <v>0.6</v>
      </c>
      <c r="N462">
        <v>0.41789999999999999</v>
      </c>
      <c r="O462">
        <v>1</v>
      </c>
      <c r="P462">
        <v>4</v>
      </c>
      <c r="Q462">
        <v>5</v>
      </c>
      <c r="R462" s="12" t="str">
        <f t="shared" si="35"/>
        <v>Clear/Few Clouds</v>
      </c>
      <c r="S462" s="14" t="str">
        <f t="shared" si="36"/>
        <v>Winter</v>
      </c>
      <c r="T462" s="15" t="str">
        <f t="shared" si="37"/>
        <v>Friday</v>
      </c>
      <c r="U462" t="str">
        <f t="shared" si="38"/>
        <v>January</v>
      </c>
      <c r="V462" s="16" t="str">
        <f t="shared" si="39"/>
        <v>GOOD</v>
      </c>
    </row>
    <row r="463" spans="1:22" x14ac:dyDescent="0.3">
      <c r="A463">
        <v>462</v>
      </c>
      <c r="B463" s="1">
        <v>40564</v>
      </c>
      <c r="C463">
        <v>1</v>
      </c>
      <c r="D463">
        <v>0</v>
      </c>
      <c r="E463">
        <v>1</v>
      </c>
      <c r="F463">
        <v>6</v>
      </c>
      <c r="G463" t="b">
        <f>IF(COUNTIF(AB$4:AB$20,Append1[[#This Row],[dteday]]) &gt; 0, TRUE, FALSE)</f>
        <v>0</v>
      </c>
      <c r="H463">
        <v>5</v>
      </c>
      <c r="I463">
        <v>1</v>
      </c>
      <c r="J463">
        <v>0.22</v>
      </c>
      <c r="K463">
        <f>Append1[[#This Row],[temp]]*100</f>
        <v>22</v>
      </c>
      <c r="L463">
        <v>0.21210000000000001</v>
      </c>
      <c r="M463">
        <v>0.55000000000000004</v>
      </c>
      <c r="N463">
        <v>0.25369999999999998</v>
      </c>
      <c r="O463">
        <v>0</v>
      </c>
      <c r="P463">
        <v>27</v>
      </c>
      <c r="Q463">
        <v>27</v>
      </c>
      <c r="R463" s="12" t="str">
        <f t="shared" si="35"/>
        <v>Clear/Few Clouds</v>
      </c>
      <c r="S463" s="14" t="str">
        <f t="shared" si="36"/>
        <v>Winter</v>
      </c>
      <c r="T463" s="15" t="str">
        <f t="shared" si="37"/>
        <v>Friday</v>
      </c>
      <c r="U463" t="str">
        <f t="shared" si="38"/>
        <v>January</v>
      </c>
      <c r="V463" s="16" t="str">
        <f t="shared" si="39"/>
        <v>GOOD</v>
      </c>
    </row>
    <row r="464" spans="1:22" x14ac:dyDescent="0.3">
      <c r="A464">
        <v>463</v>
      </c>
      <c r="B464" s="1">
        <v>40564</v>
      </c>
      <c r="C464">
        <v>1</v>
      </c>
      <c r="D464">
        <v>0</v>
      </c>
      <c r="E464">
        <v>1</v>
      </c>
      <c r="F464">
        <v>7</v>
      </c>
      <c r="G464" t="b">
        <f>IF(COUNTIF(AB$4:AB$20,Append1[[#This Row],[dteday]]) &gt; 0, TRUE, FALSE)</f>
        <v>0</v>
      </c>
      <c r="H464">
        <v>5</v>
      </c>
      <c r="I464">
        <v>1</v>
      </c>
      <c r="J464">
        <v>0.2</v>
      </c>
      <c r="K464">
        <f>Append1[[#This Row],[temp]]*100</f>
        <v>20</v>
      </c>
      <c r="L464">
        <v>0.18179999999999999</v>
      </c>
      <c r="M464">
        <v>0.51</v>
      </c>
      <c r="N464">
        <v>0.28360000000000002</v>
      </c>
      <c r="O464">
        <v>2</v>
      </c>
      <c r="P464">
        <v>66</v>
      </c>
      <c r="Q464">
        <v>68</v>
      </c>
      <c r="R464" s="12" t="str">
        <f t="shared" si="35"/>
        <v>Clear/Few Clouds</v>
      </c>
      <c r="S464" s="14" t="str">
        <f t="shared" si="36"/>
        <v>Winter</v>
      </c>
      <c r="T464" s="15" t="str">
        <f t="shared" si="37"/>
        <v>Friday</v>
      </c>
      <c r="U464" t="str">
        <f t="shared" si="38"/>
        <v>January</v>
      </c>
      <c r="V464" s="16" t="str">
        <f t="shared" si="39"/>
        <v>GOOD</v>
      </c>
    </row>
    <row r="465" spans="1:22" x14ac:dyDescent="0.3">
      <c r="A465">
        <v>464</v>
      </c>
      <c r="B465" s="1">
        <v>40564</v>
      </c>
      <c r="C465">
        <v>1</v>
      </c>
      <c r="D465">
        <v>0</v>
      </c>
      <c r="E465">
        <v>1</v>
      </c>
      <c r="F465">
        <v>8</v>
      </c>
      <c r="G465" t="b">
        <f>IF(COUNTIF(AB$4:AB$20,Append1[[#This Row],[dteday]]) &gt; 0, TRUE, FALSE)</f>
        <v>0</v>
      </c>
      <c r="H465">
        <v>5</v>
      </c>
      <c r="I465">
        <v>1</v>
      </c>
      <c r="J465">
        <v>0.2</v>
      </c>
      <c r="K465">
        <f>Append1[[#This Row],[temp]]*100</f>
        <v>20</v>
      </c>
      <c r="L465">
        <v>0.18179999999999999</v>
      </c>
      <c r="M465">
        <v>0.47</v>
      </c>
      <c r="N465">
        <v>0.32840000000000003</v>
      </c>
      <c r="O465">
        <v>7</v>
      </c>
      <c r="P465">
        <v>210</v>
      </c>
      <c r="Q465">
        <v>217</v>
      </c>
      <c r="R465" s="12" t="str">
        <f t="shared" si="35"/>
        <v>Clear/Few Clouds</v>
      </c>
      <c r="S465" s="14" t="str">
        <f t="shared" si="36"/>
        <v>Winter</v>
      </c>
      <c r="T465" s="15" t="str">
        <f t="shared" si="37"/>
        <v>Friday</v>
      </c>
      <c r="U465" t="str">
        <f t="shared" si="38"/>
        <v>January</v>
      </c>
      <c r="V465" s="16" t="str">
        <f t="shared" si="39"/>
        <v>GOOD</v>
      </c>
    </row>
    <row r="466" spans="1:22" x14ac:dyDescent="0.3">
      <c r="A466">
        <v>465</v>
      </c>
      <c r="B466" s="1">
        <v>40564</v>
      </c>
      <c r="C466">
        <v>1</v>
      </c>
      <c r="D466">
        <v>0</v>
      </c>
      <c r="E466">
        <v>1</v>
      </c>
      <c r="F466">
        <v>9</v>
      </c>
      <c r="G466" t="b">
        <f>IF(COUNTIF(AB$4:AB$20,Append1[[#This Row],[dteday]]) &gt; 0, TRUE, FALSE)</f>
        <v>0</v>
      </c>
      <c r="H466">
        <v>5</v>
      </c>
      <c r="I466">
        <v>1</v>
      </c>
      <c r="J466">
        <v>0.2</v>
      </c>
      <c r="K466">
        <f>Append1[[#This Row],[temp]]*100</f>
        <v>20</v>
      </c>
      <c r="L466">
        <v>0.18179999999999999</v>
      </c>
      <c r="M466">
        <v>0.51</v>
      </c>
      <c r="N466">
        <v>0.35820000000000002</v>
      </c>
      <c r="O466">
        <v>7</v>
      </c>
      <c r="P466">
        <v>159</v>
      </c>
      <c r="Q466">
        <v>166</v>
      </c>
      <c r="R466" s="12" t="str">
        <f t="shared" si="35"/>
        <v>Clear/Few Clouds</v>
      </c>
      <c r="S466" s="14" t="str">
        <f t="shared" si="36"/>
        <v>Winter</v>
      </c>
      <c r="T466" s="15" t="str">
        <f t="shared" si="37"/>
        <v>Friday</v>
      </c>
      <c r="U466" t="str">
        <f t="shared" si="38"/>
        <v>January</v>
      </c>
      <c r="V466" s="16" t="str">
        <f t="shared" si="39"/>
        <v>GOOD</v>
      </c>
    </row>
    <row r="467" spans="1:22" x14ac:dyDescent="0.3">
      <c r="A467">
        <v>466</v>
      </c>
      <c r="B467" s="1">
        <v>40564</v>
      </c>
      <c r="C467">
        <v>1</v>
      </c>
      <c r="D467">
        <v>0</v>
      </c>
      <c r="E467">
        <v>1</v>
      </c>
      <c r="F467">
        <v>10</v>
      </c>
      <c r="G467" t="b">
        <f>IF(COUNTIF(AB$4:AB$20,Append1[[#This Row],[dteday]]) &gt; 0, TRUE, FALSE)</f>
        <v>0</v>
      </c>
      <c r="H467">
        <v>5</v>
      </c>
      <c r="I467">
        <v>1</v>
      </c>
      <c r="J467">
        <v>0.2</v>
      </c>
      <c r="K467">
        <f>Append1[[#This Row],[temp]]*100</f>
        <v>20</v>
      </c>
      <c r="L467">
        <v>0.16669999999999999</v>
      </c>
      <c r="M467">
        <v>0.47</v>
      </c>
      <c r="N467">
        <v>0.4627</v>
      </c>
      <c r="O467">
        <v>6</v>
      </c>
      <c r="P467">
        <v>57</v>
      </c>
      <c r="Q467">
        <v>63</v>
      </c>
      <c r="R467" s="12" t="str">
        <f t="shared" si="35"/>
        <v>Clear/Few Clouds</v>
      </c>
      <c r="S467" s="14" t="str">
        <f t="shared" si="36"/>
        <v>Winter</v>
      </c>
      <c r="T467" s="15" t="str">
        <f t="shared" si="37"/>
        <v>Friday</v>
      </c>
      <c r="U467" t="str">
        <f t="shared" si="38"/>
        <v>January</v>
      </c>
      <c r="V467" s="16" t="str">
        <f t="shared" si="39"/>
        <v>GOOD</v>
      </c>
    </row>
    <row r="468" spans="1:22" x14ac:dyDescent="0.3">
      <c r="A468">
        <v>467</v>
      </c>
      <c r="B468" s="1">
        <v>40564</v>
      </c>
      <c r="C468">
        <v>1</v>
      </c>
      <c r="D468">
        <v>0</v>
      </c>
      <c r="E468">
        <v>1</v>
      </c>
      <c r="F468">
        <v>11</v>
      </c>
      <c r="G468" t="b">
        <f>IF(COUNTIF(AB$4:AB$20,Append1[[#This Row],[dteday]]) &gt; 0, TRUE, FALSE)</f>
        <v>0</v>
      </c>
      <c r="H468">
        <v>5</v>
      </c>
      <c r="I468">
        <v>1</v>
      </c>
      <c r="J468">
        <v>0.22</v>
      </c>
      <c r="K468">
        <f>Append1[[#This Row],[temp]]*100</f>
        <v>22</v>
      </c>
      <c r="L468">
        <v>0.18179999999999999</v>
      </c>
      <c r="M468">
        <v>0.41</v>
      </c>
      <c r="N468">
        <v>0.4627</v>
      </c>
      <c r="O468">
        <v>6</v>
      </c>
      <c r="P468">
        <v>53</v>
      </c>
      <c r="Q468">
        <v>59</v>
      </c>
      <c r="R468" s="12" t="str">
        <f t="shared" si="35"/>
        <v>Clear/Few Clouds</v>
      </c>
      <c r="S468" s="14" t="str">
        <f t="shared" si="36"/>
        <v>Winter</v>
      </c>
      <c r="T468" s="15" t="str">
        <f t="shared" si="37"/>
        <v>Friday</v>
      </c>
      <c r="U468" t="str">
        <f t="shared" si="38"/>
        <v>January</v>
      </c>
      <c r="V468" s="16" t="str">
        <f t="shared" si="39"/>
        <v>GOOD</v>
      </c>
    </row>
    <row r="469" spans="1:22" x14ac:dyDescent="0.3">
      <c r="A469">
        <v>468</v>
      </c>
      <c r="B469" s="1">
        <v>40564</v>
      </c>
      <c r="C469">
        <v>1</v>
      </c>
      <c r="D469">
        <v>0</v>
      </c>
      <c r="E469">
        <v>1</v>
      </c>
      <c r="F469">
        <v>12</v>
      </c>
      <c r="G469" t="b">
        <f>IF(COUNTIF(AB$4:AB$20,Append1[[#This Row],[dteday]]) &gt; 0, TRUE, FALSE)</f>
        <v>0</v>
      </c>
      <c r="H469">
        <v>5</v>
      </c>
      <c r="I469">
        <v>1</v>
      </c>
      <c r="J469">
        <v>0.22</v>
      </c>
      <c r="K469">
        <f>Append1[[#This Row],[temp]]*100</f>
        <v>22</v>
      </c>
      <c r="L469">
        <v>0.18179999999999999</v>
      </c>
      <c r="M469">
        <v>0.27</v>
      </c>
      <c r="N469">
        <v>0.58209999999999995</v>
      </c>
      <c r="O469">
        <v>11</v>
      </c>
      <c r="P469">
        <v>67</v>
      </c>
      <c r="Q469">
        <v>78</v>
      </c>
      <c r="R469" s="12" t="str">
        <f t="shared" si="35"/>
        <v>Clear/Few Clouds</v>
      </c>
      <c r="S469" s="14" t="str">
        <f t="shared" si="36"/>
        <v>Winter</v>
      </c>
      <c r="T469" s="15" t="str">
        <f t="shared" si="37"/>
        <v>Friday</v>
      </c>
      <c r="U469" t="str">
        <f t="shared" si="38"/>
        <v>January</v>
      </c>
      <c r="V469" s="16" t="str">
        <f t="shared" si="39"/>
        <v>GOOD</v>
      </c>
    </row>
    <row r="470" spans="1:22" x14ac:dyDescent="0.3">
      <c r="A470">
        <v>469</v>
      </c>
      <c r="B470" s="1">
        <v>40564</v>
      </c>
      <c r="C470">
        <v>1</v>
      </c>
      <c r="D470">
        <v>0</v>
      </c>
      <c r="E470">
        <v>1</v>
      </c>
      <c r="F470">
        <v>13</v>
      </c>
      <c r="G470" t="b">
        <f>IF(COUNTIF(AB$4:AB$20,Append1[[#This Row],[dteday]]) &gt; 0, TRUE, FALSE)</f>
        <v>0</v>
      </c>
      <c r="H470">
        <v>5</v>
      </c>
      <c r="I470">
        <v>1</v>
      </c>
      <c r="J470">
        <v>0.2</v>
      </c>
      <c r="K470">
        <f>Append1[[#This Row],[temp]]*100</f>
        <v>20</v>
      </c>
      <c r="L470">
        <v>0.1515</v>
      </c>
      <c r="M470">
        <v>0.21</v>
      </c>
      <c r="N470">
        <v>0.58209999999999995</v>
      </c>
      <c r="O470">
        <v>8</v>
      </c>
      <c r="P470">
        <v>65</v>
      </c>
      <c r="Q470">
        <v>73</v>
      </c>
      <c r="R470" s="12" t="str">
        <f t="shared" si="35"/>
        <v>Clear/Few Clouds</v>
      </c>
      <c r="S470" s="14" t="str">
        <f t="shared" si="36"/>
        <v>Winter</v>
      </c>
      <c r="T470" s="15" t="str">
        <f t="shared" si="37"/>
        <v>Friday</v>
      </c>
      <c r="U470" t="str">
        <f t="shared" si="38"/>
        <v>January</v>
      </c>
      <c r="V470" s="16" t="str">
        <f t="shared" si="39"/>
        <v>GOOD</v>
      </c>
    </row>
    <row r="471" spans="1:22" x14ac:dyDescent="0.3">
      <c r="A471">
        <v>470</v>
      </c>
      <c r="B471" s="1">
        <v>40564</v>
      </c>
      <c r="C471">
        <v>1</v>
      </c>
      <c r="D471">
        <v>0</v>
      </c>
      <c r="E471">
        <v>1</v>
      </c>
      <c r="F471">
        <v>14</v>
      </c>
      <c r="G471" t="b">
        <f>IF(COUNTIF(AB$4:AB$20,Append1[[#This Row],[dteday]]) &gt; 0, TRUE, FALSE)</f>
        <v>0</v>
      </c>
      <c r="H471">
        <v>5</v>
      </c>
      <c r="I471">
        <v>1</v>
      </c>
      <c r="J471">
        <v>0.2</v>
      </c>
      <c r="K471">
        <f>Append1[[#This Row],[temp]]*100</f>
        <v>20</v>
      </c>
      <c r="L471">
        <v>0.1515</v>
      </c>
      <c r="M471">
        <v>0.25</v>
      </c>
      <c r="N471">
        <v>0.52239999999999998</v>
      </c>
      <c r="O471">
        <v>6</v>
      </c>
      <c r="P471">
        <v>56</v>
      </c>
      <c r="Q471">
        <v>62</v>
      </c>
      <c r="R471" s="12" t="str">
        <f t="shared" si="35"/>
        <v>Clear/Few Clouds</v>
      </c>
      <c r="S471" s="14" t="str">
        <f t="shared" si="36"/>
        <v>Winter</v>
      </c>
      <c r="T471" s="15" t="str">
        <f t="shared" si="37"/>
        <v>Friday</v>
      </c>
      <c r="U471" t="str">
        <f t="shared" si="38"/>
        <v>January</v>
      </c>
      <c r="V471" s="16" t="str">
        <f t="shared" si="39"/>
        <v>GOOD</v>
      </c>
    </row>
    <row r="472" spans="1:22" x14ac:dyDescent="0.3">
      <c r="A472">
        <v>471</v>
      </c>
      <c r="B472" s="1">
        <v>40564</v>
      </c>
      <c r="C472">
        <v>1</v>
      </c>
      <c r="D472">
        <v>0</v>
      </c>
      <c r="E472">
        <v>1</v>
      </c>
      <c r="F472">
        <v>15</v>
      </c>
      <c r="G472" t="b">
        <f>IF(COUNTIF(AB$4:AB$20,Append1[[#This Row],[dteday]]) &gt; 0, TRUE, FALSE)</f>
        <v>0</v>
      </c>
      <c r="H472">
        <v>5</v>
      </c>
      <c r="I472">
        <v>1</v>
      </c>
      <c r="J472">
        <v>0.16</v>
      </c>
      <c r="K472">
        <f>Append1[[#This Row],[temp]]*100</f>
        <v>16</v>
      </c>
      <c r="L472">
        <v>0.1212</v>
      </c>
      <c r="M472">
        <v>0.26</v>
      </c>
      <c r="N472">
        <v>0.44779999999999998</v>
      </c>
      <c r="O472">
        <v>4</v>
      </c>
      <c r="P472">
        <v>61</v>
      </c>
      <c r="Q472">
        <v>65</v>
      </c>
      <c r="R472" s="12" t="str">
        <f t="shared" si="35"/>
        <v>Clear/Few Clouds</v>
      </c>
      <c r="S472" s="14" t="str">
        <f t="shared" si="36"/>
        <v>Winter</v>
      </c>
      <c r="T472" s="15" t="str">
        <f t="shared" si="37"/>
        <v>Friday</v>
      </c>
      <c r="U472" t="str">
        <f t="shared" si="38"/>
        <v>January</v>
      </c>
      <c r="V472" s="16" t="str">
        <f t="shared" si="39"/>
        <v>GOOD</v>
      </c>
    </row>
    <row r="473" spans="1:22" x14ac:dyDescent="0.3">
      <c r="A473">
        <v>472</v>
      </c>
      <c r="B473" s="1">
        <v>40564</v>
      </c>
      <c r="C473">
        <v>1</v>
      </c>
      <c r="D473">
        <v>0</v>
      </c>
      <c r="E473">
        <v>1</v>
      </c>
      <c r="F473">
        <v>16</v>
      </c>
      <c r="G473" t="b">
        <f>IF(COUNTIF(AB$4:AB$20,Append1[[#This Row],[dteday]]) &gt; 0, TRUE, FALSE)</f>
        <v>0</v>
      </c>
      <c r="H473">
        <v>5</v>
      </c>
      <c r="I473">
        <v>1</v>
      </c>
      <c r="J473">
        <v>0.16</v>
      </c>
      <c r="K473">
        <f>Append1[[#This Row],[temp]]*100</f>
        <v>16</v>
      </c>
      <c r="L473">
        <v>0.13639999999999999</v>
      </c>
      <c r="M473">
        <v>0.26</v>
      </c>
      <c r="N473">
        <v>0.35820000000000002</v>
      </c>
      <c r="O473">
        <v>0</v>
      </c>
      <c r="P473">
        <v>97</v>
      </c>
      <c r="Q473">
        <v>97</v>
      </c>
      <c r="R473" s="12" t="str">
        <f t="shared" si="35"/>
        <v>Clear/Few Clouds</v>
      </c>
      <c r="S473" s="14" t="str">
        <f t="shared" si="36"/>
        <v>Winter</v>
      </c>
      <c r="T473" s="15" t="str">
        <f t="shared" si="37"/>
        <v>Friday</v>
      </c>
      <c r="U473" t="str">
        <f t="shared" si="38"/>
        <v>January</v>
      </c>
      <c r="V473" s="16" t="str">
        <f t="shared" si="39"/>
        <v>GOOD</v>
      </c>
    </row>
    <row r="474" spans="1:22" x14ac:dyDescent="0.3">
      <c r="A474">
        <v>473</v>
      </c>
      <c r="B474" s="1">
        <v>40564</v>
      </c>
      <c r="C474">
        <v>1</v>
      </c>
      <c r="D474">
        <v>0</v>
      </c>
      <c r="E474">
        <v>1</v>
      </c>
      <c r="F474">
        <v>17</v>
      </c>
      <c r="G474" t="b">
        <f>IF(COUNTIF(AB$4:AB$20,Append1[[#This Row],[dteday]]) &gt; 0, TRUE, FALSE)</f>
        <v>0</v>
      </c>
      <c r="H474">
        <v>5</v>
      </c>
      <c r="I474">
        <v>1</v>
      </c>
      <c r="J474">
        <v>0.14000000000000001</v>
      </c>
      <c r="K474">
        <f>Append1[[#This Row],[temp]]*100</f>
        <v>14.000000000000002</v>
      </c>
      <c r="L474">
        <v>0.1212</v>
      </c>
      <c r="M474">
        <v>0.28000000000000003</v>
      </c>
      <c r="N474">
        <v>0.35820000000000002</v>
      </c>
      <c r="O474">
        <v>10</v>
      </c>
      <c r="P474">
        <v>151</v>
      </c>
      <c r="Q474">
        <v>161</v>
      </c>
      <c r="R474" s="12" t="str">
        <f t="shared" si="35"/>
        <v>Clear/Few Clouds</v>
      </c>
      <c r="S474" s="14" t="str">
        <f t="shared" si="36"/>
        <v>Winter</v>
      </c>
      <c r="T474" s="15" t="str">
        <f t="shared" si="37"/>
        <v>Friday</v>
      </c>
      <c r="U474" t="str">
        <f t="shared" si="38"/>
        <v>January</v>
      </c>
      <c r="V474" s="16" t="str">
        <f t="shared" si="39"/>
        <v>GOOD</v>
      </c>
    </row>
    <row r="475" spans="1:22" x14ac:dyDescent="0.3">
      <c r="A475">
        <v>474</v>
      </c>
      <c r="B475" s="1">
        <v>40564</v>
      </c>
      <c r="C475">
        <v>1</v>
      </c>
      <c r="D475">
        <v>0</v>
      </c>
      <c r="E475">
        <v>1</v>
      </c>
      <c r="F475">
        <v>18</v>
      </c>
      <c r="G475" t="b">
        <f>IF(COUNTIF(AB$4:AB$20,Append1[[#This Row],[dteday]]) &gt; 0, TRUE, FALSE)</f>
        <v>0</v>
      </c>
      <c r="H475">
        <v>5</v>
      </c>
      <c r="I475">
        <v>1</v>
      </c>
      <c r="J475">
        <v>0.12</v>
      </c>
      <c r="K475">
        <f>Append1[[#This Row],[temp]]*100</f>
        <v>12</v>
      </c>
      <c r="L475">
        <v>0.1212</v>
      </c>
      <c r="M475">
        <v>0.3</v>
      </c>
      <c r="N475">
        <v>0.25369999999999998</v>
      </c>
      <c r="O475">
        <v>1</v>
      </c>
      <c r="P475">
        <v>119</v>
      </c>
      <c r="Q475">
        <v>120</v>
      </c>
      <c r="R475" s="12" t="str">
        <f t="shared" si="35"/>
        <v>Clear/Few Clouds</v>
      </c>
      <c r="S475" s="14" t="str">
        <f t="shared" si="36"/>
        <v>Winter</v>
      </c>
      <c r="T475" s="15" t="str">
        <f t="shared" si="37"/>
        <v>Friday</v>
      </c>
      <c r="U475" t="str">
        <f t="shared" si="38"/>
        <v>January</v>
      </c>
      <c r="V475" s="16" t="str">
        <f t="shared" si="39"/>
        <v>GOOD</v>
      </c>
    </row>
    <row r="476" spans="1:22" x14ac:dyDescent="0.3">
      <c r="A476">
        <v>475</v>
      </c>
      <c r="B476" s="1">
        <v>40564</v>
      </c>
      <c r="C476">
        <v>1</v>
      </c>
      <c r="D476">
        <v>0</v>
      </c>
      <c r="E476">
        <v>1</v>
      </c>
      <c r="F476">
        <v>19</v>
      </c>
      <c r="G476" t="b">
        <f>IF(COUNTIF(AB$4:AB$20,Append1[[#This Row],[dteday]]) &gt; 0, TRUE, FALSE)</f>
        <v>0</v>
      </c>
      <c r="H476">
        <v>5</v>
      </c>
      <c r="I476">
        <v>1</v>
      </c>
      <c r="J476">
        <v>0.12</v>
      </c>
      <c r="K476">
        <f>Append1[[#This Row],[temp]]*100</f>
        <v>12</v>
      </c>
      <c r="L476">
        <v>0.1061</v>
      </c>
      <c r="M476">
        <v>0.3</v>
      </c>
      <c r="N476">
        <v>0.32840000000000003</v>
      </c>
      <c r="O476">
        <v>3</v>
      </c>
      <c r="P476">
        <v>93</v>
      </c>
      <c r="Q476">
        <v>96</v>
      </c>
      <c r="R476" s="12" t="str">
        <f t="shared" si="35"/>
        <v>Clear/Few Clouds</v>
      </c>
      <c r="S476" s="14" t="str">
        <f t="shared" si="36"/>
        <v>Winter</v>
      </c>
      <c r="T476" s="15" t="str">
        <f t="shared" si="37"/>
        <v>Friday</v>
      </c>
      <c r="U476" t="str">
        <f t="shared" si="38"/>
        <v>January</v>
      </c>
      <c r="V476" s="16" t="str">
        <f t="shared" si="39"/>
        <v>GOOD</v>
      </c>
    </row>
    <row r="477" spans="1:22" x14ac:dyDescent="0.3">
      <c r="A477">
        <v>476</v>
      </c>
      <c r="B477" s="1">
        <v>40564</v>
      </c>
      <c r="C477">
        <v>1</v>
      </c>
      <c r="D477">
        <v>0</v>
      </c>
      <c r="E477">
        <v>1</v>
      </c>
      <c r="F477">
        <v>20</v>
      </c>
      <c r="G477" t="b">
        <f>IF(COUNTIF(AB$4:AB$20,Append1[[#This Row],[dteday]]) &gt; 0, TRUE, FALSE)</f>
        <v>0</v>
      </c>
      <c r="H477">
        <v>5</v>
      </c>
      <c r="I477">
        <v>1</v>
      </c>
      <c r="J477">
        <v>0.1</v>
      </c>
      <c r="K477">
        <f>Append1[[#This Row],[temp]]*100</f>
        <v>10</v>
      </c>
      <c r="L477">
        <v>7.5800000000000006E-2</v>
      </c>
      <c r="M477">
        <v>0.33</v>
      </c>
      <c r="N477">
        <v>0.41789999999999999</v>
      </c>
      <c r="O477">
        <v>1</v>
      </c>
      <c r="P477">
        <v>52</v>
      </c>
      <c r="Q477">
        <v>53</v>
      </c>
      <c r="R477" s="12" t="str">
        <f t="shared" si="35"/>
        <v>Clear/Few Clouds</v>
      </c>
      <c r="S477" s="14" t="str">
        <f t="shared" si="36"/>
        <v>Winter</v>
      </c>
      <c r="T477" s="15" t="str">
        <f t="shared" si="37"/>
        <v>Friday</v>
      </c>
      <c r="U477" t="str">
        <f t="shared" si="38"/>
        <v>January</v>
      </c>
      <c r="V477" s="16" t="str">
        <f t="shared" si="39"/>
        <v>GOOD</v>
      </c>
    </row>
    <row r="478" spans="1:22" x14ac:dyDescent="0.3">
      <c r="A478">
        <v>477</v>
      </c>
      <c r="B478" s="1">
        <v>40564</v>
      </c>
      <c r="C478">
        <v>1</v>
      </c>
      <c r="D478">
        <v>0</v>
      </c>
      <c r="E478">
        <v>1</v>
      </c>
      <c r="F478">
        <v>21</v>
      </c>
      <c r="G478" t="b">
        <f>IF(COUNTIF(AB$4:AB$20,Append1[[#This Row],[dteday]]) &gt; 0, TRUE, FALSE)</f>
        <v>0</v>
      </c>
      <c r="H478">
        <v>5</v>
      </c>
      <c r="I478">
        <v>1</v>
      </c>
      <c r="J478">
        <v>0.08</v>
      </c>
      <c r="K478">
        <f>Append1[[#This Row],[temp]]*100</f>
        <v>8</v>
      </c>
      <c r="L478">
        <v>7.5800000000000006E-2</v>
      </c>
      <c r="M478">
        <v>0.38</v>
      </c>
      <c r="N478">
        <v>0.28360000000000002</v>
      </c>
      <c r="O478">
        <v>0</v>
      </c>
      <c r="P478">
        <v>41</v>
      </c>
      <c r="Q478">
        <v>41</v>
      </c>
      <c r="R478" s="12" t="str">
        <f t="shared" si="35"/>
        <v>Clear/Few Clouds</v>
      </c>
      <c r="S478" s="14" t="str">
        <f t="shared" si="36"/>
        <v>Winter</v>
      </c>
      <c r="T478" s="15" t="str">
        <f t="shared" si="37"/>
        <v>Friday</v>
      </c>
      <c r="U478" t="str">
        <f t="shared" si="38"/>
        <v>January</v>
      </c>
      <c r="V478" s="16" t="str">
        <f t="shared" si="39"/>
        <v>GOOD</v>
      </c>
    </row>
    <row r="479" spans="1:22" x14ac:dyDescent="0.3">
      <c r="A479">
        <v>478</v>
      </c>
      <c r="B479" s="1">
        <v>40564</v>
      </c>
      <c r="C479">
        <v>1</v>
      </c>
      <c r="D479">
        <v>0</v>
      </c>
      <c r="E479">
        <v>1</v>
      </c>
      <c r="F479">
        <v>22</v>
      </c>
      <c r="G479" t="b">
        <f>IF(COUNTIF(AB$4:AB$20,Append1[[#This Row],[dteday]]) &gt; 0, TRUE, FALSE)</f>
        <v>0</v>
      </c>
      <c r="H479">
        <v>5</v>
      </c>
      <c r="I479">
        <v>1</v>
      </c>
      <c r="J479">
        <v>0.06</v>
      </c>
      <c r="K479">
        <f>Append1[[#This Row],[temp]]*100</f>
        <v>6</v>
      </c>
      <c r="L479">
        <v>3.0300000000000001E-2</v>
      </c>
      <c r="M479">
        <v>0.41</v>
      </c>
      <c r="N479">
        <v>0.3881</v>
      </c>
      <c r="O479">
        <v>1</v>
      </c>
      <c r="P479">
        <v>33</v>
      </c>
      <c r="Q479">
        <v>34</v>
      </c>
      <c r="R479" s="12" t="str">
        <f t="shared" si="35"/>
        <v>Clear/Few Clouds</v>
      </c>
      <c r="S479" s="14" t="str">
        <f t="shared" si="36"/>
        <v>Winter</v>
      </c>
      <c r="T479" s="15" t="str">
        <f t="shared" si="37"/>
        <v>Friday</v>
      </c>
      <c r="U479" t="str">
        <f t="shared" si="38"/>
        <v>January</v>
      </c>
      <c r="V479" s="16" t="str">
        <f t="shared" si="39"/>
        <v>GOOD</v>
      </c>
    </row>
    <row r="480" spans="1:22" x14ac:dyDescent="0.3">
      <c r="A480">
        <v>479</v>
      </c>
      <c r="B480" s="1">
        <v>40564</v>
      </c>
      <c r="C480">
        <v>1</v>
      </c>
      <c r="D480">
        <v>0</v>
      </c>
      <c r="E480">
        <v>1</v>
      </c>
      <c r="F480">
        <v>23</v>
      </c>
      <c r="G480" t="b">
        <f>IF(COUNTIF(AB$4:AB$20,Append1[[#This Row],[dteday]]) &gt; 0, TRUE, FALSE)</f>
        <v>0</v>
      </c>
      <c r="H480">
        <v>5</v>
      </c>
      <c r="I480">
        <v>1</v>
      </c>
      <c r="J480">
        <v>0.06</v>
      </c>
      <c r="K480">
        <f>Append1[[#This Row],[temp]]*100</f>
        <v>6</v>
      </c>
      <c r="L480">
        <v>4.5499999999999999E-2</v>
      </c>
      <c r="M480">
        <v>0.38</v>
      </c>
      <c r="N480">
        <v>0.32840000000000003</v>
      </c>
      <c r="O480">
        <v>0</v>
      </c>
      <c r="P480">
        <v>27</v>
      </c>
      <c r="Q480">
        <v>27</v>
      </c>
      <c r="R480" s="12" t="str">
        <f t="shared" si="35"/>
        <v>Clear/Few Clouds</v>
      </c>
      <c r="S480" s="14" t="str">
        <f t="shared" si="36"/>
        <v>Winter</v>
      </c>
      <c r="T480" s="15" t="str">
        <f t="shared" si="37"/>
        <v>Friday</v>
      </c>
      <c r="U480" t="str">
        <f t="shared" si="38"/>
        <v>January</v>
      </c>
      <c r="V480" s="16" t="str">
        <f t="shared" si="39"/>
        <v>GOOD</v>
      </c>
    </row>
    <row r="481" spans="1:22" x14ac:dyDescent="0.3">
      <c r="A481">
        <v>480</v>
      </c>
      <c r="B481" s="1">
        <v>40565</v>
      </c>
      <c r="C481">
        <v>1</v>
      </c>
      <c r="D481">
        <v>0</v>
      </c>
      <c r="E481">
        <v>1</v>
      </c>
      <c r="F481">
        <v>0</v>
      </c>
      <c r="G481" t="b">
        <f>IF(COUNTIF(AB$4:AB$20,Append1[[#This Row],[dteday]]) &gt; 0, TRUE, FALSE)</f>
        <v>0</v>
      </c>
      <c r="H481">
        <v>6</v>
      </c>
      <c r="I481">
        <v>1</v>
      </c>
      <c r="J481">
        <v>0.04</v>
      </c>
      <c r="K481">
        <f>Append1[[#This Row],[temp]]*100</f>
        <v>4</v>
      </c>
      <c r="L481">
        <v>3.0300000000000001E-2</v>
      </c>
      <c r="M481">
        <v>0.45</v>
      </c>
      <c r="N481">
        <v>0.25369999999999998</v>
      </c>
      <c r="O481">
        <v>0</v>
      </c>
      <c r="P481">
        <v>13</v>
      </c>
      <c r="Q481">
        <v>13</v>
      </c>
      <c r="R481" s="12" t="str">
        <f t="shared" si="35"/>
        <v>Clear/Few Clouds</v>
      </c>
      <c r="S481" s="14" t="str">
        <f t="shared" si="36"/>
        <v>Winter</v>
      </c>
      <c r="T481" s="15" t="str">
        <f t="shared" si="37"/>
        <v>Saturday</v>
      </c>
      <c r="U481" t="str">
        <f t="shared" si="38"/>
        <v>January</v>
      </c>
      <c r="V481" s="16" t="str">
        <f t="shared" si="39"/>
        <v>GOOD</v>
      </c>
    </row>
    <row r="482" spans="1:22" x14ac:dyDescent="0.3">
      <c r="A482">
        <v>481</v>
      </c>
      <c r="B482" s="1">
        <v>40565</v>
      </c>
      <c r="C482">
        <v>1</v>
      </c>
      <c r="D482">
        <v>0</v>
      </c>
      <c r="E482">
        <v>1</v>
      </c>
      <c r="F482">
        <v>1</v>
      </c>
      <c r="G482" t="b">
        <f>IF(COUNTIF(AB$4:AB$20,Append1[[#This Row],[dteday]]) &gt; 0, TRUE, FALSE)</f>
        <v>0</v>
      </c>
      <c r="H482">
        <v>6</v>
      </c>
      <c r="I482">
        <v>2</v>
      </c>
      <c r="J482">
        <v>0.04</v>
      </c>
      <c r="K482">
        <f>Append1[[#This Row],[temp]]*100</f>
        <v>4</v>
      </c>
      <c r="L482">
        <v>0</v>
      </c>
      <c r="M482">
        <v>0.41</v>
      </c>
      <c r="N482">
        <v>0.3881</v>
      </c>
      <c r="O482">
        <v>3</v>
      </c>
      <c r="P482">
        <v>9</v>
      </c>
      <c r="Q482">
        <v>12</v>
      </c>
      <c r="R482" s="12" t="str">
        <f t="shared" si="35"/>
        <v>Mist/Cloudy</v>
      </c>
      <c r="S482" s="14" t="str">
        <f t="shared" si="36"/>
        <v>Winter</v>
      </c>
      <c r="T482" s="15" t="str">
        <f t="shared" si="37"/>
        <v>Saturday</v>
      </c>
      <c r="U482" t="str">
        <f t="shared" si="38"/>
        <v>January</v>
      </c>
      <c r="V482" s="16" t="str">
        <f t="shared" si="39"/>
        <v>MODERATE</v>
      </c>
    </row>
    <row r="483" spans="1:22" x14ac:dyDescent="0.3">
      <c r="A483">
        <v>482</v>
      </c>
      <c r="B483" s="1">
        <v>40565</v>
      </c>
      <c r="C483">
        <v>1</v>
      </c>
      <c r="D483">
        <v>0</v>
      </c>
      <c r="E483">
        <v>1</v>
      </c>
      <c r="F483">
        <v>2</v>
      </c>
      <c r="G483" t="b">
        <f>IF(COUNTIF(AB$4:AB$20,Append1[[#This Row],[dteday]]) &gt; 0, TRUE, FALSE)</f>
        <v>0</v>
      </c>
      <c r="H483">
        <v>6</v>
      </c>
      <c r="I483">
        <v>2</v>
      </c>
      <c r="J483">
        <v>0.04</v>
      </c>
      <c r="K483">
        <f>Append1[[#This Row],[temp]]*100</f>
        <v>4</v>
      </c>
      <c r="L483">
        <v>3.0300000000000001E-2</v>
      </c>
      <c r="M483">
        <v>0.41</v>
      </c>
      <c r="N483">
        <v>0.25369999999999998</v>
      </c>
      <c r="O483">
        <v>0</v>
      </c>
      <c r="P483">
        <v>11</v>
      </c>
      <c r="Q483">
        <v>11</v>
      </c>
      <c r="R483" s="12" t="str">
        <f t="shared" si="35"/>
        <v>Mist/Cloudy</v>
      </c>
      <c r="S483" s="14" t="str">
        <f t="shared" si="36"/>
        <v>Winter</v>
      </c>
      <c r="T483" s="15" t="str">
        <f t="shared" si="37"/>
        <v>Saturday</v>
      </c>
      <c r="U483" t="str">
        <f t="shared" si="38"/>
        <v>January</v>
      </c>
      <c r="V483" s="16" t="str">
        <f t="shared" si="39"/>
        <v>MODERATE</v>
      </c>
    </row>
    <row r="484" spans="1:22" x14ac:dyDescent="0.3">
      <c r="A484">
        <v>483</v>
      </c>
      <c r="B484" s="1">
        <v>40565</v>
      </c>
      <c r="C484">
        <v>1</v>
      </c>
      <c r="D484">
        <v>0</v>
      </c>
      <c r="E484">
        <v>1</v>
      </c>
      <c r="F484">
        <v>3</v>
      </c>
      <c r="G484" t="b">
        <f>IF(COUNTIF(AB$4:AB$20,Append1[[#This Row],[dteday]]) &gt; 0, TRUE, FALSE)</f>
        <v>0</v>
      </c>
      <c r="H484">
        <v>6</v>
      </c>
      <c r="I484">
        <v>2</v>
      </c>
      <c r="J484">
        <v>0.04</v>
      </c>
      <c r="K484">
        <f>Append1[[#This Row],[temp]]*100</f>
        <v>4</v>
      </c>
      <c r="L484">
        <v>3.0300000000000001E-2</v>
      </c>
      <c r="M484">
        <v>0.41</v>
      </c>
      <c r="N484">
        <v>0.28360000000000002</v>
      </c>
      <c r="O484">
        <v>1</v>
      </c>
      <c r="P484">
        <v>6</v>
      </c>
      <c r="Q484">
        <v>7</v>
      </c>
      <c r="R484" s="12" t="str">
        <f t="shared" si="35"/>
        <v>Mist/Cloudy</v>
      </c>
      <c r="S484" s="14" t="str">
        <f t="shared" si="36"/>
        <v>Winter</v>
      </c>
      <c r="T484" s="15" t="str">
        <f t="shared" si="37"/>
        <v>Saturday</v>
      </c>
      <c r="U484" t="str">
        <f t="shared" si="38"/>
        <v>January</v>
      </c>
      <c r="V484" s="16" t="str">
        <f t="shared" si="39"/>
        <v>MODERATE</v>
      </c>
    </row>
    <row r="485" spans="1:22" x14ac:dyDescent="0.3">
      <c r="A485">
        <v>484</v>
      </c>
      <c r="B485" s="1">
        <v>40565</v>
      </c>
      <c r="C485">
        <v>1</v>
      </c>
      <c r="D485">
        <v>0</v>
      </c>
      <c r="E485">
        <v>1</v>
      </c>
      <c r="F485">
        <v>4</v>
      </c>
      <c r="G485" t="b">
        <f>IF(COUNTIF(AB$4:AB$20,Append1[[#This Row],[dteday]]) &gt; 0, TRUE, FALSE)</f>
        <v>0</v>
      </c>
      <c r="H485">
        <v>6</v>
      </c>
      <c r="I485">
        <v>2</v>
      </c>
      <c r="J485">
        <v>0.02</v>
      </c>
      <c r="K485">
        <f>Append1[[#This Row],[temp]]*100</f>
        <v>2</v>
      </c>
      <c r="L485">
        <v>1.52E-2</v>
      </c>
      <c r="M485">
        <v>0.48</v>
      </c>
      <c r="N485">
        <v>0.29849999999999999</v>
      </c>
      <c r="O485">
        <v>0</v>
      </c>
      <c r="P485">
        <v>3</v>
      </c>
      <c r="Q485">
        <v>3</v>
      </c>
      <c r="R485" s="12" t="str">
        <f t="shared" si="35"/>
        <v>Mist/Cloudy</v>
      </c>
      <c r="S485" s="14" t="str">
        <f t="shared" si="36"/>
        <v>Winter</v>
      </c>
      <c r="T485" s="15" t="str">
        <f t="shared" si="37"/>
        <v>Saturday</v>
      </c>
      <c r="U485" t="str">
        <f t="shared" si="38"/>
        <v>January</v>
      </c>
      <c r="V485" s="16" t="str">
        <f t="shared" si="39"/>
        <v>MODERATE</v>
      </c>
    </row>
    <row r="486" spans="1:22" x14ac:dyDescent="0.3">
      <c r="A486">
        <v>485</v>
      </c>
      <c r="B486" s="1">
        <v>40565</v>
      </c>
      <c r="C486">
        <v>1</v>
      </c>
      <c r="D486">
        <v>0</v>
      </c>
      <c r="E486">
        <v>1</v>
      </c>
      <c r="F486">
        <v>6</v>
      </c>
      <c r="G486" t="b">
        <f>IF(COUNTIF(AB$4:AB$20,Append1[[#This Row],[dteday]]) &gt; 0, TRUE, FALSE)</f>
        <v>0</v>
      </c>
      <c r="H486">
        <v>6</v>
      </c>
      <c r="I486">
        <v>2</v>
      </c>
      <c r="J486">
        <v>0.02</v>
      </c>
      <c r="K486">
        <f>Append1[[#This Row],[temp]]*100</f>
        <v>2</v>
      </c>
      <c r="L486">
        <v>3.0300000000000001E-2</v>
      </c>
      <c r="M486">
        <v>0.44</v>
      </c>
      <c r="N486">
        <v>0.22389999999999999</v>
      </c>
      <c r="O486">
        <v>0</v>
      </c>
      <c r="P486">
        <v>2</v>
      </c>
      <c r="Q486">
        <v>2</v>
      </c>
      <c r="R486" s="12" t="str">
        <f t="shared" si="35"/>
        <v>Mist/Cloudy</v>
      </c>
      <c r="S486" s="14" t="str">
        <f t="shared" si="36"/>
        <v>Winter</v>
      </c>
      <c r="T486" s="15" t="str">
        <f t="shared" si="37"/>
        <v>Saturday</v>
      </c>
      <c r="U486" t="str">
        <f t="shared" si="38"/>
        <v>January</v>
      </c>
      <c r="V486" s="16" t="str">
        <f t="shared" si="39"/>
        <v>MODERATE</v>
      </c>
    </row>
    <row r="487" spans="1:22" x14ac:dyDescent="0.3">
      <c r="A487">
        <v>486</v>
      </c>
      <c r="B487" s="1">
        <v>40565</v>
      </c>
      <c r="C487">
        <v>1</v>
      </c>
      <c r="D487">
        <v>0</v>
      </c>
      <c r="E487">
        <v>1</v>
      </c>
      <c r="F487">
        <v>7</v>
      </c>
      <c r="G487" t="b">
        <f>IF(COUNTIF(AB$4:AB$20,Append1[[#This Row],[dteday]]) &gt; 0, TRUE, FALSE)</f>
        <v>0</v>
      </c>
      <c r="H487">
        <v>6</v>
      </c>
      <c r="I487">
        <v>1</v>
      </c>
      <c r="J487">
        <v>0.02</v>
      </c>
      <c r="K487">
        <f>Append1[[#This Row],[temp]]*100</f>
        <v>2</v>
      </c>
      <c r="L487">
        <v>1.52E-2</v>
      </c>
      <c r="M487">
        <v>0.44</v>
      </c>
      <c r="N487">
        <v>0.28360000000000002</v>
      </c>
      <c r="O487">
        <v>0</v>
      </c>
      <c r="P487">
        <v>8</v>
      </c>
      <c r="Q487">
        <v>8</v>
      </c>
      <c r="R487" s="12" t="str">
        <f t="shared" si="35"/>
        <v>Clear/Few Clouds</v>
      </c>
      <c r="S487" s="14" t="str">
        <f t="shared" si="36"/>
        <v>Winter</v>
      </c>
      <c r="T487" s="15" t="str">
        <f t="shared" si="37"/>
        <v>Saturday</v>
      </c>
      <c r="U487" t="str">
        <f t="shared" si="38"/>
        <v>January</v>
      </c>
      <c r="V487" s="16" t="str">
        <f t="shared" si="39"/>
        <v>GOOD</v>
      </c>
    </row>
    <row r="488" spans="1:22" x14ac:dyDescent="0.3">
      <c r="A488">
        <v>487</v>
      </c>
      <c r="B488" s="1">
        <v>40565</v>
      </c>
      <c r="C488">
        <v>1</v>
      </c>
      <c r="D488">
        <v>0</v>
      </c>
      <c r="E488">
        <v>1</v>
      </c>
      <c r="F488">
        <v>8</v>
      </c>
      <c r="G488" t="b">
        <f>IF(COUNTIF(AB$4:AB$20,Append1[[#This Row],[dteday]]) &gt; 0, TRUE, FALSE)</f>
        <v>0</v>
      </c>
      <c r="H488">
        <v>6</v>
      </c>
      <c r="I488">
        <v>1</v>
      </c>
      <c r="J488">
        <v>0.02</v>
      </c>
      <c r="K488">
        <f>Append1[[#This Row],[temp]]*100</f>
        <v>2</v>
      </c>
      <c r="L488">
        <v>0</v>
      </c>
      <c r="M488">
        <v>0.44</v>
      </c>
      <c r="N488">
        <v>0.32840000000000003</v>
      </c>
      <c r="O488">
        <v>1</v>
      </c>
      <c r="P488">
        <v>26</v>
      </c>
      <c r="Q488">
        <v>27</v>
      </c>
      <c r="R488" s="12" t="str">
        <f t="shared" si="35"/>
        <v>Clear/Few Clouds</v>
      </c>
      <c r="S488" s="14" t="str">
        <f t="shared" si="36"/>
        <v>Winter</v>
      </c>
      <c r="T488" s="15" t="str">
        <f t="shared" si="37"/>
        <v>Saturday</v>
      </c>
      <c r="U488" t="str">
        <f t="shared" si="38"/>
        <v>January</v>
      </c>
      <c r="V488" s="16" t="str">
        <f t="shared" si="39"/>
        <v>GOOD</v>
      </c>
    </row>
    <row r="489" spans="1:22" x14ac:dyDescent="0.3">
      <c r="A489">
        <v>488</v>
      </c>
      <c r="B489" s="1">
        <v>40565</v>
      </c>
      <c r="C489">
        <v>1</v>
      </c>
      <c r="D489">
        <v>0</v>
      </c>
      <c r="E489">
        <v>1</v>
      </c>
      <c r="F489">
        <v>9</v>
      </c>
      <c r="G489" t="b">
        <f>IF(COUNTIF(AB$4:AB$20,Append1[[#This Row],[dteday]]) &gt; 0, TRUE, FALSE)</f>
        <v>0</v>
      </c>
      <c r="H489">
        <v>6</v>
      </c>
      <c r="I489">
        <v>1</v>
      </c>
      <c r="J489">
        <v>0.04</v>
      </c>
      <c r="K489">
        <f>Append1[[#This Row],[temp]]*100</f>
        <v>4</v>
      </c>
      <c r="L489">
        <v>3.0300000000000001E-2</v>
      </c>
      <c r="M489">
        <v>0.41</v>
      </c>
      <c r="N489">
        <v>0.25369999999999998</v>
      </c>
      <c r="O489">
        <v>3</v>
      </c>
      <c r="P489">
        <v>37</v>
      </c>
      <c r="Q489">
        <v>40</v>
      </c>
      <c r="R489" s="12" t="str">
        <f t="shared" si="35"/>
        <v>Clear/Few Clouds</v>
      </c>
      <c r="S489" s="14" t="str">
        <f t="shared" si="36"/>
        <v>Winter</v>
      </c>
      <c r="T489" s="15" t="str">
        <f t="shared" si="37"/>
        <v>Saturday</v>
      </c>
      <c r="U489" t="str">
        <f t="shared" si="38"/>
        <v>January</v>
      </c>
      <c r="V489" s="16" t="str">
        <f t="shared" si="39"/>
        <v>GOOD</v>
      </c>
    </row>
    <row r="490" spans="1:22" x14ac:dyDescent="0.3">
      <c r="A490">
        <v>489</v>
      </c>
      <c r="B490" s="1">
        <v>40565</v>
      </c>
      <c r="C490">
        <v>1</v>
      </c>
      <c r="D490">
        <v>0</v>
      </c>
      <c r="E490">
        <v>1</v>
      </c>
      <c r="F490">
        <v>10</v>
      </c>
      <c r="G490" t="b">
        <f>IF(COUNTIF(AB$4:AB$20,Append1[[#This Row],[dteday]]) &gt; 0, TRUE, FALSE)</f>
        <v>0</v>
      </c>
      <c r="H490">
        <v>6</v>
      </c>
      <c r="I490">
        <v>2</v>
      </c>
      <c r="J490">
        <v>0.04</v>
      </c>
      <c r="K490">
        <f>Append1[[#This Row],[temp]]*100</f>
        <v>4</v>
      </c>
      <c r="L490">
        <v>6.0600000000000001E-2</v>
      </c>
      <c r="M490">
        <v>0.41</v>
      </c>
      <c r="N490">
        <v>0.16420000000000001</v>
      </c>
      <c r="O490">
        <v>3</v>
      </c>
      <c r="P490">
        <v>50</v>
      </c>
      <c r="Q490">
        <v>53</v>
      </c>
      <c r="R490" s="12" t="str">
        <f t="shared" si="35"/>
        <v>Mist/Cloudy</v>
      </c>
      <c r="S490" s="14" t="str">
        <f t="shared" si="36"/>
        <v>Winter</v>
      </c>
      <c r="T490" s="15" t="str">
        <f t="shared" si="37"/>
        <v>Saturday</v>
      </c>
      <c r="U490" t="str">
        <f t="shared" si="38"/>
        <v>January</v>
      </c>
      <c r="V490" s="16" t="str">
        <f t="shared" si="39"/>
        <v>MODERATE</v>
      </c>
    </row>
    <row r="491" spans="1:22" x14ac:dyDescent="0.3">
      <c r="A491">
        <v>490</v>
      </c>
      <c r="B491" s="1">
        <v>40565</v>
      </c>
      <c r="C491">
        <v>1</v>
      </c>
      <c r="D491">
        <v>0</v>
      </c>
      <c r="E491">
        <v>1</v>
      </c>
      <c r="F491">
        <v>11</v>
      </c>
      <c r="G491" t="b">
        <f>IF(COUNTIF(AB$4:AB$20,Append1[[#This Row],[dteday]]) &gt; 0, TRUE, FALSE)</f>
        <v>0</v>
      </c>
      <c r="H491">
        <v>6</v>
      </c>
      <c r="I491">
        <v>2</v>
      </c>
      <c r="J491">
        <v>0.06</v>
      </c>
      <c r="K491">
        <f>Append1[[#This Row],[temp]]*100</f>
        <v>6</v>
      </c>
      <c r="L491">
        <v>7.5800000000000006E-2</v>
      </c>
      <c r="M491">
        <v>0.38</v>
      </c>
      <c r="N491">
        <v>0.1343</v>
      </c>
      <c r="O491">
        <v>4</v>
      </c>
      <c r="P491">
        <v>59</v>
      </c>
      <c r="Q491">
        <v>63</v>
      </c>
      <c r="R491" s="12" t="str">
        <f t="shared" si="35"/>
        <v>Mist/Cloudy</v>
      </c>
      <c r="S491" s="14" t="str">
        <f t="shared" si="36"/>
        <v>Winter</v>
      </c>
      <c r="T491" s="15" t="str">
        <f t="shared" si="37"/>
        <v>Saturday</v>
      </c>
      <c r="U491" t="str">
        <f t="shared" si="38"/>
        <v>January</v>
      </c>
      <c r="V491" s="16" t="str">
        <f t="shared" si="39"/>
        <v>MODERATE</v>
      </c>
    </row>
    <row r="492" spans="1:22" x14ac:dyDescent="0.3">
      <c r="A492">
        <v>491</v>
      </c>
      <c r="B492" s="1">
        <v>40565</v>
      </c>
      <c r="C492">
        <v>1</v>
      </c>
      <c r="D492">
        <v>0</v>
      </c>
      <c r="E492">
        <v>1</v>
      </c>
      <c r="F492">
        <v>12</v>
      </c>
      <c r="G492" t="b">
        <f>IF(COUNTIF(AB$4:AB$20,Append1[[#This Row],[dteday]]) &gt; 0, TRUE, FALSE)</f>
        <v>0</v>
      </c>
      <c r="H492">
        <v>6</v>
      </c>
      <c r="I492">
        <v>2</v>
      </c>
      <c r="J492">
        <v>0.06</v>
      </c>
      <c r="K492">
        <f>Append1[[#This Row],[temp]]*100</f>
        <v>6</v>
      </c>
      <c r="L492">
        <v>0.1061</v>
      </c>
      <c r="M492">
        <v>0.38</v>
      </c>
      <c r="N492">
        <v>0.1045</v>
      </c>
      <c r="O492">
        <v>10</v>
      </c>
      <c r="P492">
        <v>60</v>
      </c>
      <c r="Q492">
        <v>70</v>
      </c>
      <c r="R492" s="12" t="str">
        <f t="shared" si="35"/>
        <v>Mist/Cloudy</v>
      </c>
      <c r="S492" s="14" t="str">
        <f t="shared" si="36"/>
        <v>Winter</v>
      </c>
      <c r="T492" s="15" t="str">
        <f t="shared" si="37"/>
        <v>Saturday</v>
      </c>
      <c r="U492" t="str">
        <f t="shared" si="38"/>
        <v>January</v>
      </c>
      <c r="V492" s="16" t="str">
        <f t="shared" si="39"/>
        <v>MODERATE</v>
      </c>
    </row>
    <row r="493" spans="1:22" x14ac:dyDescent="0.3">
      <c r="A493">
        <v>492</v>
      </c>
      <c r="B493" s="1">
        <v>40565</v>
      </c>
      <c r="C493">
        <v>1</v>
      </c>
      <c r="D493">
        <v>0</v>
      </c>
      <c r="E493">
        <v>1</v>
      </c>
      <c r="F493">
        <v>13</v>
      </c>
      <c r="G493" t="b">
        <f>IF(COUNTIF(AB$4:AB$20,Append1[[#This Row],[dteday]]) &gt; 0, TRUE, FALSE)</f>
        <v>0</v>
      </c>
      <c r="H493">
        <v>6</v>
      </c>
      <c r="I493">
        <v>1</v>
      </c>
      <c r="J493">
        <v>0.08</v>
      </c>
      <c r="K493">
        <f>Append1[[#This Row],[temp]]*100</f>
        <v>8</v>
      </c>
      <c r="L493">
        <v>0.16669999999999999</v>
      </c>
      <c r="M493">
        <v>0.35</v>
      </c>
      <c r="N493">
        <v>0</v>
      </c>
      <c r="O493">
        <v>12</v>
      </c>
      <c r="P493">
        <v>72</v>
      </c>
      <c r="Q493">
        <v>84</v>
      </c>
      <c r="R493" s="12" t="str">
        <f t="shared" si="35"/>
        <v>Clear/Few Clouds</v>
      </c>
      <c r="S493" s="14" t="str">
        <f t="shared" si="36"/>
        <v>Winter</v>
      </c>
      <c r="T493" s="15" t="str">
        <f t="shared" si="37"/>
        <v>Saturday</v>
      </c>
      <c r="U493" t="str">
        <f t="shared" si="38"/>
        <v>January</v>
      </c>
      <c r="V493" s="16" t="str">
        <f t="shared" si="39"/>
        <v>GOOD</v>
      </c>
    </row>
    <row r="494" spans="1:22" x14ac:dyDescent="0.3">
      <c r="A494">
        <v>493</v>
      </c>
      <c r="B494" s="1">
        <v>40565</v>
      </c>
      <c r="C494">
        <v>1</v>
      </c>
      <c r="D494">
        <v>0</v>
      </c>
      <c r="E494">
        <v>1</v>
      </c>
      <c r="F494">
        <v>14</v>
      </c>
      <c r="G494" t="b">
        <f>IF(COUNTIF(AB$4:AB$20,Append1[[#This Row],[dteday]]) &gt; 0, TRUE, FALSE)</f>
        <v>0</v>
      </c>
      <c r="H494">
        <v>6</v>
      </c>
      <c r="I494">
        <v>1</v>
      </c>
      <c r="J494">
        <v>0.1</v>
      </c>
      <c r="K494">
        <f>Append1[[#This Row],[temp]]*100</f>
        <v>10</v>
      </c>
      <c r="L494">
        <v>0.13639999999999999</v>
      </c>
      <c r="M494">
        <v>0.33</v>
      </c>
      <c r="N494">
        <v>0.1045</v>
      </c>
      <c r="O494">
        <v>11</v>
      </c>
      <c r="P494">
        <v>64</v>
      </c>
      <c r="Q494">
        <v>75</v>
      </c>
      <c r="R494" s="12" t="str">
        <f t="shared" si="35"/>
        <v>Clear/Few Clouds</v>
      </c>
      <c r="S494" s="14" t="str">
        <f t="shared" si="36"/>
        <v>Winter</v>
      </c>
      <c r="T494" s="15" t="str">
        <f t="shared" si="37"/>
        <v>Saturday</v>
      </c>
      <c r="U494" t="str">
        <f t="shared" si="38"/>
        <v>January</v>
      </c>
      <c r="V494" s="16" t="str">
        <f t="shared" si="39"/>
        <v>GOOD</v>
      </c>
    </row>
    <row r="495" spans="1:22" x14ac:dyDescent="0.3">
      <c r="A495">
        <v>494</v>
      </c>
      <c r="B495" s="1">
        <v>40565</v>
      </c>
      <c r="C495">
        <v>1</v>
      </c>
      <c r="D495">
        <v>0</v>
      </c>
      <c r="E495">
        <v>1</v>
      </c>
      <c r="F495">
        <v>15</v>
      </c>
      <c r="G495" t="b">
        <f>IF(COUNTIF(AB$4:AB$20,Append1[[#This Row],[dteday]]) &gt; 0, TRUE, FALSE)</f>
        <v>0</v>
      </c>
      <c r="H495">
        <v>6</v>
      </c>
      <c r="I495">
        <v>1</v>
      </c>
      <c r="J495">
        <v>0.12</v>
      </c>
      <c r="K495">
        <f>Append1[[#This Row],[temp]]*100</f>
        <v>12</v>
      </c>
      <c r="L495">
        <v>0.1515</v>
      </c>
      <c r="M495">
        <v>0.28000000000000003</v>
      </c>
      <c r="N495">
        <v>0</v>
      </c>
      <c r="O495">
        <v>10</v>
      </c>
      <c r="P495">
        <v>93</v>
      </c>
      <c r="Q495">
        <v>103</v>
      </c>
      <c r="R495" s="12" t="str">
        <f t="shared" si="35"/>
        <v>Clear/Few Clouds</v>
      </c>
      <c r="S495" s="14" t="str">
        <f t="shared" si="36"/>
        <v>Winter</v>
      </c>
      <c r="T495" s="15" t="str">
        <f t="shared" si="37"/>
        <v>Saturday</v>
      </c>
      <c r="U495" t="str">
        <f t="shared" si="38"/>
        <v>January</v>
      </c>
      <c r="V495" s="16" t="str">
        <f t="shared" si="39"/>
        <v>GOOD</v>
      </c>
    </row>
    <row r="496" spans="1:22" x14ac:dyDescent="0.3">
      <c r="A496">
        <v>495</v>
      </c>
      <c r="B496" s="1">
        <v>40565</v>
      </c>
      <c r="C496">
        <v>1</v>
      </c>
      <c r="D496">
        <v>0</v>
      </c>
      <c r="E496">
        <v>1</v>
      </c>
      <c r="F496">
        <v>16</v>
      </c>
      <c r="G496" t="b">
        <f>IF(COUNTIF(AB$4:AB$20,Append1[[#This Row],[dteday]]) &gt; 0, TRUE, FALSE)</f>
        <v>0</v>
      </c>
      <c r="H496">
        <v>6</v>
      </c>
      <c r="I496">
        <v>1</v>
      </c>
      <c r="J496">
        <v>0.12</v>
      </c>
      <c r="K496">
        <f>Append1[[#This Row],[temp]]*100</f>
        <v>12</v>
      </c>
      <c r="L496">
        <v>0.13639999999999999</v>
      </c>
      <c r="M496">
        <v>0.28000000000000003</v>
      </c>
      <c r="N496">
        <v>0.19400000000000001</v>
      </c>
      <c r="O496">
        <v>11</v>
      </c>
      <c r="P496">
        <v>72</v>
      </c>
      <c r="Q496">
        <v>83</v>
      </c>
      <c r="R496" s="12" t="str">
        <f t="shared" si="35"/>
        <v>Clear/Few Clouds</v>
      </c>
      <c r="S496" s="14" t="str">
        <f t="shared" si="36"/>
        <v>Winter</v>
      </c>
      <c r="T496" s="15" t="str">
        <f t="shared" si="37"/>
        <v>Saturday</v>
      </c>
      <c r="U496" t="str">
        <f t="shared" si="38"/>
        <v>January</v>
      </c>
      <c r="V496" s="16" t="str">
        <f t="shared" si="39"/>
        <v>GOOD</v>
      </c>
    </row>
    <row r="497" spans="1:22" x14ac:dyDescent="0.3">
      <c r="A497">
        <v>496</v>
      </c>
      <c r="B497" s="1">
        <v>40565</v>
      </c>
      <c r="C497">
        <v>1</v>
      </c>
      <c r="D497">
        <v>0</v>
      </c>
      <c r="E497">
        <v>1</v>
      </c>
      <c r="F497">
        <v>17</v>
      </c>
      <c r="G497" t="b">
        <f>IF(COUNTIF(AB$4:AB$20,Append1[[#This Row],[dteday]]) &gt; 0, TRUE, FALSE)</f>
        <v>0</v>
      </c>
      <c r="H497">
        <v>6</v>
      </c>
      <c r="I497">
        <v>1</v>
      </c>
      <c r="J497">
        <v>0.12</v>
      </c>
      <c r="K497">
        <f>Append1[[#This Row],[temp]]*100</f>
        <v>12</v>
      </c>
      <c r="L497">
        <v>0.19700000000000001</v>
      </c>
      <c r="M497">
        <v>0.28000000000000003</v>
      </c>
      <c r="N497">
        <v>0</v>
      </c>
      <c r="O497">
        <v>8</v>
      </c>
      <c r="P497">
        <v>59</v>
      </c>
      <c r="Q497">
        <v>67</v>
      </c>
      <c r="R497" s="12" t="str">
        <f t="shared" si="35"/>
        <v>Clear/Few Clouds</v>
      </c>
      <c r="S497" s="14" t="str">
        <f t="shared" si="36"/>
        <v>Winter</v>
      </c>
      <c r="T497" s="15" t="str">
        <f t="shared" si="37"/>
        <v>Saturday</v>
      </c>
      <c r="U497" t="str">
        <f t="shared" si="38"/>
        <v>January</v>
      </c>
      <c r="V497" s="16" t="str">
        <f t="shared" si="39"/>
        <v>GOOD</v>
      </c>
    </row>
    <row r="498" spans="1:22" x14ac:dyDescent="0.3">
      <c r="A498">
        <v>497</v>
      </c>
      <c r="B498" s="1">
        <v>40565</v>
      </c>
      <c r="C498">
        <v>1</v>
      </c>
      <c r="D498">
        <v>0</v>
      </c>
      <c r="E498">
        <v>1</v>
      </c>
      <c r="F498">
        <v>18</v>
      </c>
      <c r="G498" t="b">
        <f>IF(COUNTIF(AB$4:AB$20,Append1[[#This Row],[dteday]]) &gt; 0, TRUE, FALSE)</f>
        <v>0</v>
      </c>
      <c r="H498">
        <v>6</v>
      </c>
      <c r="I498">
        <v>1</v>
      </c>
      <c r="J498">
        <v>0.08</v>
      </c>
      <c r="K498">
        <f>Append1[[#This Row],[temp]]*100</f>
        <v>8</v>
      </c>
      <c r="L498">
        <v>9.0899999999999995E-2</v>
      </c>
      <c r="M498">
        <v>0.35</v>
      </c>
      <c r="N498">
        <v>0.19400000000000001</v>
      </c>
      <c r="O498">
        <v>0</v>
      </c>
      <c r="P498">
        <v>54</v>
      </c>
      <c r="Q498">
        <v>54</v>
      </c>
      <c r="R498" s="12" t="str">
        <f t="shared" si="35"/>
        <v>Clear/Few Clouds</v>
      </c>
      <c r="S498" s="14" t="str">
        <f t="shared" si="36"/>
        <v>Winter</v>
      </c>
      <c r="T498" s="15" t="str">
        <f t="shared" si="37"/>
        <v>Saturday</v>
      </c>
      <c r="U498" t="str">
        <f t="shared" si="38"/>
        <v>January</v>
      </c>
      <c r="V498" s="16" t="str">
        <f t="shared" si="39"/>
        <v>GOOD</v>
      </c>
    </row>
    <row r="499" spans="1:22" x14ac:dyDescent="0.3">
      <c r="A499">
        <v>498</v>
      </c>
      <c r="B499" s="1">
        <v>40565</v>
      </c>
      <c r="C499">
        <v>1</v>
      </c>
      <c r="D499">
        <v>0</v>
      </c>
      <c r="E499">
        <v>1</v>
      </c>
      <c r="F499">
        <v>19</v>
      </c>
      <c r="G499" t="b">
        <f>IF(COUNTIF(AB$4:AB$20,Append1[[#This Row],[dteday]]) &gt; 0, TRUE, FALSE)</f>
        <v>0</v>
      </c>
      <c r="H499">
        <v>6</v>
      </c>
      <c r="I499">
        <v>1</v>
      </c>
      <c r="J499">
        <v>0.08</v>
      </c>
      <c r="K499">
        <f>Append1[[#This Row],[temp]]*100</f>
        <v>8</v>
      </c>
      <c r="L499">
        <v>0.1061</v>
      </c>
      <c r="M499">
        <v>0.35</v>
      </c>
      <c r="N499">
        <v>0.1343</v>
      </c>
      <c r="O499">
        <v>6</v>
      </c>
      <c r="P499">
        <v>53</v>
      </c>
      <c r="Q499">
        <v>59</v>
      </c>
      <c r="R499" s="12" t="str">
        <f t="shared" si="35"/>
        <v>Clear/Few Clouds</v>
      </c>
      <c r="S499" s="14" t="str">
        <f t="shared" si="36"/>
        <v>Winter</v>
      </c>
      <c r="T499" s="15" t="str">
        <f t="shared" si="37"/>
        <v>Saturday</v>
      </c>
      <c r="U499" t="str">
        <f t="shared" si="38"/>
        <v>January</v>
      </c>
      <c r="V499" s="16" t="str">
        <f t="shared" si="39"/>
        <v>GOOD</v>
      </c>
    </row>
    <row r="500" spans="1:22" x14ac:dyDescent="0.3">
      <c r="A500">
        <v>499</v>
      </c>
      <c r="B500" s="1">
        <v>40565</v>
      </c>
      <c r="C500">
        <v>1</v>
      </c>
      <c r="D500">
        <v>0</v>
      </c>
      <c r="E500">
        <v>1</v>
      </c>
      <c r="F500">
        <v>20</v>
      </c>
      <c r="G500" t="b">
        <f>IF(COUNTIF(AB$4:AB$20,Append1[[#This Row],[dteday]]) &gt; 0, TRUE, FALSE)</f>
        <v>0</v>
      </c>
      <c r="H500">
        <v>6</v>
      </c>
      <c r="I500">
        <v>1</v>
      </c>
      <c r="J500">
        <v>0.06</v>
      </c>
      <c r="K500">
        <f>Append1[[#This Row],[temp]]*100</f>
        <v>6</v>
      </c>
      <c r="L500">
        <v>7.5800000000000006E-2</v>
      </c>
      <c r="M500">
        <v>0.45</v>
      </c>
      <c r="N500">
        <v>0.16420000000000001</v>
      </c>
      <c r="O500">
        <v>1</v>
      </c>
      <c r="P500">
        <v>44</v>
      </c>
      <c r="Q500">
        <v>45</v>
      </c>
      <c r="R500" s="12" t="str">
        <f t="shared" si="35"/>
        <v>Clear/Few Clouds</v>
      </c>
      <c r="S500" s="14" t="str">
        <f t="shared" si="36"/>
        <v>Winter</v>
      </c>
      <c r="T500" s="15" t="str">
        <f t="shared" si="37"/>
        <v>Saturday</v>
      </c>
      <c r="U500" t="str">
        <f t="shared" si="38"/>
        <v>January</v>
      </c>
      <c r="V500" s="16" t="str">
        <f t="shared" si="39"/>
        <v>GOOD</v>
      </c>
    </row>
    <row r="501" spans="1:22" x14ac:dyDescent="0.3">
      <c r="A501">
        <v>500</v>
      </c>
      <c r="B501" s="1">
        <v>40565</v>
      </c>
      <c r="C501">
        <v>1</v>
      </c>
      <c r="D501">
        <v>0</v>
      </c>
      <c r="E501">
        <v>1</v>
      </c>
      <c r="F501">
        <v>21</v>
      </c>
      <c r="G501" t="b">
        <f>IF(COUNTIF(AB$4:AB$20,Append1[[#This Row],[dteday]]) &gt; 0, TRUE, FALSE)</f>
        <v>0</v>
      </c>
      <c r="H501">
        <v>6</v>
      </c>
      <c r="I501">
        <v>1</v>
      </c>
      <c r="J501">
        <v>0.06</v>
      </c>
      <c r="K501">
        <f>Append1[[#This Row],[temp]]*100</f>
        <v>6</v>
      </c>
      <c r="L501">
        <v>0.1061</v>
      </c>
      <c r="M501">
        <v>0.41</v>
      </c>
      <c r="N501">
        <v>8.9599999999999999E-2</v>
      </c>
      <c r="O501">
        <v>0</v>
      </c>
      <c r="P501">
        <v>39</v>
      </c>
      <c r="Q501">
        <v>39</v>
      </c>
      <c r="R501" s="12" t="str">
        <f t="shared" si="35"/>
        <v>Clear/Few Clouds</v>
      </c>
      <c r="S501" s="14" t="str">
        <f t="shared" si="36"/>
        <v>Winter</v>
      </c>
      <c r="T501" s="15" t="str">
        <f t="shared" si="37"/>
        <v>Saturday</v>
      </c>
      <c r="U501" t="str">
        <f t="shared" si="38"/>
        <v>January</v>
      </c>
      <c r="V501" s="16" t="str">
        <f t="shared" si="39"/>
        <v>GOOD</v>
      </c>
    </row>
    <row r="502" spans="1:22" x14ac:dyDescent="0.3">
      <c r="A502">
        <v>501</v>
      </c>
      <c r="B502" s="1">
        <v>40565</v>
      </c>
      <c r="C502">
        <v>1</v>
      </c>
      <c r="D502">
        <v>0</v>
      </c>
      <c r="E502">
        <v>1</v>
      </c>
      <c r="F502">
        <v>22</v>
      </c>
      <c r="G502" t="b">
        <f>IF(COUNTIF(AB$4:AB$20,Append1[[#This Row],[dteday]]) &gt; 0, TRUE, FALSE)</f>
        <v>0</v>
      </c>
      <c r="H502">
        <v>6</v>
      </c>
      <c r="I502">
        <v>1</v>
      </c>
      <c r="J502">
        <v>0.06</v>
      </c>
      <c r="K502">
        <f>Append1[[#This Row],[temp]]*100</f>
        <v>6</v>
      </c>
      <c r="L502">
        <v>0.1515</v>
      </c>
      <c r="M502">
        <v>0.49</v>
      </c>
      <c r="N502">
        <v>0</v>
      </c>
      <c r="O502">
        <v>7</v>
      </c>
      <c r="P502">
        <v>23</v>
      </c>
      <c r="Q502">
        <v>30</v>
      </c>
      <c r="R502" s="12" t="str">
        <f t="shared" si="35"/>
        <v>Clear/Few Clouds</v>
      </c>
      <c r="S502" s="14" t="str">
        <f t="shared" si="36"/>
        <v>Winter</v>
      </c>
      <c r="T502" s="15" t="str">
        <f t="shared" si="37"/>
        <v>Saturday</v>
      </c>
      <c r="U502" t="str">
        <f t="shared" si="38"/>
        <v>January</v>
      </c>
      <c r="V502" s="16" t="str">
        <f t="shared" si="39"/>
        <v>GOOD</v>
      </c>
    </row>
    <row r="503" spans="1:22" x14ac:dyDescent="0.3">
      <c r="A503">
        <v>502</v>
      </c>
      <c r="B503" s="1">
        <v>40565</v>
      </c>
      <c r="C503">
        <v>1</v>
      </c>
      <c r="D503">
        <v>0</v>
      </c>
      <c r="E503">
        <v>1</v>
      </c>
      <c r="F503">
        <v>23</v>
      </c>
      <c r="G503" t="b">
        <f>IF(COUNTIF(AB$4:AB$20,Append1[[#This Row],[dteday]]) &gt; 0, TRUE, FALSE)</f>
        <v>0</v>
      </c>
      <c r="H503">
        <v>6</v>
      </c>
      <c r="I503">
        <v>1</v>
      </c>
      <c r="J503">
        <v>0.04</v>
      </c>
      <c r="K503">
        <f>Append1[[#This Row],[temp]]*100</f>
        <v>4</v>
      </c>
      <c r="L503">
        <v>7.5800000000000006E-2</v>
      </c>
      <c r="M503">
        <v>0.56999999999999995</v>
      </c>
      <c r="N503">
        <v>0.1045</v>
      </c>
      <c r="O503">
        <v>2</v>
      </c>
      <c r="P503">
        <v>31</v>
      </c>
      <c r="Q503">
        <v>33</v>
      </c>
      <c r="R503" s="12" t="str">
        <f t="shared" si="35"/>
        <v>Clear/Few Clouds</v>
      </c>
      <c r="S503" s="14" t="str">
        <f t="shared" si="36"/>
        <v>Winter</v>
      </c>
      <c r="T503" s="15" t="str">
        <f t="shared" si="37"/>
        <v>Saturday</v>
      </c>
      <c r="U503" t="str">
        <f t="shared" si="38"/>
        <v>January</v>
      </c>
      <c r="V503" s="16" t="str">
        <f t="shared" si="39"/>
        <v>GOOD</v>
      </c>
    </row>
    <row r="504" spans="1:22" x14ac:dyDescent="0.3">
      <c r="A504">
        <v>503</v>
      </c>
      <c r="B504" s="1">
        <v>40566</v>
      </c>
      <c r="C504">
        <v>1</v>
      </c>
      <c r="D504">
        <v>0</v>
      </c>
      <c r="E504">
        <v>1</v>
      </c>
      <c r="F504">
        <v>0</v>
      </c>
      <c r="G504" t="b">
        <f>IF(COUNTIF(AB$4:AB$20,Append1[[#This Row],[dteday]]) &gt; 0, TRUE, FALSE)</f>
        <v>0</v>
      </c>
      <c r="H504">
        <v>0</v>
      </c>
      <c r="I504">
        <v>1</v>
      </c>
      <c r="J504">
        <v>0.04</v>
      </c>
      <c r="K504">
        <f>Append1[[#This Row],[temp]]*100</f>
        <v>4</v>
      </c>
      <c r="L504">
        <v>7.5800000000000006E-2</v>
      </c>
      <c r="M504">
        <v>0.56999999999999995</v>
      </c>
      <c r="N504">
        <v>0.1045</v>
      </c>
      <c r="O504">
        <v>2</v>
      </c>
      <c r="P504">
        <v>20</v>
      </c>
      <c r="Q504">
        <v>22</v>
      </c>
      <c r="R504" s="12" t="str">
        <f t="shared" si="35"/>
        <v>Clear/Few Clouds</v>
      </c>
      <c r="S504" s="14" t="str">
        <f t="shared" si="36"/>
        <v>Winter</v>
      </c>
      <c r="T504" s="15" t="str">
        <f t="shared" si="37"/>
        <v>Sunday</v>
      </c>
      <c r="U504" t="str">
        <f t="shared" si="38"/>
        <v>January</v>
      </c>
      <c r="V504" s="16" t="str">
        <f t="shared" si="39"/>
        <v>GOOD</v>
      </c>
    </row>
    <row r="505" spans="1:22" x14ac:dyDescent="0.3">
      <c r="A505">
        <v>504</v>
      </c>
      <c r="B505" s="1">
        <v>40566</v>
      </c>
      <c r="C505">
        <v>1</v>
      </c>
      <c r="D505">
        <v>0</v>
      </c>
      <c r="E505">
        <v>1</v>
      </c>
      <c r="F505">
        <v>1</v>
      </c>
      <c r="G505" t="b">
        <f>IF(COUNTIF(AB$4:AB$20,Append1[[#This Row],[dteday]]) &gt; 0, TRUE, FALSE)</f>
        <v>0</v>
      </c>
      <c r="H505">
        <v>0</v>
      </c>
      <c r="I505">
        <v>1</v>
      </c>
      <c r="J505">
        <v>0.04</v>
      </c>
      <c r="K505">
        <f>Append1[[#This Row],[temp]]*100</f>
        <v>4</v>
      </c>
      <c r="L505">
        <v>7.5800000000000006E-2</v>
      </c>
      <c r="M505">
        <v>0.56999999999999995</v>
      </c>
      <c r="N505">
        <v>0.1045</v>
      </c>
      <c r="O505">
        <v>1</v>
      </c>
      <c r="P505">
        <v>12</v>
      </c>
      <c r="Q505">
        <v>13</v>
      </c>
      <c r="R505" s="12" t="str">
        <f t="shared" si="35"/>
        <v>Clear/Few Clouds</v>
      </c>
      <c r="S505" s="14" t="str">
        <f t="shared" si="36"/>
        <v>Winter</v>
      </c>
      <c r="T505" s="15" t="str">
        <f t="shared" si="37"/>
        <v>Sunday</v>
      </c>
      <c r="U505" t="str">
        <f t="shared" si="38"/>
        <v>January</v>
      </c>
      <c r="V505" s="16" t="str">
        <f t="shared" si="39"/>
        <v>GOOD</v>
      </c>
    </row>
    <row r="506" spans="1:22" x14ac:dyDescent="0.3">
      <c r="A506">
        <v>505</v>
      </c>
      <c r="B506" s="1">
        <v>40566</v>
      </c>
      <c r="C506">
        <v>1</v>
      </c>
      <c r="D506">
        <v>0</v>
      </c>
      <c r="E506">
        <v>1</v>
      </c>
      <c r="F506">
        <v>2</v>
      </c>
      <c r="G506" t="b">
        <f>IF(COUNTIF(AB$4:AB$20,Append1[[#This Row],[dteday]]) &gt; 0, TRUE, FALSE)</f>
        <v>0</v>
      </c>
      <c r="H506">
        <v>0</v>
      </c>
      <c r="I506">
        <v>1</v>
      </c>
      <c r="J506">
        <v>0.02</v>
      </c>
      <c r="K506">
        <f>Append1[[#This Row],[temp]]*100</f>
        <v>2</v>
      </c>
      <c r="L506">
        <v>6.0600000000000001E-2</v>
      </c>
      <c r="M506">
        <v>0.62</v>
      </c>
      <c r="N506">
        <v>0.1343</v>
      </c>
      <c r="O506">
        <v>3</v>
      </c>
      <c r="P506">
        <v>15</v>
      </c>
      <c r="Q506">
        <v>18</v>
      </c>
      <c r="R506" s="12" t="str">
        <f t="shared" si="35"/>
        <v>Clear/Few Clouds</v>
      </c>
      <c r="S506" s="14" t="str">
        <f t="shared" si="36"/>
        <v>Winter</v>
      </c>
      <c r="T506" s="15" t="str">
        <f t="shared" si="37"/>
        <v>Sunday</v>
      </c>
      <c r="U506" t="str">
        <f t="shared" si="38"/>
        <v>January</v>
      </c>
      <c r="V506" s="16" t="str">
        <f t="shared" si="39"/>
        <v>GOOD</v>
      </c>
    </row>
    <row r="507" spans="1:22" x14ac:dyDescent="0.3">
      <c r="A507">
        <v>506</v>
      </c>
      <c r="B507" s="1">
        <v>40566</v>
      </c>
      <c r="C507">
        <v>1</v>
      </c>
      <c r="D507">
        <v>0</v>
      </c>
      <c r="E507">
        <v>1</v>
      </c>
      <c r="F507">
        <v>3</v>
      </c>
      <c r="G507" t="b">
        <f>IF(COUNTIF(AB$4:AB$20,Append1[[#This Row],[dteday]]) &gt; 0, TRUE, FALSE)</f>
        <v>0</v>
      </c>
      <c r="H507">
        <v>0</v>
      </c>
      <c r="I507">
        <v>1</v>
      </c>
      <c r="J507">
        <v>0.02</v>
      </c>
      <c r="K507">
        <f>Append1[[#This Row],[temp]]*100</f>
        <v>2</v>
      </c>
      <c r="L507">
        <v>6.0600000000000001E-2</v>
      </c>
      <c r="M507">
        <v>0.62</v>
      </c>
      <c r="N507">
        <v>0.1343</v>
      </c>
      <c r="O507">
        <v>1</v>
      </c>
      <c r="P507">
        <v>4</v>
      </c>
      <c r="Q507">
        <v>5</v>
      </c>
      <c r="R507" s="12" t="str">
        <f t="shared" si="35"/>
        <v>Clear/Few Clouds</v>
      </c>
      <c r="S507" s="14" t="str">
        <f t="shared" si="36"/>
        <v>Winter</v>
      </c>
      <c r="T507" s="15" t="str">
        <f t="shared" si="37"/>
        <v>Sunday</v>
      </c>
      <c r="U507" t="str">
        <f t="shared" si="38"/>
        <v>January</v>
      </c>
      <c r="V507" s="16" t="str">
        <f t="shared" si="39"/>
        <v>GOOD</v>
      </c>
    </row>
    <row r="508" spans="1:22" x14ac:dyDescent="0.3">
      <c r="A508">
        <v>507</v>
      </c>
      <c r="B508" s="1">
        <v>40566</v>
      </c>
      <c r="C508">
        <v>1</v>
      </c>
      <c r="D508">
        <v>0</v>
      </c>
      <c r="E508">
        <v>1</v>
      </c>
      <c r="F508">
        <v>5</v>
      </c>
      <c r="G508" t="b">
        <f>IF(COUNTIF(AB$4:AB$20,Append1[[#This Row],[dteday]]) &gt; 0, TRUE, FALSE)</f>
        <v>0</v>
      </c>
      <c r="H508">
        <v>0</v>
      </c>
      <c r="I508">
        <v>2</v>
      </c>
      <c r="J508">
        <v>0.04</v>
      </c>
      <c r="K508">
        <f>Append1[[#This Row],[temp]]*100</f>
        <v>4</v>
      </c>
      <c r="L508">
        <v>7.5800000000000006E-2</v>
      </c>
      <c r="M508">
        <v>0.56999999999999995</v>
      </c>
      <c r="N508">
        <v>0.1045</v>
      </c>
      <c r="O508">
        <v>0</v>
      </c>
      <c r="P508">
        <v>3</v>
      </c>
      <c r="Q508">
        <v>3</v>
      </c>
      <c r="R508" s="12" t="str">
        <f t="shared" si="35"/>
        <v>Mist/Cloudy</v>
      </c>
      <c r="S508" s="14" t="str">
        <f t="shared" si="36"/>
        <v>Winter</v>
      </c>
      <c r="T508" s="15" t="str">
        <f t="shared" si="37"/>
        <v>Sunday</v>
      </c>
      <c r="U508" t="str">
        <f t="shared" si="38"/>
        <v>January</v>
      </c>
      <c r="V508" s="16" t="str">
        <f t="shared" si="39"/>
        <v>MODERATE</v>
      </c>
    </row>
    <row r="509" spans="1:22" x14ac:dyDescent="0.3">
      <c r="A509">
        <v>508</v>
      </c>
      <c r="B509" s="1">
        <v>40566</v>
      </c>
      <c r="C509">
        <v>1</v>
      </c>
      <c r="D509">
        <v>0</v>
      </c>
      <c r="E509">
        <v>1</v>
      </c>
      <c r="F509">
        <v>6</v>
      </c>
      <c r="G509" t="b">
        <f>IF(COUNTIF(AB$4:AB$20,Append1[[#This Row],[dteday]]) &gt; 0, TRUE, FALSE)</f>
        <v>0</v>
      </c>
      <c r="H509">
        <v>0</v>
      </c>
      <c r="I509">
        <v>2</v>
      </c>
      <c r="J509">
        <v>0.04</v>
      </c>
      <c r="K509">
        <f>Append1[[#This Row],[temp]]*100</f>
        <v>4</v>
      </c>
      <c r="L509">
        <v>7.5800000000000006E-2</v>
      </c>
      <c r="M509">
        <v>0.56999999999999995</v>
      </c>
      <c r="N509">
        <v>0.1045</v>
      </c>
      <c r="O509">
        <v>0</v>
      </c>
      <c r="P509">
        <v>1</v>
      </c>
      <c r="Q509">
        <v>1</v>
      </c>
      <c r="R509" s="12" t="str">
        <f t="shared" si="35"/>
        <v>Mist/Cloudy</v>
      </c>
      <c r="S509" s="14" t="str">
        <f t="shared" si="36"/>
        <v>Winter</v>
      </c>
      <c r="T509" s="15" t="str">
        <f t="shared" si="37"/>
        <v>Sunday</v>
      </c>
      <c r="U509" t="str">
        <f t="shared" si="38"/>
        <v>January</v>
      </c>
      <c r="V509" s="16" t="str">
        <f t="shared" si="39"/>
        <v>MODERATE</v>
      </c>
    </row>
    <row r="510" spans="1:22" x14ac:dyDescent="0.3">
      <c r="A510">
        <v>509</v>
      </c>
      <c r="B510" s="1">
        <v>40566</v>
      </c>
      <c r="C510">
        <v>1</v>
      </c>
      <c r="D510">
        <v>0</v>
      </c>
      <c r="E510">
        <v>1</v>
      </c>
      <c r="F510">
        <v>7</v>
      </c>
      <c r="G510" t="b">
        <f>IF(COUNTIF(AB$4:AB$20,Append1[[#This Row],[dteday]]) &gt; 0, TRUE, FALSE)</f>
        <v>0</v>
      </c>
      <c r="H510">
        <v>0</v>
      </c>
      <c r="I510">
        <v>1</v>
      </c>
      <c r="J510">
        <v>0.08</v>
      </c>
      <c r="K510">
        <f>Append1[[#This Row],[temp]]*100</f>
        <v>8</v>
      </c>
      <c r="L510">
        <v>0.1061</v>
      </c>
      <c r="M510">
        <v>0.57999999999999996</v>
      </c>
      <c r="N510">
        <v>0.16420000000000001</v>
      </c>
      <c r="O510">
        <v>1</v>
      </c>
      <c r="P510">
        <v>1</v>
      </c>
      <c r="Q510">
        <v>2</v>
      </c>
      <c r="R510" s="12" t="str">
        <f t="shared" si="35"/>
        <v>Clear/Few Clouds</v>
      </c>
      <c r="S510" s="14" t="str">
        <f t="shared" si="36"/>
        <v>Winter</v>
      </c>
      <c r="T510" s="15" t="str">
        <f t="shared" si="37"/>
        <v>Sunday</v>
      </c>
      <c r="U510" t="str">
        <f t="shared" si="38"/>
        <v>January</v>
      </c>
      <c r="V510" s="16" t="str">
        <f t="shared" si="39"/>
        <v>GOOD</v>
      </c>
    </row>
    <row r="511" spans="1:22" x14ac:dyDescent="0.3">
      <c r="A511">
        <v>510</v>
      </c>
      <c r="B511" s="1">
        <v>40566</v>
      </c>
      <c r="C511">
        <v>1</v>
      </c>
      <c r="D511">
        <v>0</v>
      </c>
      <c r="E511">
        <v>1</v>
      </c>
      <c r="F511">
        <v>8</v>
      </c>
      <c r="G511" t="b">
        <f>IF(COUNTIF(AB$4:AB$20,Append1[[#This Row],[dteday]]) &gt; 0, TRUE, FALSE)</f>
        <v>0</v>
      </c>
      <c r="H511">
        <v>0</v>
      </c>
      <c r="I511">
        <v>1</v>
      </c>
      <c r="J511">
        <v>0.06</v>
      </c>
      <c r="K511">
        <f>Append1[[#This Row],[temp]]*100</f>
        <v>6</v>
      </c>
      <c r="L511">
        <v>7.5800000000000006E-2</v>
      </c>
      <c r="M511">
        <v>0.62</v>
      </c>
      <c r="N511">
        <v>0.16420000000000001</v>
      </c>
      <c r="O511">
        <v>2</v>
      </c>
      <c r="P511">
        <v>17</v>
      </c>
      <c r="Q511">
        <v>19</v>
      </c>
      <c r="R511" s="12" t="str">
        <f t="shared" si="35"/>
        <v>Clear/Few Clouds</v>
      </c>
      <c r="S511" s="14" t="str">
        <f t="shared" si="36"/>
        <v>Winter</v>
      </c>
      <c r="T511" s="15" t="str">
        <f t="shared" si="37"/>
        <v>Sunday</v>
      </c>
      <c r="U511" t="str">
        <f t="shared" si="38"/>
        <v>January</v>
      </c>
      <c r="V511" s="16" t="str">
        <f t="shared" si="39"/>
        <v>GOOD</v>
      </c>
    </row>
    <row r="512" spans="1:22" x14ac:dyDescent="0.3">
      <c r="A512">
        <v>511</v>
      </c>
      <c r="B512" s="1">
        <v>40566</v>
      </c>
      <c r="C512">
        <v>1</v>
      </c>
      <c r="D512">
        <v>0</v>
      </c>
      <c r="E512">
        <v>1</v>
      </c>
      <c r="F512">
        <v>9</v>
      </c>
      <c r="G512" t="b">
        <f>IF(COUNTIF(AB$4:AB$20,Append1[[#This Row],[dteday]]) &gt; 0, TRUE, FALSE)</f>
        <v>0</v>
      </c>
      <c r="H512">
        <v>0</v>
      </c>
      <c r="I512">
        <v>1</v>
      </c>
      <c r="J512">
        <v>0.1</v>
      </c>
      <c r="K512">
        <f>Append1[[#This Row],[temp]]*100</f>
        <v>10</v>
      </c>
      <c r="L512">
        <v>7.5800000000000006E-2</v>
      </c>
      <c r="M512">
        <v>0.54</v>
      </c>
      <c r="N512">
        <v>0.35820000000000002</v>
      </c>
      <c r="O512">
        <v>3</v>
      </c>
      <c r="P512">
        <v>25</v>
      </c>
      <c r="Q512">
        <v>28</v>
      </c>
      <c r="R512" s="12" t="str">
        <f t="shared" si="35"/>
        <v>Clear/Few Clouds</v>
      </c>
      <c r="S512" s="14" t="str">
        <f t="shared" si="36"/>
        <v>Winter</v>
      </c>
      <c r="T512" s="15" t="str">
        <f t="shared" si="37"/>
        <v>Sunday</v>
      </c>
      <c r="U512" t="str">
        <f t="shared" si="38"/>
        <v>January</v>
      </c>
      <c r="V512" s="16" t="str">
        <f t="shared" si="39"/>
        <v>GOOD</v>
      </c>
    </row>
    <row r="513" spans="1:22" x14ac:dyDescent="0.3">
      <c r="A513">
        <v>512</v>
      </c>
      <c r="B513" s="1">
        <v>40566</v>
      </c>
      <c r="C513">
        <v>1</v>
      </c>
      <c r="D513">
        <v>0</v>
      </c>
      <c r="E513">
        <v>1</v>
      </c>
      <c r="F513">
        <v>10</v>
      </c>
      <c r="G513" t="b">
        <f>IF(COUNTIF(AB$4:AB$20,Append1[[#This Row],[dteday]]) &gt; 0, TRUE, FALSE)</f>
        <v>0</v>
      </c>
      <c r="H513">
        <v>0</v>
      </c>
      <c r="I513">
        <v>1</v>
      </c>
      <c r="J513">
        <v>0.14000000000000001</v>
      </c>
      <c r="K513">
        <f>Append1[[#This Row],[temp]]*100</f>
        <v>14.000000000000002</v>
      </c>
      <c r="L513">
        <v>0.1061</v>
      </c>
      <c r="M513">
        <v>0.46</v>
      </c>
      <c r="N513">
        <v>0.3881</v>
      </c>
      <c r="O513">
        <v>7</v>
      </c>
      <c r="P513">
        <v>51</v>
      </c>
      <c r="Q513">
        <v>58</v>
      </c>
      <c r="R513" s="12" t="str">
        <f t="shared" si="35"/>
        <v>Clear/Few Clouds</v>
      </c>
      <c r="S513" s="14" t="str">
        <f t="shared" si="36"/>
        <v>Winter</v>
      </c>
      <c r="T513" s="15" t="str">
        <f t="shared" si="37"/>
        <v>Sunday</v>
      </c>
      <c r="U513" t="str">
        <f t="shared" si="38"/>
        <v>January</v>
      </c>
      <c r="V513" s="16" t="str">
        <f t="shared" si="39"/>
        <v>GOOD</v>
      </c>
    </row>
    <row r="514" spans="1:22" x14ac:dyDescent="0.3">
      <c r="A514">
        <v>513</v>
      </c>
      <c r="B514" s="1">
        <v>40566</v>
      </c>
      <c r="C514">
        <v>1</v>
      </c>
      <c r="D514">
        <v>0</v>
      </c>
      <c r="E514">
        <v>1</v>
      </c>
      <c r="F514">
        <v>11</v>
      </c>
      <c r="G514" t="b">
        <f>IF(COUNTIF(AB$4:AB$20,Append1[[#This Row],[dteday]]) &gt; 0, TRUE, FALSE)</f>
        <v>0</v>
      </c>
      <c r="H514">
        <v>0</v>
      </c>
      <c r="I514">
        <v>1</v>
      </c>
      <c r="J514">
        <v>0.14000000000000001</v>
      </c>
      <c r="K514">
        <f>Append1[[#This Row],[temp]]*100</f>
        <v>14.000000000000002</v>
      </c>
      <c r="L514">
        <v>0.13639999999999999</v>
      </c>
      <c r="M514">
        <v>0.43</v>
      </c>
      <c r="N514">
        <v>0.22389999999999999</v>
      </c>
      <c r="O514">
        <v>22</v>
      </c>
      <c r="P514">
        <v>77</v>
      </c>
      <c r="Q514">
        <v>99</v>
      </c>
      <c r="R514" s="12" t="str">
        <f t="shared" ref="R514:R577" si="40">_xlfn.IFS(I514=1,"Clear/Few Clouds",I514=2,"Mist/Cloudy",I514=3,"Light Rain/Snow",I514=4,"Heavy Rain/Snow")</f>
        <v>Clear/Few Clouds</v>
      </c>
      <c r="S514" s="14" t="str">
        <f t="shared" ref="S514:S577" si="41">_xlfn.IFS(C514=1,"Winter",C514=2,"Spring",C514=3,"Summer",C514=4,"Autumn")</f>
        <v>Winter</v>
      </c>
      <c r="T514" s="15" t="str">
        <f t="shared" ref="T514:T577" si="42">TEXT(B514,"dddd")</f>
        <v>Sunday</v>
      </c>
      <c r="U514" t="str">
        <f t="shared" ref="U514:U577" si="43">TEXT(B514,"mmmm")</f>
        <v>January</v>
      </c>
      <c r="V514" s="16" t="str">
        <f t="shared" ref="V514:V577" si="44">_xlfn.IFS(I514=1,"GOOD",I514=2,"MODERATE",I514=3,"BAD",I514=4,"WORSE")</f>
        <v>GOOD</v>
      </c>
    </row>
    <row r="515" spans="1:22" x14ac:dyDescent="0.3">
      <c r="A515">
        <v>514</v>
      </c>
      <c r="B515" s="1">
        <v>40566</v>
      </c>
      <c r="C515">
        <v>1</v>
      </c>
      <c r="D515">
        <v>0</v>
      </c>
      <c r="E515">
        <v>1</v>
      </c>
      <c r="F515">
        <v>12</v>
      </c>
      <c r="G515" t="b">
        <f>IF(COUNTIF(AB$4:AB$20,Append1[[#This Row],[dteday]]) &gt; 0, TRUE, FALSE)</f>
        <v>0</v>
      </c>
      <c r="H515">
        <v>0</v>
      </c>
      <c r="I515">
        <v>1</v>
      </c>
      <c r="J515">
        <v>0.16</v>
      </c>
      <c r="K515">
        <f>Append1[[#This Row],[temp]]*100</f>
        <v>16</v>
      </c>
      <c r="L515">
        <v>0.1212</v>
      </c>
      <c r="M515">
        <v>0.37</v>
      </c>
      <c r="N515">
        <v>0.4627</v>
      </c>
      <c r="O515">
        <v>24</v>
      </c>
      <c r="P515">
        <v>92</v>
      </c>
      <c r="Q515">
        <v>116</v>
      </c>
      <c r="R515" s="12" t="str">
        <f t="shared" si="40"/>
        <v>Clear/Few Clouds</v>
      </c>
      <c r="S515" s="14" t="str">
        <f t="shared" si="41"/>
        <v>Winter</v>
      </c>
      <c r="T515" s="15" t="str">
        <f t="shared" si="42"/>
        <v>Sunday</v>
      </c>
      <c r="U515" t="str">
        <f t="shared" si="43"/>
        <v>January</v>
      </c>
      <c r="V515" s="16" t="str">
        <f t="shared" si="44"/>
        <v>GOOD</v>
      </c>
    </row>
    <row r="516" spans="1:22" x14ac:dyDescent="0.3">
      <c r="A516">
        <v>515</v>
      </c>
      <c r="B516" s="1">
        <v>40566</v>
      </c>
      <c r="C516">
        <v>1</v>
      </c>
      <c r="D516">
        <v>0</v>
      </c>
      <c r="E516">
        <v>1</v>
      </c>
      <c r="F516">
        <v>13</v>
      </c>
      <c r="G516" t="b">
        <f>IF(COUNTIF(AB$4:AB$20,Append1[[#This Row],[dteday]]) &gt; 0, TRUE, FALSE)</f>
        <v>0</v>
      </c>
      <c r="H516">
        <v>0</v>
      </c>
      <c r="I516">
        <v>1</v>
      </c>
      <c r="J516">
        <v>0.14000000000000001</v>
      </c>
      <c r="K516">
        <f>Append1[[#This Row],[temp]]*100</f>
        <v>14.000000000000002</v>
      </c>
      <c r="L516">
        <v>0.1061</v>
      </c>
      <c r="M516">
        <v>0.33</v>
      </c>
      <c r="N516">
        <v>0.3881</v>
      </c>
      <c r="O516">
        <v>12</v>
      </c>
      <c r="P516">
        <v>75</v>
      </c>
      <c r="Q516">
        <v>87</v>
      </c>
      <c r="R516" s="12" t="str">
        <f t="shared" si="40"/>
        <v>Clear/Few Clouds</v>
      </c>
      <c r="S516" s="14" t="str">
        <f t="shared" si="41"/>
        <v>Winter</v>
      </c>
      <c r="T516" s="15" t="str">
        <f t="shared" si="42"/>
        <v>Sunday</v>
      </c>
      <c r="U516" t="str">
        <f t="shared" si="43"/>
        <v>January</v>
      </c>
      <c r="V516" s="16" t="str">
        <f t="shared" si="44"/>
        <v>GOOD</v>
      </c>
    </row>
    <row r="517" spans="1:22" x14ac:dyDescent="0.3">
      <c r="A517">
        <v>516</v>
      </c>
      <c r="B517" s="1">
        <v>40566</v>
      </c>
      <c r="C517">
        <v>1</v>
      </c>
      <c r="D517">
        <v>0</v>
      </c>
      <c r="E517">
        <v>1</v>
      </c>
      <c r="F517">
        <v>14</v>
      </c>
      <c r="G517" t="b">
        <f>IF(COUNTIF(AB$4:AB$20,Append1[[#This Row],[dteday]]) &gt; 0, TRUE, FALSE)</f>
        <v>0</v>
      </c>
      <c r="H517">
        <v>0</v>
      </c>
      <c r="I517">
        <v>1</v>
      </c>
      <c r="J517">
        <v>0.16</v>
      </c>
      <c r="K517">
        <f>Append1[[#This Row],[temp]]*100</f>
        <v>16</v>
      </c>
      <c r="L517">
        <v>0.13639999999999999</v>
      </c>
      <c r="M517">
        <v>0.28000000000000003</v>
      </c>
      <c r="N517">
        <v>0.35820000000000002</v>
      </c>
      <c r="O517">
        <v>17</v>
      </c>
      <c r="P517">
        <v>93</v>
      </c>
      <c r="Q517">
        <v>110</v>
      </c>
      <c r="R517" s="12" t="str">
        <f t="shared" si="40"/>
        <v>Clear/Few Clouds</v>
      </c>
      <c r="S517" s="14" t="str">
        <f t="shared" si="41"/>
        <v>Winter</v>
      </c>
      <c r="T517" s="15" t="str">
        <f t="shared" si="42"/>
        <v>Sunday</v>
      </c>
      <c r="U517" t="str">
        <f t="shared" si="43"/>
        <v>January</v>
      </c>
      <c r="V517" s="16" t="str">
        <f t="shared" si="44"/>
        <v>GOOD</v>
      </c>
    </row>
    <row r="518" spans="1:22" x14ac:dyDescent="0.3">
      <c r="A518">
        <v>517</v>
      </c>
      <c r="B518" s="1">
        <v>40566</v>
      </c>
      <c r="C518">
        <v>1</v>
      </c>
      <c r="D518">
        <v>0</v>
      </c>
      <c r="E518">
        <v>1</v>
      </c>
      <c r="F518">
        <v>15</v>
      </c>
      <c r="G518" t="b">
        <f>IF(COUNTIF(AB$4:AB$20,Append1[[#This Row],[dteday]]) &gt; 0, TRUE, FALSE)</f>
        <v>0</v>
      </c>
      <c r="H518">
        <v>0</v>
      </c>
      <c r="I518">
        <v>1</v>
      </c>
      <c r="J518">
        <v>0.16</v>
      </c>
      <c r="K518">
        <f>Append1[[#This Row],[temp]]*100</f>
        <v>16</v>
      </c>
      <c r="L518">
        <v>0.13639999999999999</v>
      </c>
      <c r="M518">
        <v>0.28000000000000003</v>
      </c>
      <c r="N518">
        <v>0.35820000000000002</v>
      </c>
      <c r="O518">
        <v>13</v>
      </c>
      <c r="P518">
        <v>64</v>
      </c>
      <c r="Q518">
        <v>77</v>
      </c>
      <c r="R518" s="12" t="str">
        <f t="shared" si="40"/>
        <v>Clear/Few Clouds</v>
      </c>
      <c r="S518" s="14" t="str">
        <f t="shared" si="41"/>
        <v>Winter</v>
      </c>
      <c r="T518" s="15" t="str">
        <f t="shared" si="42"/>
        <v>Sunday</v>
      </c>
      <c r="U518" t="str">
        <f t="shared" si="43"/>
        <v>January</v>
      </c>
      <c r="V518" s="16" t="str">
        <f t="shared" si="44"/>
        <v>GOOD</v>
      </c>
    </row>
    <row r="519" spans="1:22" x14ac:dyDescent="0.3">
      <c r="A519">
        <v>518</v>
      </c>
      <c r="B519" s="1">
        <v>40566</v>
      </c>
      <c r="C519">
        <v>1</v>
      </c>
      <c r="D519">
        <v>0</v>
      </c>
      <c r="E519">
        <v>1</v>
      </c>
      <c r="F519">
        <v>16</v>
      </c>
      <c r="G519" t="b">
        <f>IF(COUNTIF(AB$4:AB$20,Append1[[#This Row],[dteday]]) &gt; 0, TRUE, FALSE)</f>
        <v>0</v>
      </c>
      <c r="H519">
        <v>0</v>
      </c>
      <c r="I519">
        <v>1</v>
      </c>
      <c r="J519">
        <v>0.16</v>
      </c>
      <c r="K519">
        <f>Append1[[#This Row],[temp]]*100</f>
        <v>16</v>
      </c>
      <c r="L519">
        <v>0.13639999999999999</v>
      </c>
      <c r="M519">
        <v>0.26</v>
      </c>
      <c r="N519">
        <v>0.32840000000000003</v>
      </c>
      <c r="O519">
        <v>9</v>
      </c>
      <c r="P519">
        <v>56</v>
      </c>
      <c r="Q519">
        <v>65</v>
      </c>
      <c r="R519" s="12" t="str">
        <f t="shared" si="40"/>
        <v>Clear/Few Clouds</v>
      </c>
      <c r="S519" s="14" t="str">
        <f t="shared" si="41"/>
        <v>Winter</v>
      </c>
      <c r="T519" s="15" t="str">
        <f t="shared" si="42"/>
        <v>Sunday</v>
      </c>
      <c r="U519" t="str">
        <f t="shared" si="43"/>
        <v>January</v>
      </c>
      <c r="V519" s="16" t="str">
        <f t="shared" si="44"/>
        <v>GOOD</v>
      </c>
    </row>
    <row r="520" spans="1:22" x14ac:dyDescent="0.3">
      <c r="A520">
        <v>519</v>
      </c>
      <c r="B520" s="1">
        <v>40566</v>
      </c>
      <c r="C520">
        <v>1</v>
      </c>
      <c r="D520">
        <v>0</v>
      </c>
      <c r="E520">
        <v>1</v>
      </c>
      <c r="F520">
        <v>17</v>
      </c>
      <c r="G520" t="b">
        <f>IF(COUNTIF(AB$4:AB$20,Append1[[#This Row],[dteday]]) &gt; 0, TRUE, FALSE)</f>
        <v>0</v>
      </c>
      <c r="H520">
        <v>0</v>
      </c>
      <c r="I520">
        <v>1</v>
      </c>
      <c r="J520">
        <v>0.14000000000000001</v>
      </c>
      <c r="K520">
        <f>Append1[[#This Row],[temp]]*100</f>
        <v>14.000000000000002</v>
      </c>
      <c r="L520">
        <v>0.1061</v>
      </c>
      <c r="M520">
        <v>0.26</v>
      </c>
      <c r="N520">
        <v>0.3881</v>
      </c>
      <c r="O520">
        <v>5</v>
      </c>
      <c r="P520">
        <v>50</v>
      </c>
      <c r="Q520">
        <v>55</v>
      </c>
      <c r="R520" s="12" t="str">
        <f t="shared" si="40"/>
        <v>Clear/Few Clouds</v>
      </c>
      <c r="S520" s="14" t="str">
        <f t="shared" si="41"/>
        <v>Winter</v>
      </c>
      <c r="T520" s="15" t="str">
        <f t="shared" si="42"/>
        <v>Sunday</v>
      </c>
      <c r="U520" t="str">
        <f t="shared" si="43"/>
        <v>January</v>
      </c>
      <c r="V520" s="16" t="str">
        <f t="shared" si="44"/>
        <v>GOOD</v>
      </c>
    </row>
    <row r="521" spans="1:22" x14ac:dyDescent="0.3">
      <c r="A521">
        <v>520</v>
      </c>
      <c r="B521" s="1">
        <v>40566</v>
      </c>
      <c r="C521">
        <v>1</v>
      </c>
      <c r="D521">
        <v>0</v>
      </c>
      <c r="E521">
        <v>1</v>
      </c>
      <c r="F521">
        <v>18</v>
      </c>
      <c r="G521" t="b">
        <f>IF(COUNTIF(AB$4:AB$20,Append1[[#This Row],[dteday]]) &gt; 0, TRUE, FALSE)</f>
        <v>0</v>
      </c>
      <c r="H521">
        <v>0</v>
      </c>
      <c r="I521">
        <v>1</v>
      </c>
      <c r="J521">
        <v>0.12</v>
      </c>
      <c r="K521">
        <f>Append1[[#This Row],[temp]]*100</f>
        <v>12</v>
      </c>
      <c r="L521">
        <v>0.1212</v>
      </c>
      <c r="M521">
        <v>0.3</v>
      </c>
      <c r="N521">
        <v>0.25369999999999998</v>
      </c>
      <c r="O521">
        <v>5</v>
      </c>
      <c r="P521">
        <v>44</v>
      </c>
      <c r="Q521">
        <v>49</v>
      </c>
      <c r="R521" s="12" t="str">
        <f t="shared" si="40"/>
        <v>Clear/Few Clouds</v>
      </c>
      <c r="S521" s="14" t="str">
        <f t="shared" si="41"/>
        <v>Winter</v>
      </c>
      <c r="T521" s="15" t="str">
        <f t="shared" si="42"/>
        <v>Sunday</v>
      </c>
      <c r="U521" t="str">
        <f t="shared" si="43"/>
        <v>January</v>
      </c>
      <c r="V521" s="16" t="str">
        <f t="shared" si="44"/>
        <v>GOOD</v>
      </c>
    </row>
    <row r="522" spans="1:22" x14ac:dyDescent="0.3">
      <c r="A522">
        <v>521</v>
      </c>
      <c r="B522" s="1">
        <v>40566</v>
      </c>
      <c r="C522">
        <v>1</v>
      </c>
      <c r="D522">
        <v>0</v>
      </c>
      <c r="E522">
        <v>1</v>
      </c>
      <c r="F522">
        <v>19</v>
      </c>
      <c r="G522" t="b">
        <f>IF(COUNTIF(AB$4:AB$20,Append1[[#This Row],[dteday]]) &gt; 0, TRUE, FALSE)</f>
        <v>0</v>
      </c>
      <c r="H522">
        <v>0</v>
      </c>
      <c r="I522">
        <v>1</v>
      </c>
      <c r="J522">
        <v>0.12</v>
      </c>
      <c r="K522">
        <f>Append1[[#This Row],[temp]]*100</f>
        <v>12</v>
      </c>
      <c r="L522">
        <v>0.1212</v>
      </c>
      <c r="M522">
        <v>0.3</v>
      </c>
      <c r="N522">
        <v>0.28360000000000002</v>
      </c>
      <c r="O522">
        <v>5</v>
      </c>
      <c r="P522">
        <v>45</v>
      </c>
      <c r="Q522">
        <v>50</v>
      </c>
      <c r="R522" s="12" t="str">
        <f t="shared" si="40"/>
        <v>Clear/Few Clouds</v>
      </c>
      <c r="S522" s="14" t="str">
        <f t="shared" si="41"/>
        <v>Winter</v>
      </c>
      <c r="T522" s="15" t="str">
        <f t="shared" si="42"/>
        <v>Sunday</v>
      </c>
      <c r="U522" t="str">
        <f t="shared" si="43"/>
        <v>January</v>
      </c>
      <c r="V522" s="16" t="str">
        <f t="shared" si="44"/>
        <v>GOOD</v>
      </c>
    </row>
    <row r="523" spans="1:22" x14ac:dyDescent="0.3">
      <c r="A523">
        <v>522</v>
      </c>
      <c r="B523" s="1">
        <v>40566</v>
      </c>
      <c r="C523">
        <v>1</v>
      </c>
      <c r="D523">
        <v>0</v>
      </c>
      <c r="E523">
        <v>1</v>
      </c>
      <c r="F523">
        <v>20</v>
      </c>
      <c r="G523" t="b">
        <f>IF(COUNTIF(AB$4:AB$20,Append1[[#This Row],[dteday]]) &gt; 0, TRUE, FALSE)</f>
        <v>0</v>
      </c>
      <c r="H523">
        <v>0</v>
      </c>
      <c r="I523">
        <v>1</v>
      </c>
      <c r="J523">
        <v>0.1</v>
      </c>
      <c r="K523">
        <f>Append1[[#This Row],[temp]]*100</f>
        <v>10</v>
      </c>
      <c r="L523">
        <v>0.1061</v>
      </c>
      <c r="M523">
        <v>0.36</v>
      </c>
      <c r="N523">
        <v>0.25369999999999998</v>
      </c>
      <c r="O523">
        <v>4</v>
      </c>
      <c r="P523">
        <v>31</v>
      </c>
      <c r="Q523">
        <v>35</v>
      </c>
      <c r="R523" s="12" t="str">
        <f t="shared" si="40"/>
        <v>Clear/Few Clouds</v>
      </c>
      <c r="S523" s="14" t="str">
        <f t="shared" si="41"/>
        <v>Winter</v>
      </c>
      <c r="T523" s="15" t="str">
        <f t="shared" si="42"/>
        <v>Sunday</v>
      </c>
      <c r="U523" t="str">
        <f t="shared" si="43"/>
        <v>January</v>
      </c>
      <c r="V523" s="16" t="str">
        <f t="shared" si="44"/>
        <v>GOOD</v>
      </c>
    </row>
    <row r="524" spans="1:22" x14ac:dyDescent="0.3">
      <c r="A524">
        <v>523</v>
      </c>
      <c r="B524" s="1">
        <v>40566</v>
      </c>
      <c r="C524">
        <v>1</v>
      </c>
      <c r="D524">
        <v>0</v>
      </c>
      <c r="E524">
        <v>1</v>
      </c>
      <c r="F524">
        <v>21</v>
      </c>
      <c r="G524" t="b">
        <f>IF(COUNTIF(AB$4:AB$20,Append1[[#This Row],[dteday]]) &gt; 0, TRUE, FALSE)</f>
        <v>0</v>
      </c>
      <c r="H524">
        <v>0</v>
      </c>
      <c r="I524">
        <v>1</v>
      </c>
      <c r="J524">
        <v>0.1</v>
      </c>
      <c r="K524">
        <f>Append1[[#This Row],[temp]]*100</f>
        <v>10</v>
      </c>
      <c r="L524">
        <v>0.1061</v>
      </c>
      <c r="M524">
        <v>0.36</v>
      </c>
      <c r="N524">
        <v>0.19400000000000001</v>
      </c>
      <c r="O524">
        <v>5</v>
      </c>
      <c r="P524">
        <v>20</v>
      </c>
      <c r="Q524">
        <v>25</v>
      </c>
      <c r="R524" s="12" t="str">
        <f t="shared" si="40"/>
        <v>Clear/Few Clouds</v>
      </c>
      <c r="S524" s="14" t="str">
        <f t="shared" si="41"/>
        <v>Winter</v>
      </c>
      <c r="T524" s="15" t="str">
        <f t="shared" si="42"/>
        <v>Sunday</v>
      </c>
      <c r="U524" t="str">
        <f t="shared" si="43"/>
        <v>January</v>
      </c>
      <c r="V524" s="16" t="str">
        <f t="shared" si="44"/>
        <v>GOOD</v>
      </c>
    </row>
    <row r="525" spans="1:22" x14ac:dyDescent="0.3">
      <c r="A525">
        <v>524</v>
      </c>
      <c r="B525" s="1">
        <v>40566</v>
      </c>
      <c r="C525">
        <v>1</v>
      </c>
      <c r="D525">
        <v>0</v>
      </c>
      <c r="E525">
        <v>1</v>
      </c>
      <c r="F525">
        <v>22</v>
      </c>
      <c r="G525" t="b">
        <f>IF(COUNTIF(AB$4:AB$20,Append1[[#This Row],[dteday]]) &gt; 0, TRUE, FALSE)</f>
        <v>0</v>
      </c>
      <c r="H525">
        <v>0</v>
      </c>
      <c r="I525">
        <v>1</v>
      </c>
      <c r="J525">
        <v>0.08</v>
      </c>
      <c r="K525">
        <f>Append1[[#This Row],[temp]]*100</f>
        <v>8</v>
      </c>
      <c r="L525">
        <v>9.0899999999999995E-2</v>
      </c>
      <c r="M525">
        <v>0.38</v>
      </c>
      <c r="N525">
        <v>0.19400000000000001</v>
      </c>
      <c r="O525">
        <v>5</v>
      </c>
      <c r="P525">
        <v>23</v>
      </c>
      <c r="Q525">
        <v>28</v>
      </c>
      <c r="R525" s="12" t="str">
        <f t="shared" si="40"/>
        <v>Clear/Few Clouds</v>
      </c>
      <c r="S525" s="14" t="str">
        <f t="shared" si="41"/>
        <v>Winter</v>
      </c>
      <c r="T525" s="15" t="str">
        <f t="shared" si="42"/>
        <v>Sunday</v>
      </c>
      <c r="U525" t="str">
        <f t="shared" si="43"/>
        <v>January</v>
      </c>
      <c r="V525" s="16" t="str">
        <f t="shared" si="44"/>
        <v>GOOD</v>
      </c>
    </row>
    <row r="526" spans="1:22" x14ac:dyDescent="0.3">
      <c r="A526">
        <v>525</v>
      </c>
      <c r="B526" s="1">
        <v>40566</v>
      </c>
      <c r="C526">
        <v>1</v>
      </c>
      <c r="D526">
        <v>0</v>
      </c>
      <c r="E526">
        <v>1</v>
      </c>
      <c r="F526">
        <v>23</v>
      </c>
      <c r="G526" t="b">
        <f>IF(COUNTIF(AB$4:AB$20,Append1[[#This Row],[dteday]]) &gt; 0, TRUE, FALSE)</f>
        <v>0</v>
      </c>
      <c r="H526">
        <v>0</v>
      </c>
      <c r="I526">
        <v>1</v>
      </c>
      <c r="J526">
        <v>0.06</v>
      </c>
      <c r="K526">
        <f>Append1[[#This Row],[temp]]*100</f>
        <v>6</v>
      </c>
      <c r="L526">
        <v>6.0600000000000001E-2</v>
      </c>
      <c r="M526">
        <v>0.41</v>
      </c>
      <c r="N526">
        <v>0.22389999999999999</v>
      </c>
      <c r="O526">
        <v>4</v>
      </c>
      <c r="P526">
        <v>17</v>
      </c>
      <c r="Q526">
        <v>21</v>
      </c>
      <c r="R526" s="12" t="str">
        <f t="shared" si="40"/>
        <v>Clear/Few Clouds</v>
      </c>
      <c r="S526" s="14" t="str">
        <f t="shared" si="41"/>
        <v>Winter</v>
      </c>
      <c r="T526" s="15" t="str">
        <f t="shared" si="42"/>
        <v>Sunday</v>
      </c>
      <c r="U526" t="str">
        <f t="shared" si="43"/>
        <v>January</v>
      </c>
      <c r="V526" s="16" t="str">
        <f t="shared" si="44"/>
        <v>GOOD</v>
      </c>
    </row>
    <row r="527" spans="1:22" x14ac:dyDescent="0.3">
      <c r="A527">
        <v>526</v>
      </c>
      <c r="B527" s="1">
        <v>40567</v>
      </c>
      <c r="C527">
        <v>1</v>
      </c>
      <c r="D527">
        <v>0</v>
      </c>
      <c r="E527">
        <v>1</v>
      </c>
      <c r="F527">
        <v>0</v>
      </c>
      <c r="G527" t="b">
        <f>IF(COUNTIF(AB$4:AB$20,Append1[[#This Row],[dteday]]) &gt; 0, TRUE, FALSE)</f>
        <v>0</v>
      </c>
      <c r="H527">
        <v>1</v>
      </c>
      <c r="I527">
        <v>1</v>
      </c>
      <c r="J527">
        <v>0.06</v>
      </c>
      <c r="K527">
        <f>Append1[[#This Row],[temp]]*100</f>
        <v>6</v>
      </c>
      <c r="L527">
        <v>6.0600000000000001E-2</v>
      </c>
      <c r="M527">
        <v>0.41</v>
      </c>
      <c r="N527">
        <v>0.19400000000000001</v>
      </c>
      <c r="O527">
        <v>0</v>
      </c>
      <c r="P527">
        <v>7</v>
      </c>
      <c r="Q527">
        <v>7</v>
      </c>
      <c r="R527" s="12" t="str">
        <f t="shared" si="40"/>
        <v>Clear/Few Clouds</v>
      </c>
      <c r="S527" s="14" t="str">
        <f t="shared" si="41"/>
        <v>Winter</v>
      </c>
      <c r="T527" s="15" t="str">
        <f t="shared" si="42"/>
        <v>Monday</v>
      </c>
      <c r="U527" t="str">
        <f t="shared" si="43"/>
        <v>January</v>
      </c>
      <c r="V527" s="16" t="str">
        <f t="shared" si="44"/>
        <v>GOOD</v>
      </c>
    </row>
    <row r="528" spans="1:22" x14ac:dyDescent="0.3">
      <c r="A528">
        <v>527</v>
      </c>
      <c r="B528" s="1">
        <v>40567</v>
      </c>
      <c r="C528">
        <v>1</v>
      </c>
      <c r="D528">
        <v>0</v>
      </c>
      <c r="E528">
        <v>1</v>
      </c>
      <c r="F528">
        <v>1</v>
      </c>
      <c r="G528" t="b">
        <f>IF(COUNTIF(AB$4:AB$20,Append1[[#This Row],[dteday]]) &gt; 0, TRUE, FALSE)</f>
        <v>0</v>
      </c>
      <c r="H528">
        <v>1</v>
      </c>
      <c r="I528">
        <v>1</v>
      </c>
      <c r="J528">
        <v>0.04</v>
      </c>
      <c r="K528">
        <f>Append1[[#This Row],[temp]]*100</f>
        <v>4</v>
      </c>
      <c r="L528">
        <v>4.5499999999999999E-2</v>
      </c>
      <c r="M528">
        <v>0.45</v>
      </c>
      <c r="N528">
        <v>0.19400000000000001</v>
      </c>
      <c r="O528">
        <v>0</v>
      </c>
      <c r="P528">
        <v>1</v>
      </c>
      <c r="Q528">
        <v>1</v>
      </c>
      <c r="R528" s="12" t="str">
        <f t="shared" si="40"/>
        <v>Clear/Few Clouds</v>
      </c>
      <c r="S528" s="14" t="str">
        <f t="shared" si="41"/>
        <v>Winter</v>
      </c>
      <c r="T528" s="15" t="str">
        <f t="shared" si="42"/>
        <v>Monday</v>
      </c>
      <c r="U528" t="str">
        <f t="shared" si="43"/>
        <v>January</v>
      </c>
      <c r="V528" s="16" t="str">
        <f t="shared" si="44"/>
        <v>GOOD</v>
      </c>
    </row>
    <row r="529" spans="1:22" x14ac:dyDescent="0.3">
      <c r="A529">
        <v>528</v>
      </c>
      <c r="B529" s="1">
        <v>40567</v>
      </c>
      <c r="C529">
        <v>1</v>
      </c>
      <c r="D529">
        <v>0</v>
      </c>
      <c r="E529">
        <v>1</v>
      </c>
      <c r="F529">
        <v>3</v>
      </c>
      <c r="G529" t="b">
        <f>IF(COUNTIF(AB$4:AB$20,Append1[[#This Row],[dteday]]) &gt; 0, TRUE, FALSE)</f>
        <v>0</v>
      </c>
      <c r="H529">
        <v>1</v>
      </c>
      <c r="I529">
        <v>1</v>
      </c>
      <c r="J529">
        <v>0.04</v>
      </c>
      <c r="K529">
        <f>Append1[[#This Row],[temp]]*100</f>
        <v>4</v>
      </c>
      <c r="L529">
        <v>3.0300000000000001E-2</v>
      </c>
      <c r="M529">
        <v>0.45</v>
      </c>
      <c r="N529">
        <v>0.25369999999999998</v>
      </c>
      <c r="O529">
        <v>0</v>
      </c>
      <c r="P529">
        <v>1</v>
      </c>
      <c r="Q529">
        <v>1</v>
      </c>
      <c r="R529" s="12" t="str">
        <f t="shared" si="40"/>
        <v>Clear/Few Clouds</v>
      </c>
      <c r="S529" s="14" t="str">
        <f t="shared" si="41"/>
        <v>Winter</v>
      </c>
      <c r="T529" s="15" t="str">
        <f t="shared" si="42"/>
        <v>Monday</v>
      </c>
      <c r="U529" t="str">
        <f t="shared" si="43"/>
        <v>January</v>
      </c>
      <c r="V529" s="16" t="str">
        <f t="shared" si="44"/>
        <v>GOOD</v>
      </c>
    </row>
    <row r="530" spans="1:22" x14ac:dyDescent="0.3">
      <c r="A530">
        <v>529</v>
      </c>
      <c r="B530" s="1">
        <v>40567</v>
      </c>
      <c r="C530">
        <v>1</v>
      </c>
      <c r="D530">
        <v>0</v>
      </c>
      <c r="E530">
        <v>1</v>
      </c>
      <c r="F530">
        <v>4</v>
      </c>
      <c r="G530" t="b">
        <f>IF(COUNTIF(AB$4:AB$20,Append1[[#This Row],[dteday]]) &gt; 0, TRUE, FALSE)</f>
        <v>0</v>
      </c>
      <c r="H530">
        <v>1</v>
      </c>
      <c r="I530">
        <v>1</v>
      </c>
      <c r="J530">
        <v>0.02</v>
      </c>
      <c r="K530">
        <f>Append1[[#This Row],[temp]]*100</f>
        <v>2</v>
      </c>
      <c r="L530">
        <v>6.0600000000000001E-2</v>
      </c>
      <c r="M530">
        <v>0.48</v>
      </c>
      <c r="N530">
        <v>0.1343</v>
      </c>
      <c r="O530">
        <v>0</v>
      </c>
      <c r="P530">
        <v>1</v>
      </c>
      <c r="Q530">
        <v>1</v>
      </c>
      <c r="R530" s="12" t="str">
        <f t="shared" si="40"/>
        <v>Clear/Few Clouds</v>
      </c>
      <c r="S530" s="14" t="str">
        <f t="shared" si="41"/>
        <v>Winter</v>
      </c>
      <c r="T530" s="15" t="str">
        <f t="shared" si="42"/>
        <v>Monday</v>
      </c>
      <c r="U530" t="str">
        <f t="shared" si="43"/>
        <v>January</v>
      </c>
      <c r="V530" s="16" t="str">
        <f t="shared" si="44"/>
        <v>GOOD</v>
      </c>
    </row>
    <row r="531" spans="1:22" x14ac:dyDescent="0.3">
      <c r="A531">
        <v>530</v>
      </c>
      <c r="B531" s="1">
        <v>40567</v>
      </c>
      <c r="C531">
        <v>1</v>
      </c>
      <c r="D531">
        <v>0</v>
      </c>
      <c r="E531">
        <v>1</v>
      </c>
      <c r="F531">
        <v>5</v>
      </c>
      <c r="G531" t="b">
        <f>IF(COUNTIF(AB$4:AB$20,Append1[[#This Row],[dteday]]) &gt; 0, TRUE, FALSE)</f>
        <v>0</v>
      </c>
      <c r="H531">
        <v>1</v>
      </c>
      <c r="I531">
        <v>1</v>
      </c>
      <c r="J531">
        <v>0.02</v>
      </c>
      <c r="K531">
        <f>Append1[[#This Row],[temp]]*100</f>
        <v>2</v>
      </c>
      <c r="L531">
        <v>6.0600000000000001E-2</v>
      </c>
      <c r="M531">
        <v>0.48</v>
      </c>
      <c r="N531">
        <v>0.1343</v>
      </c>
      <c r="O531">
        <v>0</v>
      </c>
      <c r="P531">
        <v>5</v>
      </c>
      <c r="Q531">
        <v>5</v>
      </c>
      <c r="R531" s="12" t="str">
        <f t="shared" si="40"/>
        <v>Clear/Few Clouds</v>
      </c>
      <c r="S531" s="14" t="str">
        <f t="shared" si="41"/>
        <v>Winter</v>
      </c>
      <c r="T531" s="15" t="str">
        <f t="shared" si="42"/>
        <v>Monday</v>
      </c>
      <c r="U531" t="str">
        <f t="shared" si="43"/>
        <v>January</v>
      </c>
      <c r="V531" s="16" t="str">
        <f t="shared" si="44"/>
        <v>GOOD</v>
      </c>
    </row>
    <row r="532" spans="1:22" x14ac:dyDescent="0.3">
      <c r="A532">
        <v>531</v>
      </c>
      <c r="B532" s="1">
        <v>40567</v>
      </c>
      <c r="C532">
        <v>1</v>
      </c>
      <c r="D532">
        <v>0</v>
      </c>
      <c r="E532">
        <v>1</v>
      </c>
      <c r="F532">
        <v>6</v>
      </c>
      <c r="G532" t="b">
        <f>IF(COUNTIF(AB$4:AB$20,Append1[[#This Row],[dteday]]) &gt; 0, TRUE, FALSE)</f>
        <v>0</v>
      </c>
      <c r="H532">
        <v>1</v>
      </c>
      <c r="I532">
        <v>1</v>
      </c>
      <c r="J532">
        <v>0.02</v>
      </c>
      <c r="K532">
        <f>Append1[[#This Row],[temp]]*100</f>
        <v>2</v>
      </c>
      <c r="L532">
        <v>7.5800000000000006E-2</v>
      </c>
      <c r="M532">
        <v>0.48</v>
      </c>
      <c r="N532">
        <v>8.9599999999999999E-2</v>
      </c>
      <c r="O532">
        <v>0</v>
      </c>
      <c r="P532">
        <v>15</v>
      </c>
      <c r="Q532">
        <v>15</v>
      </c>
      <c r="R532" s="12" t="str">
        <f t="shared" si="40"/>
        <v>Clear/Few Clouds</v>
      </c>
      <c r="S532" s="14" t="str">
        <f t="shared" si="41"/>
        <v>Winter</v>
      </c>
      <c r="T532" s="15" t="str">
        <f t="shared" si="42"/>
        <v>Monday</v>
      </c>
      <c r="U532" t="str">
        <f t="shared" si="43"/>
        <v>January</v>
      </c>
      <c r="V532" s="16" t="str">
        <f t="shared" si="44"/>
        <v>GOOD</v>
      </c>
    </row>
    <row r="533" spans="1:22" x14ac:dyDescent="0.3">
      <c r="A533">
        <v>532</v>
      </c>
      <c r="B533" s="1">
        <v>40567</v>
      </c>
      <c r="C533">
        <v>1</v>
      </c>
      <c r="D533">
        <v>0</v>
      </c>
      <c r="E533">
        <v>1</v>
      </c>
      <c r="F533">
        <v>7</v>
      </c>
      <c r="G533" t="b">
        <f>IF(COUNTIF(AB$4:AB$20,Append1[[#This Row],[dteday]]) &gt; 0, TRUE, FALSE)</f>
        <v>0</v>
      </c>
      <c r="H533">
        <v>1</v>
      </c>
      <c r="I533">
        <v>1</v>
      </c>
      <c r="J533">
        <v>0.02</v>
      </c>
      <c r="K533">
        <f>Append1[[#This Row],[temp]]*100</f>
        <v>2</v>
      </c>
      <c r="L533">
        <v>0.1212</v>
      </c>
      <c r="M533">
        <v>0.48</v>
      </c>
      <c r="N533">
        <v>0</v>
      </c>
      <c r="O533">
        <v>5</v>
      </c>
      <c r="P533">
        <v>79</v>
      </c>
      <c r="Q533">
        <v>84</v>
      </c>
      <c r="R533" s="12" t="str">
        <f t="shared" si="40"/>
        <v>Clear/Few Clouds</v>
      </c>
      <c r="S533" s="14" t="str">
        <f t="shared" si="41"/>
        <v>Winter</v>
      </c>
      <c r="T533" s="15" t="str">
        <f t="shared" si="42"/>
        <v>Monday</v>
      </c>
      <c r="U533" t="str">
        <f t="shared" si="43"/>
        <v>January</v>
      </c>
      <c r="V533" s="16" t="str">
        <f t="shared" si="44"/>
        <v>GOOD</v>
      </c>
    </row>
    <row r="534" spans="1:22" x14ac:dyDescent="0.3">
      <c r="A534">
        <v>533</v>
      </c>
      <c r="B534" s="1">
        <v>40567</v>
      </c>
      <c r="C534">
        <v>1</v>
      </c>
      <c r="D534">
        <v>0</v>
      </c>
      <c r="E534">
        <v>1</v>
      </c>
      <c r="F534">
        <v>8</v>
      </c>
      <c r="G534" t="b">
        <f>IF(COUNTIF(AB$4:AB$20,Append1[[#This Row],[dteday]]) &gt; 0, TRUE, FALSE)</f>
        <v>0</v>
      </c>
      <c r="H534">
        <v>1</v>
      </c>
      <c r="I534">
        <v>1</v>
      </c>
      <c r="J534">
        <v>0.04</v>
      </c>
      <c r="K534">
        <f>Append1[[#This Row],[temp]]*100</f>
        <v>4</v>
      </c>
      <c r="L534">
        <v>0.13639999999999999</v>
      </c>
      <c r="M534">
        <v>0.49</v>
      </c>
      <c r="N534">
        <v>0</v>
      </c>
      <c r="O534">
        <v>6</v>
      </c>
      <c r="P534">
        <v>171</v>
      </c>
      <c r="Q534">
        <v>177</v>
      </c>
      <c r="R534" s="12" t="str">
        <f t="shared" si="40"/>
        <v>Clear/Few Clouds</v>
      </c>
      <c r="S534" s="14" t="str">
        <f t="shared" si="41"/>
        <v>Winter</v>
      </c>
      <c r="T534" s="15" t="str">
        <f t="shared" si="42"/>
        <v>Monday</v>
      </c>
      <c r="U534" t="str">
        <f t="shared" si="43"/>
        <v>January</v>
      </c>
      <c r="V534" s="16" t="str">
        <f t="shared" si="44"/>
        <v>GOOD</v>
      </c>
    </row>
    <row r="535" spans="1:22" x14ac:dyDescent="0.3">
      <c r="A535">
        <v>534</v>
      </c>
      <c r="B535" s="1">
        <v>40567</v>
      </c>
      <c r="C535">
        <v>1</v>
      </c>
      <c r="D535">
        <v>0</v>
      </c>
      <c r="E535">
        <v>1</v>
      </c>
      <c r="F535">
        <v>9</v>
      </c>
      <c r="G535" t="b">
        <f>IF(COUNTIF(AB$4:AB$20,Append1[[#This Row],[dteday]]) &gt; 0, TRUE, FALSE)</f>
        <v>0</v>
      </c>
      <c r="H535">
        <v>1</v>
      </c>
      <c r="I535">
        <v>1</v>
      </c>
      <c r="J535">
        <v>0.06</v>
      </c>
      <c r="K535">
        <f>Append1[[#This Row],[temp]]*100</f>
        <v>6</v>
      </c>
      <c r="L535">
        <v>0.1515</v>
      </c>
      <c r="M535">
        <v>0.41</v>
      </c>
      <c r="N535">
        <v>0</v>
      </c>
      <c r="O535">
        <v>4</v>
      </c>
      <c r="P535">
        <v>98</v>
      </c>
      <c r="Q535">
        <v>102</v>
      </c>
      <c r="R535" s="12" t="str">
        <f t="shared" si="40"/>
        <v>Clear/Few Clouds</v>
      </c>
      <c r="S535" s="14" t="str">
        <f t="shared" si="41"/>
        <v>Winter</v>
      </c>
      <c r="T535" s="15" t="str">
        <f t="shared" si="42"/>
        <v>Monday</v>
      </c>
      <c r="U535" t="str">
        <f t="shared" si="43"/>
        <v>January</v>
      </c>
      <c r="V535" s="16" t="str">
        <f t="shared" si="44"/>
        <v>GOOD</v>
      </c>
    </row>
    <row r="536" spans="1:22" x14ac:dyDescent="0.3">
      <c r="A536">
        <v>535</v>
      </c>
      <c r="B536" s="1">
        <v>40567</v>
      </c>
      <c r="C536">
        <v>1</v>
      </c>
      <c r="D536">
        <v>0</v>
      </c>
      <c r="E536">
        <v>1</v>
      </c>
      <c r="F536">
        <v>10</v>
      </c>
      <c r="G536" t="b">
        <f>IF(COUNTIF(AB$4:AB$20,Append1[[#This Row],[dteday]]) &gt; 0, TRUE, FALSE)</f>
        <v>0</v>
      </c>
      <c r="H536">
        <v>1</v>
      </c>
      <c r="I536">
        <v>1</v>
      </c>
      <c r="J536">
        <v>0.1</v>
      </c>
      <c r="K536">
        <f>Append1[[#This Row],[temp]]*100</f>
        <v>10</v>
      </c>
      <c r="L536">
        <v>0.13639999999999999</v>
      </c>
      <c r="M536">
        <v>0.42</v>
      </c>
      <c r="N536">
        <v>0</v>
      </c>
      <c r="O536">
        <v>6</v>
      </c>
      <c r="P536">
        <v>34</v>
      </c>
      <c r="Q536">
        <v>40</v>
      </c>
      <c r="R536" s="12" t="str">
        <f t="shared" si="40"/>
        <v>Clear/Few Clouds</v>
      </c>
      <c r="S536" s="14" t="str">
        <f t="shared" si="41"/>
        <v>Winter</v>
      </c>
      <c r="T536" s="15" t="str">
        <f t="shared" si="42"/>
        <v>Monday</v>
      </c>
      <c r="U536" t="str">
        <f t="shared" si="43"/>
        <v>January</v>
      </c>
      <c r="V536" s="16" t="str">
        <f t="shared" si="44"/>
        <v>GOOD</v>
      </c>
    </row>
    <row r="537" spans="1:22" x14ac:dyDescent="0.3">
      <c r="A537">
        <v>536</v>
      </c>
      <c r="B537" s="1">
        <v>40567</v>
      </c>
      <c r="C537">
        <v>1</v>
      </c>
      <c r="D537">
        <v>0</v>
      </c>
      <c r="E537">
        <v>1</v>
      </c>
      <c r="F537">
        <v>11</v>
      </c>
      <c r="G537" t="b">
        <f>IF(COUNTIF(AB$4:AB$20,Append1[[#This Row],[dteday]]) &gt; 0, TRUE, FALSE)</f>
        <v>0</v>
      </c>
      <c r="H537">
        <v>1</v>
      </c>
      <c r="I537">
        <v>1</v>
      </c>
      <c r="J537">
        <v>0.1</v>
      </c>
      <c r="K537">
        <f>Append1[[#This Row],[temp]]*100</f>
        <v>10</v>
      </c>
      <c r="L537">
        <v>0.1212</v>
      </c>
      <c r="M537">
        <v>0.46</v>
      </c>
      <c r="N537">
        <v>0.1343</v>
      </c>
      <c r="O537">
        <v>3</v>
      </c>
      <c r="P537">
        <v>43</v>
      </c>
      <c r="Q537">
        <v>46</v>
      </c>
      <c r="R537" s="12" t="str">
        <f t="shared" si="40"/>
        <v>Clear/Few Clouds</v>
      </c>
      <c r="S537" s="14" t="str">
        <f t="shared" si="41"/>
        <v>Winter</v>
      </c>
      <c r="T537" s="15" t="str">
        <f t="shared" si="42"/>
        <v>Monday</v>
      </c>
      <c r="U537" t="str">
        <f t="shared" si="43"/>
        <v>January</v>
      </c>
      <c r="V537" s="16" t="str">
        <f t="shared" si="44"/>
        <v>GOOD</v>
      </c>
    </row>
    <row r="538" spans="1:22" x14ac:dyDescent="0.3">
      <c r="A538">
        <v>537</v>
      </c>
      <c r="B538" s="1">
        <v>40567</v>
      </c>
      <c r="C538">
        <v>1</v>
      </c>
      <c r="D538">
        <v>0</v>
      </c>
      <c r="E538">
        <v>1</v>
      </c>
      <c r="F538">
        <v>12</v>
      </c>
      <c r="G538" t="b">
        <f>IF(COUNTIF(AB$4:AB$20,Append1[[#This Row],[dteday]]) &gt; 0, TRUE, FALSE)</f>
        <v>0</v>
      </c>
      <c r="H538">
        <v>1</v>
      </c>
      <c r="I538">
        <v>2</v>
      </c>
      <c r="J538">
        <v>0.12</v>
      </c>
      <c r="K538">
        <f>Append1[[#This Row],[temp]]*100</f>
        <v>12</v>
      </c>
      <c r="L538">
        <v>0.13639999999999999</v>
      </c>
      <c r="M538">
        <v>0.42</v>
      </c>
      <c r="N538">
        <v>0.19400000000000001</v>
      </c>
      <c r="O538">
        <v>11</v>
      </c>
      <c r="P538">
        <v>52</v>
      </c>
      <c r="Q538">
        <v>63</v>
      </c>
      <c r="R538" s="12" t="str">
        <f t="shared" si="40"/>
        <v>Mist/Cloudy</v>
      </c>
      <c r="S538" s="14" t="str">
        <f t="shared" si="41"/>
        <v>Winter</v>
      </c>
      <c r="T538" s="15" t="str">
        <f t="shared" si="42"/>
        <v>Monday</v>
      </c>
      <c r="U538" t="str">
        <f t="shared" si="43"/>
        <v>January</v>
      </c>
      <c r="V538" s="16" t="str">
        <f t="shared" si="44"/>
        <v>MODERATE</v>
      </c>
    </row>
    <row r="539" spans="1:22" x14ac:dyDescent="0.3">
      <c r="A539">
        <v>538</v>
      </c>
      <c r="B539" s="1">
        <v>40567</v>
      </c>
      <c r="C539">
        <v>1</v>
      </c>
      <c r="D539">
        <v>0</v>
      </c>
      <c r="E539">
        <v>1</v>
      </c>
      <c r="F539">
        <v>13</v>
      </c>
      <c r="G539" t="b">
        <f>IF(COUNTIF(AB$4:AB$20,Append1[[#This Row],[dteday]]) &gt; 0, TRUE, FALSE)</f>
        <v>0</v>
      </c>
      <c r="H539">
        <v>1</v>
      </c>
      <c r="I539">
        <v>2</v>
      </c>
      <c r="J539">
        <v>0.14000000000000001</v>
      </c>
      <c r="K539">
        <f>Append1[[#This Row],[temp]]*100</f>
        <v>14.000000000000002</v>
      </c>
      <c r="L539">
        <v>0.13639999999999999</v>
      </c>
      <c r="M539">
        <v>0.43</v>
      </c>
      <c r="N539">
        <v>0.22389999999999999</v>
      </c>
      <c r="O539">
        <v>6</v>
      </c>
      <c r="P539">
        <v>54</v>
      </c>
      <c r="Q539">
        <v>60</v>
      </c>
      <c r="R539" s="12" t="str">
        <f t="shared" si="40"/>
        <v>Mist/Cloudy</v>
      </c>
      <c r="S539" s="14" t="str">
        <f t="shared" si="41"/>
        <v>Winter</v>
      </c>
      <c r="T539" s="15" t="str">
        <f t="shared" si="42"/>
        <v>Monday</v>
      </c>
      <c r="U539" t="str">
        <f t="shared" si="43"/>
        <v>January</v>
      </c>
      <c r="V539" s="16" t="str">
        <f t="shared" si="44"/>
        <v>MODERATE</v>
      </c>
    </row>
    <row r="540" spans="1:22" x14ac:dyDescent="0.3">
      <c r="A540">
        <v>539</v>
      </c>
      <c r="B540" s="1">
        <v>40567</v>
      </c>
      <c r="C540">
        <v>1</v>
      </c>
      <c r="D540">
        <v>0</v>
      </c>
      <c r="E540">
        <v>1</v>
      </c>
      <c r="F540">
        <v>14</v>
      </c>
      <c r="G540" t="b">
        <f>IF(COUNTIF(AB$4:AB$20,Append1[[#This Row],[dteday]]) &gt; 0, TRUE, FALSE)</f>
        <v>0</v>
      </c>
      <c r="H540">
        <v>1</v>
      </c>
      <c r="I540">
        <v>2</v>
      </c>
      <c r="J540">
        <v>0.14000000000000001</v>
      </c>
      <c r="K540">
        <f>Append1[[#This Row],[temp]]*100</f>
        <v>14.000000000000002</v>
      </c>
      <c r="L540">
        <v>0.13639999999999999</v>
      </c>
      <c r="M540">
        <v>0.46</v>
      </c>
      <c r="N540">
        <v>0.22389999999999999</v>
      </c>
      <c r="O540">
        <v>2</v>
      </c>
      <c r="P540">
        <v>43</v>
      </c>
      <c r="Q540">
        <v>45</v>
      </c>
      <c r="R540" s="12" t="str">
        <f t="shared" si="40"/>
        <v>Mist/Cloudy</v>
      </c>
      <c r="S540" s="14" t="str">
        <f t="shared" si="41"/>
        <v>Winter</v>
      </c>
      <c r="T540" s="15" t="str">
        <f t="shared" si="42"/>
        <v>Monday</v>
      </c>
      <c r="U540" t="str">
        <f t="shared" si="43"/>
        <v>January</v>
      </c>
      <c r="V540" s="16" t="str">
        <f t="shared" si="44"/>
        <v>MODERATE</v>
      </c>
    </row>
    <row r="541" spans="1:22" x14ac:dyDescent="0.3">
      <c r="A541">
        <v>540</v>
      </c>
      <c r="B541" s="1">
        <v>40567</v>
      </c>
      <c r="C541">
        <v>1</v>
      </c>
      <c r="D541">
        <v>0</v>
      </c>
      <c r="E541">
        <v>1</v>
      </c>
      <c r="F541">
        <v>15</v>
      </c>
      <c r="G541" t="b">
        <f>IF(COUNTIF(AB$4:AB$20,Append1[[#This Row],[dteday]]) &gt; 0, TRUE, FALSE)</f>
        <v>0</v>
      </c>
      <c r="H541">
        <v>1</v>
      </c>
      <c r="I541">
        <v>1</v>
      </c>
      <c r="J541">
        <v>0.16</v>
      </c>
      <c r="K541">
        <f>Append1[[#This Row],[temp]]*100</f>
        <v>16</v>
      </c>
      <c r="L541">
        <v>0.16669999999999999</v>
      </c>
      <c r="M541">
        <v>0.4</v>
      </c>
      <c r="N541">
        <v>0.16420000000000001</v>
      </c>
      <c r="O541">
        <v>7</v>
      </c>
      <c r="P541">
        <v>50</v>
      </c>
      <c r="Q541">
        <v>57</v>
      </c>
      <c r="R541" s="12" t="str">
        <f t="shared" si="40"/>
        <v>Clear/Few Clouds</v>
      </c>
      <c r="S541" s="14" t="str">
        <f t="shared" si="41"/>
        <v>Winter</v>
      </c>
      <c r="T541" s="15" t="str">
        <f t="shared" si="42"/>
        <v>Monday</v>
      </c>
      <c r="U541" t="str">
        <f t="shared" si="43"/>
        <v>January</v>
      </c>
      <c r="V541" s="16" t="str">
        <f t="shared" si="44"/>
        <v>GOOD</v>
      </c>
    </row>
    <row r="542" spans="1:22" x14ac:dyDescent="0.3">
      <c r="A542">
        <v>541</v>
      </c>
      <c r="B542" s="1">
        <v>40567</v>
      </c>
      <c r="C542">
        <v>1</v>
      </c>
      <c r="D542">
        <v>0</v>
      </c>
      <c r="E542">
        <v>1</v>
      </c>
      <c r="F542">
        <v>16</v>
      </c>
      <c r="G542" t="b">
        <f>IF(COUNTIF(AB$4:AB$20,Append1[[#This Row],[dteday]]) &gt; 0, TRUE, FALSE)</f>
        <v>0</v>
      </c>
      <c r="H542">
        <v>1</v>
      </c>
      <c r="I542">
        <v>1</v>
      </c>
      <c r="J542">
        <v>0.16</v>
      </c>
      <c r="K542">
        <f>Append1[[#This Row],[temp]]*100</f>
        <v>16</v>
      </c>
      <c r="L542">
        <v>0.1515</v>
      </c>
      <c r="M542">
        <v>0.47</v>
      </c>
      <c r="N542">
        <v>0.25369999999999998</v>
      </c>
      <c r="O542">
        <v>4</v>
      </c>
      <c r="P542">
        <v>66</v>
      </c>
      <c r="Q542">
        <v>70</v>
      </c>
      <c r="R542" s="12" t="str">
        <f t="shared" si="40"/>
        <v>Clear/Few Clouds</v>
      </c>
      <c r="S542" s="14" t="str">
        <f t="shared" si="41"/>
        <v>Winter</v>
      </c>
      <c r="T542" s="15" t="str">
        <f t="shared" si="42"/>
        <v>Monday</v>
      </c>
      <c r="U542" t="str">
        <f t="shared" si="43"/>
        <v>January</v>
      </c>
      <c r="V542" s="16" t="str">
        <f t="shared" si="44"/>
        <v>GOOD</v>
      </c>
    </row>
    <row r="543" spans="1:22" x14ac:dyDescent="0.3">
      <c r="A543">
        <v>542</v>
      </c>
      <c r="B543" s="1">
        <v>40567</v>
      </c>
      <c r="C543">
        <v>1</v>
      </c>
      <c r="D543">
        <v>0</v>
      </c>
      <c r="E543">
        <v>1</v>
      </c>
      <c r="F543">
        <v>17</v>
      </c>
      <c r="G543" t="b">
        <f>IF(COUNTIF(AB$4:AB$20,Append1[[#This Row],[dteday]]) &gt; 0, TRUE, FALSE)</f>
        <v>0</v>
      </c>
      <c r="H543">
        <v>1</v>
      </c>
      <c r="I543">
        <v>1</v>
      </c>
      <c r="J543">
        <v>0.14000000000000001</v>
      </c>
      <c r="K543">
        <f>Append1[[#This Row],[temp]]*100</f>
        <v>14.000000000000002</v>
      </c>
      <c r="L543">
        <v>0.1212</v>
      </c>
      <c r="M543">
        <v>0.5</v>
      </c>
      <c r="N543">
        <v>0.25369999999999998</v>
      </c>
      <c r="O543">
        <v>6</v>
      </c>
      <c r="P543">
        <v>178</v>
      </c>
      <c r="Q543">
        <v>184</v>
      </c>
      <c r="R543" s="12" t="str">
        <f t="shared" si="40"/>
        <v>Clear/Few Clouds</v>
      </c>
      <c r="S543" s="14" t="str">
        <f t="shared" si="41"/>
        <v>Winter</v>
      </c>
      <c r="T543" s="15" t="str">
        <f t="shared" si="42"/>
        <v>Monday</v>
      </c>
      <c r="U543" t="str">
        <f t="shared" si="43"/>
        <v>January</v>
      </c>
      <c r="V543" s="16" t="str">
        <f t="shared" si="44"/>
        <v>GOOD</v>
      </c>
    </row>
    <row r="544" spans="1:22" x14ac:dyDescent="0.3">
      <c r="A544">
        <v>543</v>
      </c>
      <c r="B544" s="1">
        <v>40567</v>
      </c>
      <c r="C544">
        <v>1</v>
      </c>
      <c r="D544">
        <v>0</v>
      </c>
      <c r="E544">
        <v>1</v>
      </c>
      <c r="F544">
        <v>18</v>
      </c>
      <c r="G544" t="b">
        <f>IF(COUNTIF(AB$4:AB$20,Append1[[#This Row],[dteday]]) &gt; 0, TRUE, FALSE)</f>
        <v>0</v>
      </c>
      <c r="H544">
        <v>1</v>
      </c>
      <c r="I544">
        <v>1</v>
      </c>
      <c r="J544">
        <v>0.14000000000000001</v>
      </c>
      <c r="K544">
        <f>Append1[[#This Row],[temp]]*100</f>
        <v>14.000000000000002</v>
      </c>
      <c r="L544">
        <v>0.13639999999999999</v>
      </c>
      <c r="M544">
        <v>0.59</v>
      </c>
      <c r="N544">
        <v>0.19400000000000001</v>
      </c>
      <c r="O544">
        <v>8</v>
      </c>
      <c r="P544">
        <v>145</v>
      </c>
      <c r="Q544">
        <v>153</v>
      </c>
      <c r="R544" s="12" t="str">
        <f t="shared" si="40"/>
        <v>Clear/Few Clouds</v>
      </c>
      <c r="S544" s="14" t="str">
        <f t="shared" si="41"/>
        <v>Winter</v>
      </c>
      <c r="T544" s="15" t="str">
        <f t="shared" si="42"/>
        <v>Monday</v>
      </c>
      <c r="U544" t="str">
        <f t="shared" si="43"/>
        <v>January</v>
      </c>
      <c r="V544" s="16" t="str">
        <f t="shared" si="44"/>
        <v>GOOD</v>
      </c>
    </row>
    <row r="545" spans="1:22" x14ac:dyDescent="0.3">
      <c r="A545">
        <v>544</v>
      </c>
      <c r="B545" s="1">
        <v>40567</v>
      </c>
      <c r="C545">
        <v>1</v>
      </c>
      <c r="D545">
        <v>0</v>
      </c>
      <c r="E545">
        <v>1</v>
      </c>
      <c r="F545">
        <v>19</v>
      </c>
      <c r="G545" t="b">
        <f>IF(COUNTIF(AB$4:AB$20,Append1[[#This Row],[dteday]]) &gt; 0, TRUE, FALSE)</f>
        <v>0</v>
      </c>
      <c r="H545">
        <v>1</v>
      </c>
      <c r="I545">
        <v>1</v>
      </c>
      <c r="J545">
        <v>0.14000000000000001</v>
      </c>
      <c r="K545">
        <f>Append1[[#This Row],[temp]]*100</f>
        <v>14.000000000000002</v>
      </c>
      <c r="L545">
        <v>0.1515</v>
      </c>
      <c r="M545">
        <v>0.54</v>
      </c>
      <c r="N545">
        <v>0.16420000000000001</v>
      </c>
      <c r="O545">
        <v>5</v>
      </c>
      <c r="P545">
        <v>101</v>
      </c>
      <c r="Q545">
        <v>106</v>
      </c>
      <c r="R545" s="12" t="str">
        <f t="shared" si="40"/>
        <v>Clear/Few Clouds</v>
      </c>
      <c r="S545" s="14" t="str">
        <f t="shared" si="41"/>
        <v>Winter</v>
      </c>
      <c r="T545" s="15" t="str">
        <f t="shared" si="42"/>
        <v>Monday</v>
      </c>
      <c r="U545" t="str">
        <f t="shared" si="43"/>
        <v>January</v>
      </c>
      <c r="V545" s="16" t="str">
        <f t="shared" si="44"/>
        <v>GOOD</v>
      </c>
    </row>
    <row r="546" spans="1:22" x14ac:dyDescent="0.3">
      <c r="A546">
        <v>545</v>
      </c>
      <c r="B546" s="1">
        <v>40567</v>
      </c>
      <c r="C546">
        <v>1</v>
      </c>
      <c r="D546">
        <v>0</v>
      </c>
      <c r="E546">
        <v>1</v>
      </c>
      <c r="F546">
        <v>20</v>
      </c>
      <c r="G546" t="b">
        <f>IF(COUNTIF(AB$4:AB$20,Append1[[#This Row],[dteday]]) &gt; 0, TRUE, FALSE)</f>
        <v>0</v>
      </c>
      <c r="H546">
        <v>1</v>
      </c>
      <c r="I546">
        <v>1</v>
      </c>
      <c r="J546">
        <v>0.14000000000000001</v>
      </c>
      <c r="K546">
        <f>Append1[[#This Row],[temp]]*100</f>
        <v>14.000000000000002</v>
      </c>
      <c r="L546">
        <v>0.13639999999999999</v>
      </c>
      <c r="M546">
        <v>0.59</v>
      </c>
      <c r="N546">
        <v>0.19400000000000001</v>
      </c>
      <c r="O546">
        <v>1</v>
      </c>
      <c r="P546">
        <v>80</v>
      </c>
      <c r="Q546">
        <v>81</v>
      </c>
      <c r="R546" s="12" t="str">
        <f t="shared" si="40"/>
        <v>Clear/Few Clouds</v>
      </c>
      <c r="S546" s="14" t="str">
        <f t="shared" si="41"/>
        <v>Winter</v>
      </c>
      <c r="T546" s="15" t="str">
        <f t="shared" si="42"/>
        <v>Monday</v>
      </c>
      <c r="U546" t="str">
        <f t="shared" si="43"/>
        <v>January</v>
      </c>
      <c r="V546" s="16" t="str">
        <f t="shared" si="44"/>
        <v>GOOD</v>
      </c>
    </row>
    <row r="547" spans="1:22" x14ac:dyDescent="0.3">
      <c r="A547">
        <v>546</v>
      </c>
      <c r="B547" s="1">
        <v>40567</v>
      </c>
      <c r="C547">
        <v>1</v>
      </c>
      <c r="D547">
        <v>0</v>
      </c>
      <c r="E547">
        <v>1</v>
      </c>
      <c r="F547">
        <v>21</v>
      </c>
      <c r="G547" t="b">
        <f>IF(COUNTIF(AB$4:AB$20,Append1[[#This Row],[dteday]]) &gt; 0, TRUE, FALSE)</f>
        <v>0</v>
      </c>
      <c r="H547">
        <v>1</v>
      </c>
      <c r="I547">
        <v>1</v>
      </c>
      <c r="J547">
        <v>0.14000000000000001</v>
      </c>
      <c r="K547">
        <f>Append1[[#This Row],[temp]]*100</f>
        <v>14.000000000000002</v>
      </c>
      <c r="L547">
        <v>0.1515</v>
      </c>
      <c r="M547">
        <v>0.63</v>
      </c>
      <c r="N547">
        <v>0.16420000000000001</v>
      </c>
      <c r="O547">
        <v>6</v>
      </c>
      <c r="P547">
        <v>53</v>
      </c>
      <c r="Q547">
        <v>59</v>
      </c>
      <c r="R547" s="12" t="str">
        <f t="shared" si="40"/>
        <v>Clear/Few Clouds</v>
      </c>
      <c r="S547" s="14" t="str">
        <f t="shared" si="41"/>
        <v>Winter</v>
      </c>
      <c r="T547" s="15" t="str">
        <f t="shared" si="42"/>
        <v>Monday</v>
      </c>
      <c r="U547" t="str">
        <f t="shared" si="43"/>
        <v>January</v>
      </c>
      <c r="V547" s="16" t="str">
        <f t="shared" si="44"/>
        <v>GOOD</v>
      </c>
    </row>
    <row r="548" spans="1:22" x14ac:dyDescent="0.3">
      <c r="A548">
        <v>547</v>
      </c>
      <c r="B548" s="1">
        <v>40567</v>
      </c>
      <c r="C548">
        <v>1</v>
      </c>
      <c r="D548">
        <v>0</v>
      </c>
      <c r="E548">
        <v>1</v>
      </c>
      <c r="F548">
        <v>22</v>
      </c>
      <c r="G548" t="b">
        <f>IF(COUNTIF(AB$4:AB$20,Append1[[#This Row],[dteday]]) &gt; 0, TRUE, FALSE)</f>
        <v>0</v>
      </c>
      <c r="H548">
        <v>1</v>
      </c>
      <c r="I548">
        <v>2</v>
      </c>
      <c r="J548">
        <v>0.14000000000000001</v>
      </c>
      <c r="K548">
        <f>Append1[[#This Row],[temp]]*100</f>
        <v>14.000000000000002</v>
      </c>
      <c r="L548">
        <v>0.13639999999999999</v>
      </c>
      <c r="M548">
        <v>0.63</v>
      </c>
      <c r="N548">
        <v>0.22389999999999999</v>
      </c>
      <c r="O548">
        <v>3</v>
      </c>
      <c r="P548">
        <v>32</v>
      </c>
      <c r="Q548">
        <v>35</v>
      </c>
      <c r="R548" s="12" t="str">
        <f t="shared" si="40"/>
        <v>Mist/Cloudy</v>
      </c>
      <c r="S548" s="14" t="str">
        <f t="shared" si="41"/>
        <v>Winter</v>
      </c>
      <c r="T548" s="15" t="str">
        <f t="shared" si="42"/>
        <v>Monday</v>
      </c>
      <c r="U548" t="str">
        <f t="shared" si="43"/>
        <v>January</v>
      </c>
      <c r="V548" s="16" t="str">
        <f t="shared" si="44"/>
        <v>MODERATE</v>
      </c>
    </row>
    <row r="549" spans="1:22" x14ac:dyDescent="0.3">
      <c r="A549">
        <v>548</v>
      </c>
      <c r="B549" s="1">
        <v>40567</v>
      </c>
      <c r="C549">
        <v>1</v>
      </c>
      <c r="D549">
        <v>0</v>
      </c>
      <c r="E549">
        <v>1</v>
      </c>
      <c r="F549">
        <v>23</v>
      </c>
      <c r="G549" t="b">
        <f>IF(COUNTIF(AB$4:AB$20,Append1[[#This Row],[dteday]]) &gt; 0, TRUE, FALSE)</f>
        <v>0</v>
      </c>
      <c r="H549">
        <v>1</v>
      </c>
      <c r="I549">
        <v>2</v>
      </c>
      <c r="J549">
        <v>0.16</v>
      </c>
      <c r="K549">
        <f>Append1[[#This Row],[temp]]*100</f>
        <v>16</v>
      </c>
      <c r="L549">
        <v>0.1515</v>
      </c>
      <c r="M549">
        <v>0.64</v>
      </c>
      <c r="N549">
        <v>0.25369999999999998</v>
      </c>
      <c r="O549">
        <v>3</v>
      </c>
      <c r="P549">
        <v>21</v>
      </c>
      <c r="Q549">
        <v>24</v>
      </c>
      <c r="R549" s="12" t="str">
        <f t="shared" si="40"/>
        <v>Mist/Cloudy</v>
      </c>
      <c r="S549" s="14" t="str">
        <f t="shared" si="41"/>
        <v>Winter</v>
      </c>
      <c r="T549" s="15" t="str">
        <f t="shared" si="42"/>
        <v>Monday</v>
      </c>
      <c r="U549" t="str">
        <f t="shared" si="43"/>
        <v>January</v>
      </c>
      <c r="V549" s="16" t="str">
        <f t="shared" si="44"/>
        <v>MODERATE</v>
      </c>
    </row>
    <row r="550" spans="1:22" x14ac:dyDescent="0.3">
      <c r="A550">
        <v>549</v>
      </c>
      <c r="B550" s="1">
        <v>40568</v>
      </c>
      <c r="C550">
        <v>1</v>
      </c>
      <c r="D550">
        <v>0</v>
      </c>
      <c r="E550">
        <v>1</v>
      </c>
      <c r="F550">
        <v>0</v>
      </c>
      <c r="G550" t="b">
        <f>IF(COUNTIF(AB$4:AB$20,Append1[[#This Row],[dteday]]) &gt; 0, TRUE, FALSE)</f>
        <v>0</v>
      </c>
      <c r="H550">
        <v>2</v>
      </c>
      <c r="I550">
        <v>2</v>
      </c>
      <c r="J550">
        <v>0.16</v>
      </c>
      <c r="K550">
        <f>Append1[[#This Row],[temp]]*100</f>
        <v>16</v>
      </c>
      <c r="L550">
        <v>0.13639999999999999</v>
      </c>
      <c r="M550">
        <v>0.69</v>
      </c>
      <c r="N550">
        <v>0.28360000000000002</v>
      </c>
      <c r="O550">
        <v>3</v>
      </c>
      <c r="P550">
        <v>6</v>
      </c>
      <c r="Q550">
        <v>9</v>
      </c>
      <c r="R550" s="12" t="str">
        <f t="shared" si="40"/>
        <v>Mist/Cloudy</v>
      </c>
      <c r="S550" s="14" t="str">
        <f t="shared" si="41"/>
        <v>Winter</v>
      </c>
      <c r="T550" s="15" t="str">
        <f t="shared" si="42"/>
        <v>Tuesday</v>
      </c>
      <c r="U550" t="str">
        <f t="shared" si="43"/>
        <v>January</v>
      </c>
      <c r="V550" s="16" t="str">
        <f t="shared" si="44"/>
        <v>MODERATE</v>
      </c>
    </row>
    <row r="551" spans="1:22" x14ac:dyDescent="0.3">
      <c r="A551">
        <v>550</v>
      </c>
      <c r="B551" s="1">
        <v>40568</v>
      </c>
      <c r="C551">
        <v>1</v>
      </c>
      <c r="D551">
        <v>0</v>
      </c>
      <c r="E551">
        <v>1</v>
      </c>
      <c r="F551">
        <v>1</v>
      </c>
      <c r="G551" t="b">
        <f>IF(COUNTIF(AB$4:AB$20,Append1[[#This Row],[dteday]]) &gt; 0, TRUE, FALSE)</f>
        <v>0</v>
      </c>
      <c r="H551">
        <v>2</v>
      </c>
      <c r="I551">
        <v>2</v>
      </c>
      <c r="J551">
        <v>0.16</v>
      </c>
      <c r="K551">
        <f>Append1[[#This Row],[temp]]*100</f>
        <v>16</v>
      </c>
      <c r="L551">
        <v>0.16669999999999999</v>
      </c>
      <c r="M551">
        <v>0.69</v>
      </c>
      <c r="N551">
        <v>0.16420000000000001</v>
      </c>
      <c r="O551">
        <v>0</v>
      </c>
      <c r="P551">
        <v>5</v>
      </c>
      <c r="Q551">
        <v>5</v>
      </c>
      <c r="R551" s="12" t="str">
        <f t="shared" si="40"/>
        <v>Mist/Cloudy</v>
      </c>
      <c r="S551" s="14" t="str">
        <f t="shared" si="41"/>
        <v>Winter</v>
      </c>
      <c r="T551" s="15" t="str">
        <f t="shared" si="42"/>
        <v>Tuesday</v>
      </c>
      <c r="U551" t="str">
        <f t="shared" si="43"/>
        <v>January</v>
      </c>
      <c r="V551" s="16" t="str">
        <f t="shared" si="44"/>
        <v>MODERATE</v>
      </c>
    </row>
    <row r="552" spans="1:22" x14ac:dyDescent="0.3">
      <c r="A552">
        <v>551</v>
      </c>
      <c r="B552" s="1">
        <v>40568</v>
      </c>
      <c r="C552">
        <v>1</v>
      </c>
      <c r="D552">
        <v>0</v>
      </c>
      <c r="E552">
        <v>1</v>
      </c>
      <c r="F552">
        <v>2</v>
      </c>
      <c r="G552" t="b">
        <f>IF(COUNTIF(AB$4:AB$20,Append1[[#This Row],[dteday]]) &gt; 0, TRUE, FALSE)</f>
        <v>0</v>
      </c>
      <c r="H552">
        <v>2</v>
      </c>
      <c r="I552">
        <v>1</v>
      </c>
      <c r="J552">
        <v>0.16</v>
      </c>
      <c r="K552">
        <f>Append1[[#This Row],[temp]]*100</f>
        <v>16</v>
      </c>
      <c r="L552">
        <v>0.1515</v>
      </c>
      <c r="M552">
        <v>0.69</v>
      </c>
      <c r="N552">
        <v>0.22389999999999999</v>
      </c>
      <c r="O552">
        <v>0</v>
      </c>
      <c r="P552">
        <v>2</v>
      </c>
      <c r="Q552">
        <v>2</v>
      </c>
      <c r="R552" s="12" t="str">
        <f t="shared" si="40"/>
        <v>Clear/Few Clouds</v>
      </c>
      <c r="S552" s="14" t="str">
        <f t="shared" si="41"/>
        <v>Winter</v>
      </c>
      <c r="T552" s="15" t="str">
        <f t="shared" si="42"/>
        <v>Tuesday</v>
      </c>
      <c r="U552" t="str">
        <f t="shared" si="43"/>
        <v>January</v>
      </c>
      <c r="V552" s="16" t="str">
        <f t="shared" si="44"/>
        <v>GOOD</v>
      </c>
    </row>
    <row r="553" spans="1:22" x14ac:dyDescent="0.3">
      <c r="A553">
        <v>552</v>
      </c>
      <c r="B553" s="1">
        <v>40568</v>
      </c>
      <c r="C553">
        <v>1</v>
      </c>
      <c r="D553">
        <v>0</v>
      </c>
      <c r="E553">
        <v>1</v>
      </c>
      <c r="F553">
        <v>4</v>
      </c>
      <c r="G553" t="b">
        <f>IF(COUNTIF(AB$4:AB$20,Append1[[#This Row],[dteday]]) &gt; 0, TRUE, FALSE)</f>
        <v>0</v>
      </c>
      <c r="H553">
        <v>2</v>
      </c>
      <c r="I553">
        <v>1</v>
      </c>
      <c r="J553">
        <v>0.14000000000000001</v>
      </c>
      <c r="K553">
        <f>Append1[[#This Row],[temp]]*100</f>
        <v>14.000000000000002</v>
      </c>
      <c r="L553">
        <v>0.16669999999999999</v>
      </c>
      <c r="M553">
        <v>0.74</v>
      </c>
      <c r="N553">
        <v>0.1045</v>
      </c>
      <c r="O553">
        <v>0</v>
      </c>
      <c r="P553">
        <v>1</v>
      </c>
      <c r="Q553">
        <v>1</v>
      </c>
      <c r="R553" s="12" t="str">
        <f t="shared" si="40"/>
        <v>Clear/Few Clouds</v>
      </c>
      <c r="S553" s="14" t="str">
        <f t="shared" si="41"/>
        <v>Winter</v>
      </c>
      <c r="T553" s="15" t="str">
        <f t="shared" si="42"/>
        <v>Tuesday</v>
      </c>
      <c r="U553" t="str">
        <f t="shared" si="43"/>
        <v>January</v>
      </c>
      <c r="V553" s="16" t="str">
        <f t="shared" si="44"/>
        <v>GOOD</v>
      </c>
    </row>
    <row r="554" spans="1:22" x14ac:dyDescent="0.3">
      <c r="A554">
        <v>553</v>
      </c>
      <c r="B554" s="1">
        <v>40568</v>
      </c>
      <c r="C554">
        <v>1</v>
      </c>
      <c r="D554">
        <v>0</v>
      </c>
      <c r="E554">
        <v>1</v>
      </c>
      <c r="F554">
        <v>5</v>
      </c>
      <c r="G554" t="b">
        <f>IF(COUNTIF(AB$4:AB$20,Append1[[#This Row],[dteday]]) &gt; 0, TRUE, FALSE)</f>
        <v>0</v>
      </c>
      <c r="H554">
        <v>2</v>
      </c>
      <c r="I554">
        <v>1</v>
      </c>
      <c r="J554">
        <v>0.14000000000000001</v>
      </c>
      <c r="K554">
        <f>Append1[[#This Row],[temp]]*100</f>
        <v>14.000000000000002</v>
      </c>
      <c r="L554">
        <v>0.13639999999999999</v>
      </c>
      <c r="M554">
        <v>0.74</v>
      </c>
      <c r="N554">
        <v>0.22389999999999999</v>
      </c>
      <c r="O554">
        <v>0</v>
      </c>
      <c r="P554">
        <v>9</v>
      </c>
      <c r="Q554">
        <v>9</v>
      </c>
      <c r="R554" s="12" t="str">
        <f t="shared" si="40"/>
        <v>Clear/Few Clouds</v>
      </c>
      <c r="S554" s="14" t="str">
        <f t="shared" si="41"/>
        <v>Winter</v>
      </c>
      <c r="T554" s="15" t="str">
        <f t="shared" si="42"/>
        <v>Tuesday</v>
      </c>
      <c r="U554" t="str">
        <f t="shared" si="43"/>
        <v>January</v>
      </c>
      <c r="V554" s="16" t="str">
        <f t="shared" si="44"/>
        <v>GOOD</v>
      </c>
    </row>
    <row r="555" spans="1:22" x14ac:dyDescent="0.3">
      <c r="A555">
        <v>554</v>
      </c>
      <c r="B555" s="1">
        <v>40568</v>
      </c>
      <c r="C555">
        <v>1</v>
      </c>
      <c r="D555">
        <v>0</v>
      </c>
      <c r="E555">
        <v>1</v>
      </c>
      <c r="F555">
        <v>6</v>
      </c>
      <c r="G555" t="b">
        <f>IF(COUNTIF(AB$4:AB$20,Append1[[#This Row],[dteday]]) &gt; 0, TRUE, FALSE)</f>
        <v>0</v>
      </c>
      <c r="H555">
        <v>2</v>
      </c>
      <c r="I555">
        <v>1</v>
      </c>
      <c r="J555">
        <v>0.16</v>
      </c>
      <c r="K555">
        <f>Append1[[#This Row],[temp]]*100</f>
        <v>16</v>
      </c>
      <c r="L555">
        <v>0.18179999999999999</v>
      </c>
      <c r="M555">
        <v>0.74</v>
      </c>
      <c r="N555">
        <v>0.1045</v>
      </c>
      <c r="O555">
        <v>1</v>
      </c>
      <c r="P555">
        <v>35</v>
      </c>
      <c r="Q555">
        <v>36</v>
      </c>
      <c r="R555" s="12" t="str">
        <f t="shared" si="40"/>
        <v>Clear/Few Clouds</v>
      </c>
      <c r="S555" s="14" t="str">
        <f t="shared" si="41"/>
        <v>Winter</v>
      </c>
      <c r="T555" s="15" t="str">
        <f t="shared" si="42"/>
        <v>Tuesday</v>
      </c>
      <c r="U555" t="str">
        <f t="shared" si="43"/>
        <v>January</v>
      </c>
      <c r="V555" s="16" t="str">
        <f t="shared" si="44"/>
        <v>GOOD</v>
      </c>
    </row>
    <row r="556" spans="1:22" x14ac:dyDescent="0.3">
      <c r="A556">
        <v>555</v>
      </c>
      <c r="B556" s="1">
        <v>40568</v>
      </c>
      <c r="C556">
        <v>1</v>
      </c>
      <c r="D556">
        <v>0</v>
      </c>
      <c r="E556">
        <v>1</v>
      </c>
      <c r="F556">
        <v>7</v>
      </c>
      <c r="G556" t="b">
        <f>IF(COUNTIF(AB$4:AB$20,Append1[[#This Row],[dteday]]) &gt; 0, TRUE, FALSE)</f>
        <v>0</v>
      </c>
      <c r="H556">
        <v>2</v>
      </c>
      <c r="I556">
        <v>1</v>
      </c>
      <c r="J556">
        <v>0.16</v>
      </c>
      <c r="K556">
        <f>Append1[[#This Row],[temp]]*100</f>
        <v>16</v>
      </c>
      <c r="L556">
        <v>0.1515</v>
      </c>
      <c r="M556">
        <v>0.74</v>
      </c>
      <c r="N556">
        <v>0.22389999999999999</v>
      </c>
      <c r="O556">
        <v>5</v>
      </c>
      <c r="P556">
        <v>103</v>
      </c>
      <c r="Q556">
        <v>108</v>
      </c>
      <c r="R556" s="12" t="str">
        <f t="shared" si="40"/>
        <v>Clear/Few Clouds</v>
      </c>
      <c r="S556" s="14" t="str">
        <f t="shared" si="41"/>
        <v>Winter</v>
      </c>
      <c r="T556" s="15" t="str">
        <f t="shared" si="42"/>
        <v>Tuesday</v>
      </c>
      <c r="U556" t="str">
        <f t="shared" si="43"/>
        <v>January</v>
      </c>
      <c r="V556" s="16" t="str">
        <f t="shared" si="44"/>
        <v>GOOD</v>
      </c>
    </row>
    <row r="557" spans="1:22" x14ac:dyDescent="0.3">
      <c r="A557">
        <v>556</v>
      </c>
      <c r="B557" s="1">
        <v>40568</v>
      </c>
      <c r="C557">
        <v>1</v>
      </c>
      <c r="D557">
        <v>0</v>
      </c>
      <c r="E557">
        <v>1</v>
      </c>
      <c r="F557">
        <v>8</v>
      </c>
      <c r="G557" t="b">
        <f>IF(COUNTIF(AB$4:AB$20,Append1[[#This Row],[dteday]]) &gt; 0, TRUE, FALSE)</f>
        <v>0</v>
      </c>
      <c r="H557">
        <v>2</v>
      </c>
      <c r="I557">
        <v>2</v>
      </c>
      <c r="J557">
        <v>0.16</v>
      </c>
      <c r="K557">
        <f>Append1[[#This Row],[temp]]*100</f>
        <v>16</v>
      </c>
      <c r="L557">
        <v>0.18179999999999999</v>
      </c>
      <c r="M557">
        <v>0.74</v>
      </c>
      <c r="N557">
        <v>0.1343</v>
      </c>
      <c r="O557">
        <v>5</v>
      </c>
      <c r="P557">
        <v>233</v>
      </c>
      <c r="Q557">
        <v>238</v>
      </c>
      <c r="R557" s="12" t="str">
        <f t="shared" si="40"/>
        <v>Mist/Cloudy</v>
      </c>
      <c r="S557" s="14" t="str">
        <f t="shared" si="41"/>
        <v>Winter</v>
      </c>
      <c r="T557" s="15" t="str">
        <f t="shared" si="42"/>
        <v>Tuesday</v>
      </c>
      <c r="U557" t="str">
        <f t="shared" si="43"/>
        <v>January</v>
      </c>
      <c r="V557" s="16" t="str">
        <f t="shared" si="44"/>
        <v>MODERATE</v>
      </c>
    </row>
    <row r="558" spans="1:22" x14ac:dyDescent="0.3">
      <c r="A558">
        <v>557</v>
      </c>
      <c r="B558" s="1">
        <v>40568</v>
      </c>
      <c r="C558">
        <v>1</v>
      </c>
      <c r="D558">
        <v>0</v>
      </c>
      <c r="E558">
        <v>1</v>
      </c>
      <c r="F558">
        <v>9</v>
      </c>
      <c r="G558" t="b">
        <f>IF(COUNTIF(AB$4:AB$20,Append1[[#This Row],[dteday]]) &gt; 0, TRUE, FALSE)</f>
        <v>0</v>
      </c>
      <c r="H558">
        <v>2</v>
      </c>
      <c r="I558">
        <v>2</v>
      </c>
      <c r="J558">
        <v>0.2</v>
      </c>
      <c r="K558">
        <f>Append1[[#This Row],[temp]]*100</f>
        <v>20</v>
      </c>
      <c r="L558">
        <v>0.2273</v>
      </c>
      <c r="M558">
        <v>0.64</v>
      </c>
      <c r="N558">
        <v>8.9599999999999999E-2</v>
      </c>
      <c r="O558">
        <v>10</v>
      </c>
      <c r="P558">
        <v>134</v>
      </c>
      <c r="Q558">
        <v>144</v>
      </c>
      <c r="R558" s="12" t="str">
        <f t="shared" si="40"/>
        <v>Mist/Cloudy</v>
      </c>
      <c r="S558" s="14" t="str">
        <f t="shared" si="41"/>
        <v>Winter</v>
      </c>
      <c r="T558" s="15" t="str">
        <f t="shared" si="42"/>
        <v>Tuesday</v>
      </c>
      <c r="U558" t="str">
        <f t="shared" si="43"/>
        <v>January</v>
      </c>
      <c r="V558" s="16" t="str">
        <f t="shared" si="44"/>
        <v>MODERATE</v>
      </c>
    </row>
    <row r="559" spans="1:22" x14ac:dyDescent="0.3">
      <c r="A559">
        <v>558</v>
      </c>
      <c r="B559" s="1">
        <v>40568</v>
      </c>
      <c r="C559">
        <v>1</v>
      </c>
      <c r="D559">
        <v>0</v>
      </c>
      <c r="E559">
        <v>1</v>
      </c>
      <c r="F559">
        <v>10</v>
      </c>
      <c r="G559" t="b">
        <f>IF(COUNTIF(AB$4:AB$20,Append1[[#This Row],[dteday]]) &gt; 0, TRUE, FALSE)</f>
        <v>0</v>
      </c>
      <c r="H559">
        <v>2</v>
      </c>
      <c r="I559">
        <v>2</v>
      </c>
      <c r="J559">
        <v>0.22</v>
      </c>
      <c r="K559">
        <f>Append1[[#This Row],[temp]]*100</f>
        <v>22</v>
      </c>
      <c r="L559">
        <v>0.2424</v>
      </c>
      <c r="M559">
        <v>0.6</v>
      </c>
      <c r="N559">
        <v>0.1045</v>
      </c>
      <c r="O559">
        <v>6</v>
      </c>
      <c r="P559">
        <v>49</v>
      </c>
      <c r="Q559">
        <v>55</v>
      </c>
      <c r="R559" s="12" t="str">
        <f t="shared" si="40"/>
        <v>Mist/Cloudy</v>
      </c>
      <c r="S559" s="14" t="str">
        <f t="shared" si="41"/>
        <v>Winter</v>
      </c>
      <c r="T559" s="15" t="str">
        <f t="shared" si="42"/>
        <v>Tuesday</v>
      </c>
      <c r="U559" t="str">
        <f t="shared" si="43"/>
        <v>January</v>
      </c>
      <c r="V559" s="16" t="str">
        <f t="shared" si="44"/>
        <v>MODERATE</v>
      </c>
    </row>
    <row r="560" spans="1:22" x14ac:dyDescent="0.3">
      <c r="A560">
        <v>559</v>
      </c>
      <c r="B560" s="1">
        <v>40568</v>
      </c>
      <c r="C560">
        <v>1</v>
      </c>
      <c r="D560">
        <v>0</v>
      </c>
      <c r="E560">
        <v>1</v>
      </c>
      <c r="F560">
        <v>11</v>
      </c>
      <c r="G560" t="b">
        <f>IF(COUNTIF(AB$4:AB$20,Append1[[#This Row],[dteday]]) &gt; 0, TRUE, FALSE)</f>
        <v>0</v>
      </c>
      <c r="H560">
        <v>2</v>
      </c>
      <c r="I560">
        <v>2</v>
      </c>
      <c r="J560">
        <v>0.24</v>
      </c>
      <c r="K560">
        <f>Append1[[#This Row],[temp]]*100</f>
        <v>24</v>
      </c>
      <c r="L560">
        <v>0.2424</v>
      </c>
      <c r="M560">
        <v>0.6</v>
      </c>
      <c r="N560">
        <v>0.1343</v>
      </c>
      <c r="O560">
        <v>6</v>
      </c>
      <c r="P560">
        <v>55</v>
      </c>
      <c r="Q560">
        <v>61</v>
      </c>
      <c r="R560" s="12" t="str">
        <f t="shared" si="40"/>
        <v>Mist/Cloudy</v>
      </c>
      <c r="S560" s="14" t="str">
        <f t="shared" si="41"/>
        <v>Winter</v>
      </c>
      <c r="T560" s="15" t="str">
        <f t="shared" si="42"/>
        <v>Tuesday</v>
      </c>
      <c r="U560" t="str">
        <f t="shared" si="43"/>
        <v>January</v>
      </c>
      <c r="V560" s="16" t="str">
        <f t="shared" si="44"/>
        <v>MODERATE</v>
      </c>
    </row>
    <row r="561" spans="1:22" x14ac:dyDescent="0.3">
      <c r="A561">
        <v>560</v>
      </c>
      <c r="B561" s="1">
        <v>40568</v>
      </c>
      <c r="C561">
        <v>1</v>
      </c>
      <c r="D561">
        <v>0</v>
      </c>
      <c r="E561">
        <v>1</v>
      </c>
      <c r="F561">
        <v>12</v>
      </c>
      <c r="G561" t="b">
        <f>IF(COUNTIF(AB$4:AB$20,Append1[[#This Row],[dteday]]) &gt; 0, TRUE, FALSE)</f>
        <v>0</v>
      </c>
      <c r="H561">
        <v>2</v>
      </c>
      <c r="I561">
        <v>2</v>
      </c>
      <c r="J561">
        <v>0.26</v>
      </c>
      <c r="K561">
        <f>Append1[[#This Row],[temp]]*100</f>
        <v>26</v>
      </c>
      <c r="L561">
        <v>0.28789999999999999</v>
      </c>
      <c r="M561">
        <v>0.56000000000000005</v>
      </c>
      <c r="N561">
        <v>8.9599999999999999E-2</v>
      </c>
      <c r="O561">
        <v>21</v>
      </c>
      <c r="P561">
        <v>85</v>
      </c>
      <c r="Q561">
        <v>106</v>
      </c>
      <c r="R561" s="12" t="str">
        <f t="shared" si="40"/>
        <v>Mist/Cloudy</v>
      </c>
      <c r="S561" s="14" t="str">
        <f t="shared" si="41"/>
        <v>Winter</v>
      </c>
      <c r="T561" s="15" t="str">
        <f t="shared" si="42"/>
        <v>Tuesday</v>
      </c>
      <c r="U561" t="str">
        <f t="shared" si="43"/>
        <v>January</v>
      </c>
      <c r="V561" s="16" t="str">
        <f t="shared" si="44"/>
        <v>MODERATE</v>
      </c>
    </row>
    <row r="562" spans="1:22" x14ac:dyDescent="0.3">
      <c r="A562">
        <v>561</v>
      </c>
      <c r="B562" s="1">
        <v>40568</v>
      </c>
      <c r="C562">
        <v>1</v>
      </c>
      <c r="D562">
        <v>0</v>
      </c>
      <c r="E562">
        <v>1</v>
      </c>
      <c r="F562">
        <v>13</v>
      </c>
      <c r="G562" t="b">
        <f>IF(COUNTIF(AB$4:AB$20,Append1[[#This Row],[dteday]]) &gt; 0, TRUE, FALSE)</f>
        <v>0</v>
      </c>
      <c r="H562">
        <v>2</v>
      </c>
      <c r="I562">
        <v>2</v>
      </c>
      <c r="J562">
        <v>0.26</v>
      </c>
      <c r="K562">
        <f>Append1[[#This Row],[temp]]*100</f>
        <v>26</v>
      </c>
      <c r="L562">
        <v>0.2727</v>
      </c>
      <c r="M562">
        <v>0.56000000000000005</v>
      </c>
      <c r="N562">
        <v>0.1343</v>
      </c>
      <c r="O562">
        <v>21</v>
      </c>
      <c r="P562">
        <v>72</v>
      </c>
      <c r="Q562">
        <v>93</v>
      </c>
      <c r="R562" s="12" t="str">
        <f t="shared" si="40"/>
        <v>Mist/Cloudy</v>
      </c>
      <c r="S562" s="14" t="str">
        <f t="shared" si="41"/>
        <v>Winter</v>
      </c>
      <c r="T562" s="15" t="str">
        <f t="shared" si="42"/>
        <v>Tuesday</v>
      </c>
      <c r="U562" t="str">
        <f t="shared" si="43"/>
        <v>January</v>
      </c>
      <c r="V562" s="16" t="str">
        <f t="shared" si="44"/>
        <v>MODERATE</v>
      </c>
    </row>
    <row r="563" spans="1:22" x14ac:dyDescent="0.3">
      <c r="A563">
        <v>562</v>
      </c>
      <c r="B563" s="1">
        <v>40568</v>
      </c>
      <c r="C563">
        <v>1</v>
      </c>
      <c r="D563">
        <v>0</v>
      </c>
      <c r="E563">
        <v>1</v>
      </c>
      <c r="F563">
        <v>14</v>
      </c>
      <c r="G563" t="b">
        <f>IF(COUNTIF(AB$4:AB$20,Append1[[#This Row],[dteday]]) &gt; 0, TRUE, FALSE)</f>
        <v>0</v>
      </c>
      <c r="H563">
        <v>2</v>
      </c>
      <c r="I563">
        <v>2</v>
      </c>
      <c r="J563">
        <v>0.3</v>
      </c>
      <c r="K563">
        <f>Append1[[#This Row],[temp]]*100</f>
        <v>30</v>
      </c>
      <c r="L563">
        <v>0.33329999999999999</v>
      </c>
      <c r="M563">
        <v>0.45</v>
      </c>
      <c r="N563">
        <v>0</v>
      </c>
      <c r="O563">
        <v>11</v>
      </c>
      <c r="P563">
        <v>57</v>
      </c>
      <c r="Q563">
        <v>68</v>
      </c>
      <c r="R563" s="12" t="str">
        <f t="shared" si="40"/>
        <v>Mist/Cloudy</v>
      </c>
      <c r="S563" s="14" t="str">
        <f t="shared" si="41"/>
        <v>Winter</v>
      </c>
      <c r="T563" s="15" t="str">
        <f t="shared" si="42"/>
        <v>Tuesday</v>
      </c>
      <c r="U563" t="str">
        <f t="shared" si="43"/>
        <v>January</v>
      </c>
      <c r="V563" s="16" t="str">
        <f t="shared" si="44"/>
        <v>MODERATE</v>
      </c>
    </row>
    <row r="564" spans="1:22" x14ac:dyDescent="0.3">
      <c r="A564">
        <v>563</v>
      </c>
      <c r="B564" s="1">
        <v>40568</v>
      </c>
      <c r="C564">
        <v>1</v>
      </c>
      <c r="D564">
        <v>0</v>
      </c>
      <c r="E564">
        <v>1</v>
      </c>
      <c r="F564">
        <v>15</v>
      </c>
      <c r="G564" t="b">
        <f>IF(COUNTIF(AB$4:AB$20,Append1[[#This Row],[dteday]]) &gt; 0, TRUE, FALSE)</f>
        <v>0</v>
      </c>
      <c r="H564">
        <v>2</v>
      </c>
      <c r="I564">
        <v>2</v>
      </c>
      <c r="J564">
        <v>0.32</v>
      </c>
      <c r="K564">
        <f>Append1[[#This Row],[temp]]*100</f>
        <v>32</v>
      </c>
      <c r="L564">
        <v>0.34849999999999998</v>
      </c>
      <c r="M564">
        <v>0.42</v>
      </c>
      <c r="N564">
        <v>0</v>
      </c>
      <c r="O564">
        <v>21</v>
      </c>
      <c r="P564">
        <v>63</v>
      </c>
      <c r="Q564">
        <v>84</v>
      </c>
      <c r="R564" s="12" t="str">
        <f t="shared" si="40"/>
        <v>Mist/Cloudy</v>
      </c>
      <c r="S564" s="14" t="str">
        <f t="shared" si="41"/>
        <v>Winter</v>
      </c>
      <c r="T564" s="15" t="str">
        <f t="shared" si="42"/>
        <v>Tuesday</v>
      </c>
      <c r="U564" t="str">
        <f t="shared" si="43"/>
        <v>January</v>
      </c>
      <c r="V564" s="16" t="str">
        <f t="shared" si="44"/>
        <v>MODERATE</v>
      </c>
    </row>
    <row r="565" spans="1:22" x14ac:dyDescent="0.3">
      <c r="A565">
        <v>564</v>
      </c>
      <c r="B565" s="1">
        <v>40568</v>
      </c>
      <c r="C565">
        <v>1</v>
      </c>
      <c r="D565">
        <v>0</v>
      </c>
      <c r="E565">
        <v>1</v>
      </c>
      <c r="F565">
        <v>16</v>
      </c>
      <c r="G565" t="b">
        <f>IF(COUNTIF(AB$4:AB$20,Append1[[#This Row],[dteday]]) &gt; 0, TRUE, FALSE)</f>
        <v>0</v>
      </c>
      <c r="H565">
        <v>2</v>
      </c>
      <c r="I565">
        <v>2</v>
      </c>
      <c r="J565">
        <v>0.32</v>
      </c>
      <c r="K565">
        <f>Append1[[#This Row],[temp]]*100</f>
        <v>32</v>
      </c>
      <c r="L565">
        <v>0.34849999999999998</v>
      </c>
      <c r="M565">
        <v>0.42</v>
      </c>
      <c r="N565">
        <v>0</v>
      </c>
      <c r="O565">
        <v>14</v>
      </c>
      <c r="P565">
        <v>102</v>
      </c>
      <c r="Q565">
        <v>116</v>
      </c>
      <c r="R565" s="12" t="str">
        <f t="shared" si="40"/>
        <v>Mist/Cloudy</v>
      </c>
      <c r="S565" s="14" t="str">
        <f t="shared" si="41"/>
        <v>Winter</v>
      </c>
      <c r="T565" s="15" t="str">
        <f t="shared" si="42"/>
        <v>Tuesday</v>
      </c>
      <c r="U565" t="str">
        <f t="shared" si="43"/>
        <v>January</v>
      </c>
      <c r="V565" s="16" t="str">
        <f t="shared" si="44"/>
        <v>MODERATE</v>
      </c>
    </row>
    <row r="566" spans="1:22" x14ac:dyDescent="0.3">
      <c r="A566">
        <v>565</v>
      </c>
      <c r="B566" s="1">
        <v>40568</v>
      </c>
      <c r="C566">
        <v>1</v>
      </c>
      <c r="D566">
        <v>0</v>
      </c>
      <c r="E566">
        <v>1</v>
      </c>
      <c r="F566">
        <v>17</v>
      </c>
      <c r="G566" t="b">
        <f>IF(COUNTIF(AB$4:AB$20,Append1[[#This Row],[dteday]]) &gt; 0, TRUE, FALSE)</f>
        <v>0</v>
      </c>
      <c r="H566">
        <v>2</v>
      </c>
      <c r="I566">
        <v>1</v>
      </c>
      <c r="J566">
        <v>0.3</v>
      </c>
      <c r="K566">
        <f>Append1[[#This Row],[temp]]*100</f>
        <v>30</v>
      </c>
      <c r="L566">
        <v>0.33329999999999999</v>
      </c>
      <c r="M566">
        <v>0.45</v>
      </c>
      <c r="N566">
        <v>0</v>
      </c>
      <c r="O566">
        <v>14</v>
      </c>
      <c r="P566">
        <v>208</v>
      </c>
      <c r="Q566">
        <v>222</v>
      </c>
      <c r="R566" s="12" t="str">
        <f t="shared" si="40"/>
        <v>Clear/Few Clouds</v>
      </c>
      <c r="S566" s="14" t="str">
        <f t="shared" si="41"/>
        <v>Winter</v>
      </c>
      <c r="T566" s="15" t="str">
        <f t="shared" si="42"/>
        <v>Tuesday</v>
      </c>
      <c r="U566" t="str">
        <f t="shared" si="43"/>
        <v>January</v>
      </c>
      <c r="V566" s="16" t="str">
        <f t="shared" si="44"/>
        <v>GOOD</v>
      </c>
    </row>
    <row r="567" spans="1:22" x14ac:dyDescent="0.3">
      <c r="A567">
        <v>566</v>
      </c>
      <c r="B567" s="1">
        <v>40568</v>
      </c>
      <c r="C567">
        <v>1</v>
      </c>
      <c r="D567">
        <v>0</v>
      </c>
      <c r="E567">
        <v>1</v>
      </c>
      <c r="F567">
        <v>18</v>
      </c>
      <c r="G567" t="b">
        <f>IF(COUNTIF(AB$4:AB$20,Append1[[#This Row],[dteday]]) &gt; 0, TRUE, FALSE)</f>
        <v>0</v>
      </c>
      <c r="H567">
        <v>2</v>
      </c>
      <c r="I567">
        <v>2</v>
      </c>
      <c r="J567">
        <v>0.3</v>
      </c>
      <c r="K567">
        <f>Append1[[#This Row],[temp]]*100</f>
        <v>30</v>
      </c>
      <c r="L567">
        <v>0.31819999999999998</v>
      </c>
      <c r="M567">
        <v>0.49</v>
      </c>
      <c r="N567">
        <v>8.9599999999999999E-2</v>
      </c>
      <c r="O567">
        <v>7</v>
      </c>
      <c r="P567">
        <v>218</v>
      </c>
      <c r="Q567">
        <v>225</v>
      </c>
      <c r="R567" s="12" t="str">
        <f t="shared" si="40"/>
        <v>Mist/Cloudy</v>
      </c>
      <c r="S567" s="14" t="str">
        <f t="shared" si="41"/>
        <v>Winter</v>
      </c>
      <c r="T567" s="15" t="str">
        <f t="shared" si="42"/>
        <v>Tuesday</v>
      </c>
      <c r="U567" t="str">
        <f t="shared" si="43"/>
        <v>January</v>
      </c>
      <c r="V567" s="16" t="str">
        <f t="shared" si="44"/>
        <v>MODERATE</v>
      </c>
    </row>
    <row r="568" spans="1:22" x14ac:dyDescent="0.3">
      <c r="A568">
        <v>567</v>
      </c>
      <c r="B568" s="1">
        <v>40568</v>
      </c>
      <c r="C568">
        <v>1</v>
      </c>
      <c r="D568">
        <v>0</v>
      </c>
      <c r="E568">
        <v>1</v>
      </c>
      <c r="F568">
        <v>19</v>
      </c>
      <c r="G568" t="b">
        <f>IF(COUNTIF(AB$4:AB$20,Append1[[#This Row],[dteday]]) &gt; 0, TRUE, FALSE)</f>
        <v>0</v>
      </c>
      <c r="H568">
        <v>2</v>
      </c>
      <c r="I568">
        <v>2</v>
      </c>
      <c r="J568">
        <v>0.26</v>
      </c>
      <c r="K568">
        <f>Append1[[#This Row],[temp]]*100</f>
        <v>26</v>
      </c>
      <c r="L568">
        <v>0.2576</v>
      </c>
      <c r="M568">
        <v>0.65</v>
      </c>
      <c r="N568">
        <v>0.16420000000000001</v>
      </c>
      <c r="O568">
        <v>13</v>
      </c>
      <c r="P568">
        <v>133</v>
      </c>
      <c r="Q568">
        <v>146</v>
      </c>
      <c r="R568" s="12" t="str">
        <f t="shared" si="40"/>
        <v>Mist/Cloudy</v>
      </c>
      <c r="S568" s="14" t="str">
        <f t="shared" si="41"/>
        <v>Winter</v>
      </c>
      <c r="T568" s="15" t="str">
        <f t="shared" si="42"/>
        <v>Tuesday</v>
      </c>
      <c r="U568" t="str">
        <f t="shared" si="43"/>
        <v>January</v>
      </c>
      <c r="V568" s="16" t="str">
        <f t="shared" si="44"/>
        <v>MODERATE</v>
      </c>
    </row>
    <row r="569" spans="1:22" x14ac:dyDescent="0.3">
      <c r="A569">
        <v>568</v>
      </c>
      <c r="B569" s="1">
        <v>40568</v>
      </c>
      <c r="C569">
        <v>1</v>
      </c>
      <c r="D569">
        <v>0</v>
      </c>
      <c r="E569">
        <v>1</v>
      </c>
      <c r="F569">
        <v>20</v>
      </c>
      <c r="G569" t="b">
        <f>IF(COUNTIF(AB$4:AB$20,Append1[[#This Row],[dteday]]) &gt; 0, TRUE, FALSE)</f>
        <v>0</v>
      </c>
      <c r="H569">
        <v>2</v>
      </c>
      <c r="I569">
        <v>1</v>
      </c>
      <c r="J569">
        <v>0.24</v>
      </c>
      <c r="K569">
        <f>Append1[[#This Row],[temp]]*100</f>
        <v>24</v>
      </c>
      <c r="L569">
        <v>0.2273</v>
      </c>
      <c r="M569">
        <v>0.65</v>
      </c>
      <c r="N569">
        <v>0.19400000000000001</v>
      </c>
      <c r="O569">
        <v>16</v>
      </c>
      <c r="P569">
        <v>103</v>
      </c>
      <c r="Q569">
        <v>119</v>
      </c>
      <c r="R569" s="12" t="str">
        <f t="shared" si="40"/>
        <v>Clear/Few Clouds</v>
      </c>
      <c r="S569" s="14" t="str">
        <f t="shared" si="41"/>
        <v>Winter</v>
      </c>
      <c r="T569" s="15" t="str">
        <f t="shared" si="42"/>
        <v>Tuesday</v>
      </c>
      <c r="U569" t="str">
        <f t="shared" si="43"/>
        <v>January</v>
      </c>
      <c r="V569" s="16" t="str">
        <f t="shared" si="44"/>
        <v>GOOD</v>
      </c>
    </row>
    <row r="570" spans="1:22" x14ac:dyDescent="0.3">
      <c r="A570">
        <v>569</v>
      </c>
      <c r="B570" s="1">
        <v>40568</v>
      </c>
      <c r="C570">
        <v>1</v>
      </c>
      <c r="D570">
        <v>0</v>
      </c>
      <c r="E570">
        <v>1</v>
      </c>
      <c r="F570">
        <v>21</v>
      </c>
      <c r="G570" t="b">
        <f>IF(COUNTIF(AB$4:AB$20,Append1[[#This Row],[dteday]]) &gt; 0, TRUE, FALSE)</f>
        <v>0</v>
      </c>
      <c r="H570">
        <v>2</v>
      </c>
      <c r="I570">
        <v>1</v>
      </c>
      <c r="J570">
        <v>0.24</v>
      </c>
      <c r="K570">
        <f>Append1[[#This Row],[temp]]*100</f>
        <v>24</v>
      </c>
      <c r="L570">
        <v>0.2273</v>
      </c>
      <c r="M570">
        <v>0.65</v>
      </c>
      <c r="N570">
        <v>0.19400000000000001</v>
      </c>
      <c r="O570">
        <v>5</v>
      </c>
      <c r="P570">
        <v>40</v>
      </c>
      <c r="Q570">
        <v>45</v>
      </c>
      <c r="R570" s="12" t="str">
        <f t="shared" si="40"/>
        <v>Clear/Few Clouds</v>
      </c>
      <c r="S570" s="14" t="str">
        <f t="shared" si="41"/>
        <v>Winter</v>
      </c>
      <c r="T570" s="15" t="str">
        <f t="shared" si="42"/>
        <v>Tuesday</v>
      </c>
      <c r="U570" t="str">
        <f t="shared" si="43"/>
        <v>January</v>
      </c>
      <c r="V570" s="16" t="str">
        <f t="shared" si="44"/>
        <v>GOOD</v>
      </c>
    </row>
    <row r="571" spans="1:22" x14ac:dyDescent="0.3">
      <c r="A571">
        <v>570</v>
      </c>
      <c r="B571" s="1">
        <v>40568</v>
      </c>
      <c r="C571">
        <v>1</v>
      </c>
      <c r="D571">
        <v>0</v>
      </c>
      <c r="E571">
        <v>1</v>
      </c>
      <c r="F571">
        <v>22</v>
      </c>
      <c r="G571" t="b">
        <f>IF(COUNTIF(AB$4:AB$20,Append1[[#This Row],[dteday]]) &gt; 0, TRUE, FALSE)</f>
        <v>0</v>
      </c>
      <c r="H571">
        <v>2</v>
      </c>
      <c r="I571">
        <v>1</v>
      </c>
      <c r="J571">
        <v>0.22</v>
      </c>
      <c r="K571">
        <f>Append1[[#This Row],[temp]]*100</f>
        <v>22</v>
      </c>
      <c r="L571">
        <v>0.2273</v>
      </c>
      <c r="M571">
        <v>0.64</v>
      </c>
      <c r="N571">
        <v>0.16420000000000001</v>
      </c>
      <c r="O571">
        <v>4</v>
      </c>
      <c r="P571">
        <v>49</v>
      </c>
      <c r="Q571">
        <v>53</v>
      </c>
      <c r="R571" s="12" t="str">
        <f t="shared" si="40"/>
        <v>Clear/Few Clouds</v>
      </c>
      <c r="S571" s="14" t="str">
        <f t="shared" si="41"/>
        <v>Winter</v>
      </c>
      <c r="T571" s="15" t="str">
        <f t="shared" si="42"/>
        <v>Tuesday</v>
      </c>
      <c r="U571" t="str">
        <f t="shared" si="43"/>
        <v>January</v>
      </c>
      <c r="V571" s="16" t="str">
        <f t="shared" si="44"/>
        <v>GOOD</v>
      </c>
    </row>
    <row r="572" spans="1:22" x14ac:dyDescent="0.3">
      <c r="A572">
        <v>571</v>
      </c>
      <c r="B572" s="1">
        <v>40568</v>
      </c>
      <c r="C572">
        <v>1</v>
      </c>
      <c r="D572">
        <v>0</v>
      </c>
      <c r="E572">
        <v>1</v>
      </c>
      <c r="F572">
        <v>23</v>
      </c>
      <c r="G572" t="b">
        <f>IF(COUNTIF(AB$4:AB$20,Append1[[#This Row],[dteday]]) &gt; 0, TRUE, FALSE)</f>
        <v>0</v>
      </c>
      <c r="H572">
        <v>2</v>
      </c>
      <c r="I572">
        <v>2</v>
      </c>
      <c r="J572">
        <v>0.22</v>
      </c>
      <c r="K572">
        <f>Append1[[#This Row],[temp]]*100</f>
        <v>22</v>
      </c>
      <c r="L572">
        <v>0.2273</v>
      </c>
      <c r="M572">
        <v>0.64</v>
      </c>
      <c r="N572">
        <v>0.16420000000000001</v>
      </c>
      <c r="O572">
        <v>3</v>
      </c>
      <c r="P572">
        <v>37</v>
      </c>
      <c r="Q572">
        <v>40</v>
      </c>
      <c r="R572" s="12" t="str">
        <f t="shared" si="40"/>
        <v>Mist/Cloudy</v>
      </c>
      <c r="S572" s="14" t="str">
        <f t="shared" si="41"/>
        <v>Winter</v>
      </c>
      <c r="T572" s="15" t="str">
        <f t="shared" si="42"/>
        <v>Tuesday</v>
      </c>
      <c r="U572" t="str">
        <f t="shared" si="43"/>
        <v>January</v>
      </c>
      <c r="V572" s="16" t="str">
        <f t="shared" si="44"/>
        <v>MODERATE</v>
      </c>
    </row>
    <row r="573" spans="1:22" x14ac:dyDescent="0.3">
      <c r="A573">
        <v>572</v>
      </c>
      <c r="B573" s="1">
        <v>40569</v>
      </c>
      <c r="C573">
        <v>1</v>
      </c>
      <c r="D573">
        <v>0</v>
      </c>
      <c r="E573">
        <v>1</v>
      </c>
      <c r="F573">
        <v>0</v>
      </c>
      <c r="G573" t="b">
        <f>IF(COUNTIF(AB$4:AB$20,Append1[[#This Row],[dteday]]) &gt; 0, TRUE, FALSE)</f>
        <v>1</v>
      </c>
      <c r="H573">
        <v>3</v>
      </c>
      <c r="I573">
        <v>2</v>
      </c>
      <c r="J573">
        <v>0.22</v>
      </c>
      <c r="K573">
        <f>Append1[[#This Row],[temp]]*100</f>
        <v>22</v>
      </c>
      <c r="L573">
        <v>0.2273</v>
      </c>
      <c r="M573">
        <v>0.69</v>
      </c>
      <c r="N573">
        <v>0.1343</v>
      </c>
      <c r="O573">
        <v>3</v>
      </c>
      <c r="P573">
        <v>14</v>
      </c>
      <c r="Q573">
        <v>17</v>
      </c>
      <c r="R573" s="12" t="str">
        <f t="shared" si="40"/>
        <v>Mist/Cloudy</v>
      </c>
      <c r="S573" s="14" t="str">
        <f t="shared" si="41"/>
        <v>Winter</v>
      </c>
      <c r="T573" s="15" t="str">
        <f t="shared" si="42"/>
        <v>Wednesday</v>
      </c>
      <c r="U573" t="str">
        <f t="shared" si="43"/>
        <v>January</v>
      </c>
      <c r="V573" s="16" t="str">
        <f t="shared" si="44"/>
        <v>MODERATE</v>
      </c>
    </row>
    <row r="574" spans="1:22" x14ac:dyDescent="0.3">
      <c r="A574">
        <v>573</v>
      </c>
      <c r="B574" s="1">
        <v>40569</v>
      </c>
      <c r="C574">
        <v>1</v>
      </c>
      <c r="D574">
        <v>0</v>
      </c>
      <c r="E574">
        <v>1</v>
      </c>
      <c r="F574">
        <v>1</v>
      </c>
      <c r="G574" t="b">
        <f>IF(COUNTIF(AB$4:AB$20,Append1[[#This Row],[dteday]]) &gt; 0, TRUE, FALSE)</f>
        <v>1</v>
      </c>
      <c r="H574">
        <v>3</v>
      </c>
      <c r="I574">
        <v>2</v>
      </c>
      <c r="J574">
        <v>0.24</v>
      </c>
      <c r="K574">
        <f>Append1[[#This Row],[temp]]*100</f>
        <v>24</v>
      </c>
      <c r="L574">
        <v>0.2424</v>
      </c>
      <c r="M574">
        <v>0.65</v>
      </c>
      <c r="N574">
        <v>0.1343</v>
      </c>
      <c r="O574">
        <v>0</v>
      </c>
      <c r="P574">
        <v>5</v>
      </c>
      <c r="Q574">
        <v>5</v>
      </c>
      <c r="R574" s="12" t="str">
        <f t="shared" si="40"/>
        <v>Mist/Cloudy</v>
      </c>
      <c r="S574" s="14" t="str">
        <f t="shared" si="41"/>
        <v>Winter</v>
      </c>
      <c r="T574" s="15" t="str">
        <f t="shared" si="42"/>
        <v>Wednesday</v>
      </c>
      <c r="U574" t="str">
        <f t="shared" si="43"/>
        <v>January</v>
      </c>
      <c r="V574" s="16" t="str">
        <f t="shared" si="44"/>
        <v>MODERATE</v>
      </c>
    </row>
    <row r="575" spans="1:22" x14ac:dyDescent="0.3">
      <c r="A575">
        <v>574</v>
      </c>
      <c r="B575" s="1">
        <v>40569</v>
      </c>
      <c r="C575">
        <v>1</v>
      </c>
      <c r="D575">
        <v>0</v>
      </c>
      <c r="E575">
        <v>1</v>
      </c>
      <c r="F575">
        <v>2</v>
      </c>
      <c r="G575" t="b">
        <f>IF(COUNTIF(AB$4:AB$20,Append1[[#This Row],[dteday]]) &gt; 0, TRUE, FALSE)</f>
        <v>1</v>
      </c>
      <c r="H575">
        <v>3</v>
      </c>
      <c r="I575">
        <v>3</v>
      </c>
      <c r="J575">
        <v>0.22</v>
      </c>
      <c r="K575">
        <f>Append1[[#This Row],[temp]]*100</f>
        <v>22</v>
      </c>
      <c r="L575">
        <v>0.2273</v>
      </c>
      <c r="M575">
        <v>0.69</v>
      </c>
      <c r="N575">
        <v>0.19400000000000001</v>
      </c>
      <c r="O575">
        <v>3</v>
      </c>
      <c r="P575">
        <v>7</v>
      </c>
      <c r="Q575">
        <v>10</v>
      </c>
      <c r="R575" s="12" t="str">
        <f t="shared" si="40"/>
        <v>Light Rain/Snow</v>
      </c>
      <c r="S575" s="14" t="str">
        <f t="shared" si="41"/>
        <v>Winter</v>
      </c>
      <c r="T575" s="15" t="str">
        <f t="shared" si="42"/>
        <v>Wednesday</v>
      </c>
      <c r="U575" t="str">
        <f t="shared" si="43"/>
        <v>January</v>
      </c>
      <c r="V575" s="16" t="str">
        <f t="shared" si="44"/>
        <v>BAD</v>
      </c>
    </row>
    <row r="576" spans="1:22" x14ac:dyDescent="0.3">
      <c r="A576">
        <v>575</v>
      </c>
      <c r="B576" s="1">
        <v>40569</v>
      </c>
      <c r="C576">
        <v>1</v>
      </c>
      <c r="D576">
        <v>0</v>
      </c>
      <c r="E576">
        <v>1</v>
      </c>
      <c r="F576">
        <v>5</v>
      </c>
      <c r="G576" t="b">
        <f>IF(COUNTIF(AB$4:AB$20,Append1[[#This Row],[dteday]]) &gt; 0, TRUE, FALSE)</f>
        <v>1</v>
      </c>
      <c r="H576">
        <v>3</v>
      </c>
      <c r="I576">
        <v>3</v>
      </c>
      <c r="J576">
        <v>0.2</v>
      </c>
      <c r="K576">
        <f>Append1[[#This Row],[temp]]*100</f>
        <v>20</v>
      </c>
      <c r="L576">
        <v>0.18179999999999999</v>
      </c>
      <c r="M576">
        <v>0.86</v>
      </c>
      <c r="N576">
        <v>0.28360000000000002</v>
      </c>
      <c r="O576">
        <v>0</v>
      </c>
      <c r="P576">
        <v>1</v>
      </c>
      <c r="Q576">
        <v>1</v>
      </c>
      <c r="R576" s="12" t="str">
        <f t="shared" si="40"/>
        <v>Light Rain/Snow</v>
      </c>
      <c r="S576" s="14" t="str">
        <f t="shared" si="41"/>
        <v>Winter</v>
      </c>
      <c r="T576" s="15" t="str">
        <f t="shared" si="42"/>
        <v>Wednesday</v>
      </c>
      <c r="U576" t="str">
        <f t="shared" si="43"/>
        <v>January</v>
      </c>
      <c r="V576" s="16" t="str">
        <f t="shared" si="44"/>
        <v>BAD</v>
      </c>
    </row>
    <row r="577" spans="1:22" x14ac:dyDescent="0.3">
      <c r="A577">
        <v>576</v>
      </c>
      <c r="B577" s="1">
        <v>40569</v>
      </c>
      <c r="C577">
        <v>1</v>
      </c>
      <c r="D577">
        <v>0</v>
      </c>
      <c r="E577">
        <v>1</v>
      </c>
      <c r="F577">
        <v>6</v>
      </c>
      <c r="G577" t="b">
        <f>IF(COUNTIF(AB$4:AB$20,Append1[[#This Row],[dteday]]) &gt; 0, TRUE, FALSE)</f>
        <v>1</v>
      </c>
      <c r="H577">
        <v>3</v>
      </c>
      <c r="I577">
        <v>3</v>
      </c>
      <c r="J577">
        <v>0.2</v>
      </c>
      <c r="K577">
        <f>Append1[[#This Row],[temp]]*100</f>
        <v>20</v>
      </c>
      <c r="L577">
        <v>0.18179999999999999</v>
      </c>
      <c r="M577">
        <v>0.86</v>
      </c>
      <c r="N577">
        <v>0.28360000000000002</v>
      </c>
      <c r="O577">
        <v>0</v>
      </c>
      <c r="P577">
        <v>8</v>
      </c>
      <c r="Q577">
        <v>8</v>
      </c>
      <c r="R577" s="12" t="str">
        <f t="shared" si="40"/>
        <v>Light Rain/Snow</v>
      </c>
      <c r="S577" s="14" t="str">
        <f t="shared" si="41"/>
        <v>Winter</v>
      </c>
      <c r="T577" s="15" t="str">
        <f t="shared" si="42"/>
        <v>Wednesday</v>
      </c>
      <c r="U577" t="str">
        <f t="shared" si="43"/>
        <v>January</v>
      </c>
      <c r="V577" s="16" t="str">
        <f t="shared" si="44"/>
        <v>BAD</v>
      </c>
    </row>
    <row r="578" spans="1:22" x14ac:dyDescent="0.3">
      <c r="A578">
        <v>577</v>
      </c>
      <c r="B578" s="1">
        <v>40569</v>
      </c>
      <c r="C578">
        <v>1</v>
      </c>
      <c r="D578">
        <v>0</v>
      </c>
      <c r="E578">
        <v>1</v>
      </c>
      <c r="F578">
        <v>7</v>
      </c>
      <c r="G578" t="b">
        <f>IF(COUNTIF(AB$4:AB$20,Append1[[#This Row],[dteday]]) &gt; 0, TRUE, FALSE)</f>
        <v>1</v>
      </c>
      <c r="H578">
        <v>3</v>
      </c>
      <c r="I578">
        <v>3</v>
      </c>
      <c r="J578">
        <v>0.22</v>
      </c>
      <c r="K578">
        <f>Append1[[#This Row],[temp]]*100</f>
        <v>22</v>
      </c>
      <c r="L578">
        <v>0.21210000000000001</v>
      </c>
      <c r="M578">
        <v>0.87</v>
      </c>
      <c r="N578">
        <v>0.29849999999999999</v>
      </c>
      <c r="O578">
        <v>1</v>
      </c>
      <c r="P578">
        <v>29</v>
      </c>
      <c r="Q578">
        <v>30</v>
      </c>
      <c r="R578" s="12" t="str">
        <f t="shared" ref="R578:R641" si="45">_xlfn.IFS(I578=1,"Clear/Few Clouds",I578=2,"Mist/Cloudy",I578=3,"Light Rain/Snow",I578=4,"Heavy Rain/Snow")</f>
        <v>Light Rain/Snow</v>
      </c>
      <c r="S578" s="14" t="str">
        <f t="shared" ref="S578:S641" si="46">_xlfn.IFS(C578=1,"Winter",C578=2,"Spring",C578=3,"Summer",C578=4,"Autumn")</f>
        <v>Winter</v>
      </c>
      <c r="T578" s="15" t="str">
        <f t="shared" ref="T578:T641" si="47">TEXT(B578,"dddd")</f>
        <v>Wednesday</v>
      </c>
      <c r="U578" t="str">
        <f t="shared" ref="U578:U641" si="48">TEXT(B578,"mmmm")</f>
        <v>January</v>
      </c>
      <c r="V578" s="16" t="str">
        <f t="shared" ref="V578:V641" si="49">_xlfn.IFS(I578=1,"GOOD",I578=2,"MODERATE",I578=3,"BAD",I578=4,"WORSE")</f>
        <v>BAD</v>
      </c>
    </row>
    <row r="579" spans="1:22" x14ac:dyDescent="0.3">
      <c r="A579">
        <v>578</v>
      </c>
      <c r="B579" s="1">
        <v>40569</v>
      </c>
      <c r="C579">
        <v>1</v>
      </c>
      <c r="D579">
        <v>0</v>
      </c>
      <c r="E579">
        <v>1</v>
      </c>
      <c r="F579">
        <v>8</v>
      </c>
      <c r="G579" t="b">
        <f>IF(COUNTIF(AB$4:AB$20,Append1[[#This Row],[dteday]]) &gt; 0, TRUE, FALSE)</f>
        <v>1</v>
      </c>
      <c r="H579">
        <v>3</v>
      </c>
      <c r="I579">
        <v>3</v>
      </c>
      <c r="J579">
        <v>0.22</v>
      </c>
      <c r="K579">
        <f>Append1[[#This Row],[temp]]*100</f>
        <v>22</v>
      </c>
      <c r="L579">
        <v>0.21210000000000001</v>
      </c>
      <c r="M579">
        <v>0.87</v>
      </c>
      <c r="N579">
        <v>0.29849999999999999</v>
      </c>
      <c r="O579">
        <v>3</v>
      </c>
      <c r="P579">
        <v>69</v>
      </c>
      <c r="Q579">
        <v>72</v>
      </c>
      <c r="R579" s="12" t="str">
        <f t="shared" si="45"/>
        <v>Light Rain/Snow</v>
      </c>
      <c r="S579" s="14" t="str">
        <f t="shared" si="46"/>
        <v>Winter</v>
      </c>
      <c r="T579" s="15" t="str">
        <f t="shared" si="47"/>
        <v>Wednesday</v>
      </c>
      <c r="U579" t="str">
        <f t="shared" si="48"/>
        <v>January</v>
      </c>
      <c r="V579" s="16" t="str">
        <f t="shared" si="49"/>
        <v>BAD</v>
      </c>
    </row>
    <row r="580" spans="1:22" x14ac:dyDescent="0.3">
      <c r="A580">
        <v>579</v>
      </c>
      <c r="B580" s="1">
        <v>40569</v>
      </c>
      <c r="C580">
        <v>1</v>
      </c>
      <c r="D580">
        <v>0</v>
      </c>
      <c r="E580">
        <v>1</v>
      </c>
      <c r="F580">
        <v>9</v>
      </c>
      <c r="G580" t="b">
        <f>IF(COUNTIF(AB$4:AB$20,Append1[[#This Row],[dteday]]) &gt; 0, TRUE, FALSE)</f>
        <v>1</v>
      </c>
      <c r="H580">
        <v>3</v>
      </c>
      <c r="I580">
        <v>3</v>
      </c>
      <c r="J580">
        <v>0.22</v>
      </c>
      <c r="K580">
        <f>Append1[[#This Row],[temp]]*100</f>
        <v>22</v>
      </c>
      <c r="L580">
        <v>0.21210000000000001</v>
      </c>
      <c r="M580">
        <v>0.87</v>
      </c>
      <c r="N580">
        <v>0.29849999999999999</v>
      </c>
      <c r="O580">
        <v>3</v>
      </c>
      <c r="P580">
        <v>55</v>
      </c>
      <c r="Q580">
        <v>58</v>
      </c>
      <c r="R580" s="12" t="str">
        <f t="shared" si="45"/>
        <v>Light Rain/Snow</v>
      </c>
      <c r="S580" s="14" t="str">
        <f t="shared" si="46"/>
        <v>Winter</v>
      </c>
      <c r="T580" s="15" t="str">
        <f t="shared" si="47"/>
        <v>Wednesday</v>
      </c>
      <c r="U580" t="str">
        <f t="shared" si="48"/>
        <v>January</v>
      </c>
      <c r="V580" s="16" t="str">
        <f t="shared" si="49"/>
        <v>BAD</v>
      </c>
    </row>
    <row r="581" spans="1:22" x14ac:dyDescent="0.3">
      <c r="A581">
        <v>580</v>
      </c>
      <c r="B581" s="1">
        <v>40569</v>
      </c>
      <c r="C581">
        <v>1</v>
      </c>
      <c r="D581">
        <v>0</v>
      </c>
      <c r="E581">
        <v>1</v>
      </c>
      <c r="F581">
        <v>10</v>
      </c>
      <c r="G581" t="b">
        <f>IF(COUNTIF(AB$4:AB$20,Append1[[#This Row],[dteday]]) &gt; 0, TRUE, FALSE)</f>
        <v>1</v>
      </c>
      <c r="H581">
        <v>3</v>
      </c>
      <c r="I581">
        <v>3</v>
      </c>
      <c r="J581">
        <v>0.22</v>
      </c>
      <c r="K581">
        <f>Append1[[#This Row],[temp]]*100</f>
        <v>22</v>
      </c>
      <c r="L581">
        <v>0.21210000000000001</v>
      </c>
      <c r="M581">
        <v>0.93</v>
      </c>
      <c r="N581">
        <v>0.28360000000000002</v>
      </c>
      <c r="O581">
        <v>2</v>
      </c>
      <c r="P581">
        <v>26</v>
      </c>
      <c r="Q581">
        <v>28</v>
      </c>
      <c r="R581" s="12" t="str">
        <f t="shared" si="45"/>
        <v>Light Rain/Snow</v>
      </c>
      <c r="S581" s="14" t="str">
        <f t="shared" si="46"/>
        <v>Winter</v>
      </c>
      <c r="T581" s="15" t="str">
        <f t="shared" si="47"/>
        <v>Wednesday</v>
      </c>
      <c r="U581" t="str">
        <f t="shared" si="48"/>
        <v>January</v>
      </c>
      <c r="V581" s="16" t="str">
        <f t="shared" si="49"/>
        <v>BAD</v>
      </c>
    </row>
    <row r="582" spans="1:22" x14ac:dyDescent="0.3">
      <c r="A582">
        <v>581</v>
      </c>
      <c r="B582" s="1">
        <v>40569</v>
      </c>
      <c r="C582">
        <v>1</v>
      </c>
      <c r="D582">
        <v>0</v>
      </c>
      <c r="E582">
        <v>1</v>
      </c>
      <c r="F582">
        <v>11</v>
      </c>
      <c r="G582" t="b">
        <f>IF(COUNTIF(AB$4:AB$20,Append1[[#This Row],[dteday]]) &gt; 0, TRUE, FALSE)</f>
        <v>1</v>
      </c>
      <c r="H582">
        <v>3</v>
      </c>
      <c r="I582">
        <v>3</v>
      </c>
      <c r="J582">
        <v>0.22</v>
      </c>
      <c r="K582">
        <f>Append1[[#This Row],[temp]]*100</f>
        <v>22</v>
      </c>
      <c r="L582">
        <v>0.19700000000000001</v>
      </c>
      <c r="M582">
        <v>0.93</v>
      </c>
      <c r="N582">
        <v>0.32840000000000003</v>
      </c>
      <c r="O582">
        <v>6</v>
      </c>
      <c r="P582">
        <v>35</v>
      </c>
      <c r="Q582">
        <v>41</v>
      </c>
      <c r="R582" s="12" t="str">
        <f t="shared" si="45"/>
        <v>Light Rain/Snow</v>
      </c>
      <c r="S582" s="14" t="str">
        <f t="shared" si="46"/>
        <v>Winter</v>
      </c>
      <c r="T582" s="15" t="str">
        <f t="shared" si="47"/>
        <v>Wednesday</v>
      </c>
      <c r="U582" t="str">
        <f t="shared" si="48"/>
        <v>January</v>
      </c>
      <c r="V582" s="16" t="str">
        <f t="shared" si="49"/>
        <v>BAD</v>
      </c>
    </row>
    <row r="583" spans="1:22" x14ac:dyDescent="0.3">
      <c r="A583">
        <v>582</v>
      </c>
      <c r="B583" s="1">
        <v>40569</v>
      </c>
      <c r="C583">
        <v>1</v>
      </c>
      <c r="D583">
        <v>0</v>
      </c>
      <c r="E583">
        <v>1</v>
      </c>
      <c r="F583">
        <v>12</v>
      </c>
      <c r="G583" t="b">
        <f>IF(COUNTIF(AB$4:AB$20,Append1[[#This Row],[dteday]]) &gt; 0, TRUE, FALSE)</f>
        <v>1</v>
      </c>
      <c r="H583">
        <v>3</v>
      </c>
      <c r="I583">
        <v>3</v>
      </c>
      <c r="J583">
        <v>0.22</v>
      </c>
      <c r="K583">
        <f>Append1[[#This Row],[temp]]*100</f>
        <v>22</v>
      </c>
      <c r="L583">
        <v>0.19700000000000001</v>
      </c>
      <c r="M583">
        <v>0.93</v>
      </c>
      <c r="N583">
        <v>0.32840000000000003</v>
      </c>
      <c r="O583">
        <v>7</v>
      </c>
      <c r="P583">
        <v>41</v>
      </c>
      <c r="Q583">
        <v>48</v>
      </c>
      <c r="R583" s="12" t="str">
        <f t="shared" si="45"/>
        <v>Light Rain/Snow</v>
      </c>
      <c r="S583" s="14" t="str">
        <f t="shared" si="46"/>
        <v>Winter</v>
      </c>
      <c r="T583" s="15" t="str">
        <f t="shared" si="47"/>
        <v>Wednesday</v>
      </c>
      <c r="U583" t="str">
        <f t="shared" si="48"/>
        <v>January</v>
      </c>
      <c r="V583" s="16" t="str">
        <f t="shared" si="49"/>
        <v>BAD</v>
      </c>
    </row>
    <row r="584" spans="1:22" x14ac:dyDescent="0.3">
      <c r="A584">
        <v>583</v>
      </c>
      <c r="B584" s="1">
        <v>40569</v>
      </c>
      <c r="C584">
        <v>1</v>
      </c>
      <c r="D584">
        <v>0</v>
      </c>
      <c r="E584">
        <v>1</v>
      </c>
      <c r="F584">
        <v>13</v>
      </c>
      <c r="G584" t="b">
        <f>IF(COUNTIF(AB$4:AB$20,Append1[[#This Row],[dteday]]) &gt; 0, TRUE, FALSE)</f>
        <v>1</v>
      </c>
      <c r="H584">
        <v>3</v>
      </c>
      <c r="I584">
        <v>3</v>
      </c>
      <c r="J584">
        <v>0.22</v>
      </c>
      <c r="K584">
        <f>Append1[[#This Row],[temp]]*100</f>
        <v>22</v>
      </c>
      <c r="L584">
        <v>0.19700000000000001</v>
      </c>
      <c r="M584">
        <v>0.93</v>
      </c>
      <c r="N584">
        <v>0.32840000000000003</v>
      </c>
      <c r="O584">
        <v>4</v>
      </c>
      <c r="P584">
        <v>43</v>
      </c>
      <c r="Q584">
        <v>47</v>
      </c>
      <c r="R584" s="12" t="str">
        <f t="shared" si="45"/>
        <v>Light Rain/Snow</v>
      </c>
      <c r="S584" s="14" t="str">
        <f t="shared" si="46"/>
        <v>Winter</v>
      </c>
      <c r="T584" s="15" t="str">
        <f t="shared" si="47"/>
        <v>Wednesday</v>
      </c>
      <c r="U584" t="str">
        <f t="shared" si="48"/>
        <v>January</v>
      </c>
      <c r="V584" s="16" t="str">
        <f t="shared" si="49"/>
        <v>BAD</v>
      </c>
    </row>
    <row r="585" spans="1:22" x14ac:dyDescent="0.3">
      <c r="A585">
        <v>584</v>
      </c>
      <c r="B585" s="1">
        <v>40569</v>
      </c>
      <c r="C585">
        <v>1</v>
      </c>
      <c r="D585">
        <v>0</v>
      </c>
      <c r="E585">
        <v>1</v>
      </c>
      <c r="F585">
        <v>14</v>
      </c>
      <c r="G585" t="b">
        <f>IF(COUNTIF(AB$4:AB$20,Append1[[#This Row],[dteday]]) &gt; 0, TRUE, FALSE)</f>
        <v>1</v>
      </c>
      <c r="H585">
        <v>3</v>
      </c>
      <c r="I585">
        <v>3</v>
      </c>
      <c r="J585">
        <v>0.22</v>
      </c>
      <c r="K585">
        <f>Append1[[#This Row],[temp]]*100</f>
        <v>22</v>
      </c>
      <c r="L585">
        <v>0.19700000000000001</v>
      </c>
      <c r="M585">
        <v>0.93</v>
      </c>
      <c r="N585">
        <v>0.35820000000000002</v>
      </c>
      <c r="O585">
        <v>0</v>
      </c>
      <c r="P585">
        <v>36</v>
      </c>
      <c r="Q585">
        <v>36</v>
      </c>
      <c r="R585" s="12" t="str">
        <f t="shared" si="45"/>
        <v>Light Rain/Snow</v>
      </c>
      <c r="S585" s="14" t="str">
        <f t="shared" si="46"/>
        <v>Winter</v>
      </c>
      <c r="T585" s="15" t="str">
        <f t="shared" si="47"/>
        <v>Wednesday</v>
      </c>
      <c r="U585" t="str">
        <f t="shared" si="48"/>
        <v>January</v>
      </c>
      <c r="V585" s="16" t="str">
        <f t="shared" si="49"/>
        <v>BAD</v>
      </c>
    </row>
    <row r="586" spans="1:22" x14ac:dyDescent="0.3">
      <c r="A586">
        <v>585</v>
      </c>
      <c r="B586" s="1">
        <v>40569</v>
      </c>
      <c r="C586">
        <v>1</v>
      </c>
      <c r="D586">
        <v>0</v>
      </c>
      <c r="E586">
        <v>1</v>
      </c>
      <c r="F586">
        <v>15</v>
      </c>
      <c r="G586" t="b">
        <f>IF(COUNTIF(AB$4:AB$20,Append1[[#This Row],[dteday]]) &gt; 0, TRUE, FALSE)</f>
        <v>1</v>
      </c>
      <c r="H586">
        <v>3</v>
      </c>
      <c r="I586">
        <v>3</v>
      </c>
      <c r="J586">
        <v>0.22</v>
      </c>
      <c r="K586">
        <f>Append1[[#This Row],[temp]]*100</f>
        <v>22</v>
      </c>
      <c r="L586">
        <v>0.18179999999999999</v>
      </c>
      <c r="M586">
        <v>0.93</v>
      </c>
      <c r="N586">
        <v>0.4627</v>
      </c>
      <c r="O586">
        <v>1</v>
      </c>
      <c r="P586">
        <v>42</v>
      </c>
      <c r="Q586">
        <v>43</v>
      </c>
      <c r="R586" s="12" t="str">
        <f t="shared" si="45"/>
        <v>Light Rain/Snow</v>
      </c>
      <c r="S586" s="14" t="str">
        <f t="shared" si="46"/>
        <v>Winter</v>
      </c>
      <c r="T586" s="15" t="str">
        <f t="shared" si="47"/>
        <v>Wednesday</v>
      </c>
      <c r="U586" t="str">
        <f t="shared" si="48"/>
        <v>January</v>
      </c>
      <c r="V586" s="16" t="str">
        <f t="shared" si="49"/>
        <v>BAD</v>
      </c>
    </row>
    <row r="587" spans="1:22" x14ac:dyDescent="0.3">
      <c r="A587">
        <v>586</v>
      </c>
      <c r="B587" s="1">
        <v>40569</v>
      </c>
      <c r="C587">
        <v>1</v>
      </c>
      <c r="D587">
        <v>0</v>
      </c>
      <c r="E587">
        <v>1</v>
      </c>
      <c r="F587">
        <v>16</v>
      </c>
      <c r="G587" t="b">
        <f>IF(COUNTIF(AB$4:AB$20,Append1[[#This Row],[dteday]]) &gt; 0, TRUE, FALSE)</f>
        <v>1</v>
      </c>
      <c r="H587">
        <v>3</v>
      </c>
      <c r="I587">
        <v>4</v>
      </c>
      <c r="J587">
        <v>0.22</v>
      </c>
      <c r="K587">
        <f>Append1[[#This Row],[temp]]*100</f>
        <v>22</v>
      </c>
      <c r="L587">
        <v>0.19700000000000001</v>
      </c>
      <c r="M587">
        <v>0.93</v>
      </c>
      <c r="N587">
        <v>0.32840000000000003</v>
      </c>
      <c r="O587">
        <v>1</v>
      </c>
      <c r="P587">
        <v>35</v>
      </c>
      <c r="Q587">
        <v>36</v>
      </c>
      <c r="R587" s="12" t="str">
        <f t="shared" si="45"/>
        <v>Heavy Rain/Snow</v>
      </c>
      <c r="S587" s="14" t="str">
        <f t="shared" si="46"/>
        <v>Winter</v>
      </c>
      <c r="T587" s="15" t="str">
        <f t="shared" si="47"/>
        <v>Wednesday</v>
      </c>
      <c r="U587" t="str">
        <f t="shared" si="48"/>
        <v>January</v>
      </c>
      <c r="V587" s="16" t="str">
        <f t="shared" si="49"/>
        <v>WORSE</v>
      </c>
    </row>
    <row r="588" spans="1:22" x14ac:dyDescent="0.3">
      <c r="A588">
        <v>587</v>
      </c>
      <c r="B588" s="1">
        <v>40569</v>
      </c>
      <c r="C588">
        <v>1</v>
      </c>
      <c r="D588">
        <v>0</v>
      </c>
      <c r="E588">
        <v>1</v>
      </c>
      <c r="F588">
        <v>17</v>
      </c>
      <c r="G588" t="b">
        <f>IF(COUNTIF(AB$4:AB$20,Append1[[#This Row],[dteday]]) &gt; 0, TRUE, FALSE)</f>
        <v>1</v>
      </c>
      <c r="H588">
        <v>3</v>
      </c>
      <c r="I588">
        <v>3</v>
      </c>
      <c r="J588">
        <v>0.2</v>
      </c>
      <c r="K588">
        <f>Append1[[#This Row],[temp]]*100</f>
        <v>20</v>
      </c>
      <c r="L588">
        <v>0.18179999999999999</v>
      </c>
      <c r="M588">
        <v>0.93</v>
      </c>
      <c r="N588">
        <v>0.35820000000000002</v>
      </c>
      <c r="O588">
        <v>0</v>
      </c>
      <c r="P588">
        <v>26</v>
      </c>
      <c r="Q588">
        <v>26</v>
      </c>
      <c r="R588" s="12" t="str">
        <f t="shared" si="45"/>
        <v>Light Rain/Snow</v>
      </c>
      <c r="S588" s="14" t="str">
        <f t="shared" si="46"/>
        <v>Winter</v>
      </c>
      <c r="T588" s="15" t="str">
        <f t="shared" si="47"/>
        <v>Wednesday</v>
      </c>
      <c r="U588" t="str">
        <f t="shared" si="48"/>
        <v>January</v>
      </c>
      <c r="V588" s="16" t="str">
        <f t="shared" si="49"/>
        <v>BAD</v>
      </c>
    </row>
    <row r="589" spans="1:22" x14ac:dyDescent="0.3">
      <c r="A589">
        <v>588</v>
      </c>
      <c r="B589" s="1">
        <v>40570</v>
      </c>
      <c r="C589">
        <v>1</v>
      </c>
      <c r="D589">
        <v>0</v>
      </c>
      <c r="E589">
        <v>1</v>
      </c>
      <c r="F589">
        <v>16</v>
      </c>
      <c r="G589" t="b">
        <f>IF(COUNTIF(AB$4:AB$20,Append1[[#This Row],[dteday]]) &gt; 0, TRUE, FALSE)</f>
        <v>0</v>
      </c>
      <c r="H589">
        <v>4</v>
      </c>
      <c r="I589">
        <v>1</v>
      </c>
      <c r="J589">
        <v>0.22</v>
      </c>
      <c r="K589">
        <f>Append1[[#This Row],[temp]]*100</f>
        <v>22</v>
      </c>
      <c r="L589">
        <v>0.2273</v>
      </c>
      <c r="M589">
        <v>0.55000000000000004</v>
      </c>
      <c r="N589">
        <v>0.19400000000000001</v>
      </c>
      <c r="O589">
        <v>1</v>
      </c>
      <c r="P589">
        <v>23</v>
      </c>
      <c r="Q589">
        <v>24</v>
      </c>
      <c r="R589" s="12" t="str">
        <f t="shared" si="45"/>
        <v>Clear/Few Clouds</v>
      </c>
      <c r="S589" s="14" t="str">
        <f t="shared" si="46"/>
        <v>Winter</v>
      </c>
      <c r="T589" s="15" t="str">
        <f t="shared" si="47"/>
        <v>Thursday</v>
      </c>
      <c r="U589" t="str">
        <f t="shared" si="48"/>
        <v>January</v>
      </c>
      <c r="V589" s="16" t="str">
        <f t="shared" si="49"/>
        <v>GOOD</v>
      </c>
    </row>
    <row r="590" spans="1:22" x14ac:dyDescent="0.3">
      <c r="A590">
        <v>589</v>
      </c>
      <c r="B590" s="1">
        <v>40570</v>
      </c>
      <c r="C590">
        <v>1</v>
      </c>
      <c r="D590">
        <v>0</v>
      </c>
      <c r="E590">
        <v>1</v>
      </c>
      <c r="F590">
        <v>17</v>
      </c>
      <c r="G590" t="b">
        <f>IF(COUNTIF(AB$4:AB$20,Append1[[#This Row],[dteday]]) &gt; 0, TRUE, FALSE)</f>
        <v>0</v>
      </c>
      <c r="H590">
        <v>4</v>
      </c>
      <c r="I590">
        <v>1</v>
      </c>
      <c r="J590">
        <v>0.22</v>
      </c>
      <c r="K590">
        <f>Append1[[#This Row],[temp]]*100</f>
        <v>22</v>
      </c>
      <c r="L590">
        <v>0.2424</v>
      </c>
      <c r="M590">
        <v>0.55000000000000004</v>
      </c>
      <c r="N590">
        <v>0.1045</v>
      </c>
      <c r="O590">
        <v>2</v>
      </c>
      <c r="P590">
        <v>82</v>
      </c>
      <c r="Q590">
        <v>84</v>
      </c>
      <c r="R590" s="12" t="str">
        <f t="shared" si="45"/>
        <v>Clear/Few Clouds</v>
      </c>
      <c r="S590" s="14" t="str">
        <f t="shared" si="46"/>
        <v>Winter</v>
      </c>
      <c r="T590" s="15" t="str">
        <f t="shared" si="47"/>
        <v>Thursday</v>
      </c>
      <c r="U590" t="str">
        <f t="shared" si="48"/>
        <v>January</v>
      </c>
      <c r="V590" s="16" t="str">
        <f t="shared" si="49"/>
        <v>GOOD</v>
      </c>
    </row>
    <row r="591" spans="1:22" x14ac:dyDescent="0.3">
      <c r="A591">
        <v>590</v>
      </c>
      <c r="B591" s="1">
        <v>40570</v>
      </c>
      <c r="C591">
        <v>1</v>
      </c>
      <c r="D591">
        <v>0</v>
      </c>
      <c r="E591">
        <v>1</v>
      </c>
      <c r="F591">
        <v>18</v>
      </c>
      <c r="G591" t="b">
        <f>IF(COUNTIF(AB$4:AB$20,Append1[[#This Row],[dteday]]) &gt; 0, TRUE, FALSE)</f>
        <v>0</v>
      </c>
      <c r="H591">
        <v>4</v>
      </c>
      <c r="I591">
        <v>1</v>
      </c>
      <c r="J591">
        <v>0.2</v>
      </c>
      <c r="K591">
        <f>Append1[[#This Row],[temp]]*100</f>
        <v>20</v>
      </c>
      <c r="L591">
        <v>0.2273</v>
      </c>
      <c r="M591">
        <v>0.69</v>
      </c>
      <c r="N591">
        <v>8.9599999999999999E-2</v>
      </c>
      <c r="O591">
        <v>3</v>
      </c>
      <c r="P591">
        <v>101</v>
      </c>
      <c r="Q591">
        <v>104</v>
      </c>
      <c r="R591" s="12" t="str">
        <f t="shared" si="45"/>
        <v>Clear/Few Clouds</v>
      </c>
      <c r="S591" s="14" t="str">
        <f t="shared" si="46"/>
        <v>Winter</v>
      </c>
      <c r="T591" s="15" t="str">
        <f t="shared" si="47"/>
        <v>Thursday</v>
      </c>
      <c r="U591" t="str">
        <f t="shared" si="48"/>
        <v>January</v>
      </c>
      <c r="V591" s="16" t="str">
        <f t="shared" si="49"/>
        <v>GOOD</v>
      </c>
    </row>
    <row r="592" spans="1:22" x14ac:dyDescent="0.3">
      <c r="A592">
        <v>591</v>
      </c>
      <c r="B592" s="1">
        <v>40570</v>
      </c>
      <c r="C592">
        <v>1</v>
      </c>
      <c r="D592">
        <v>0</v>
      </c>
      <c r="E592">
        <v>1</v>
      </c>
      <c r="F592">
        <v>19</v>
      </c>
      <c r="G592" t="b">
        <f>IF(COUNTIF(AB$4:AB$20,Append1[[#This Row],[dteday]]) &gt; 0, TRUE, FALSE)</f>
        <v>0</v>
      </c>
      <c r="H592">
        <v>4</v>
      </c>
      <c r="I592">
        <v>1</v>
      </c>
      <c r="J592">
        <v>0.2</v>
      </c>
      <c r="K592">
        <f>Append1[[#This Row],[temp]]*100</f>
        <v>20</v>
      </c>
      <c r="L592">
        <v>0.2273</v>
      </c>
      <c r="M592">
        <v>0.69</v>
      </c>
      <c r="N592">
        <v>8.9599999999999999E-2</v>
      </c>
      <c r="O592">
        <v>3</v>
      </c>
      <c r="P592">
        <v>76</v>
      </c>
      <c r="Q592">
        <v>79</v>
      </c>
      <c r="R592" s="12" t="str">
        <f t="shared" si="45"/>
        <v>Clear/Few Clouds</v>
      </c>
      <c r="S592" s="14" t="str">
        <f t="shared" si="46"/>
        <v>Winter</v>
      </c>
      <c r="T592" s="15" t="str">
        <f t="shared" si="47"/>
        <v>Thursday</v>
      </c>
      <c r="U592" t="str">
        <f t="shared" si="48"/>
        <v>January</v>
      </c>
      <c r="V592" s="16" t="str">
        <f t="shared" si="49"/>
        <v>GOOD</v>
      </c>
    </row>
    <row r="593" spans="1:22" x14ac:dyDescent="0.3">
      <c r="A593">
        <v>592</v>
      </c>
      <c r="B593" s="1">
        <v>40570</v>
      </c>
      <c r="C593">
        <v>1</v>
      </c>
      <c r="D593">
        <v>0</v>
      </c>
      <c r="E593">
        <v>1</v>
      </c>
      <c r="F593">
        <v>20</v>
      </c>
      <c r="G593" t="b">
        <f>IF(COUNTIF(AB$4:AB$20,Append1[[#This Row],[dteday]]) &gt; 0, TRUE, FALSE)</f>
        <v>0</v>
      </c>
      <c r="H593">
        <v>4</v>
      </c>
      <c r="I593">
        <v>1</v>
      </c>
      <c r="J593">
        <v>0.18</v>
      </c>
      <c r="K593">
        <f>Append1[[#This Row],[temp]]*100</f>
        <v>18</v>
      </c>
      <c r="L593">
        <v>0.21210000000000001</v>
      </c>
      <c r="M593">
        <v>0.74</v>
      </c>
      <c r="N593">
        <v>8.9599999999999999E-2</v>
      </c>
      <c r="O593">
        <v>4</v>
      </c>
      <c r="P593">
        <v>55</v>
      </c>
      <c r="Q593">
        <v>59</v>
      </c>
      <c r="R593" s="12" t="str">
        <f t="shared" si="45"/>
        <v>Clear/Few Clouds</v>
      </c>
      <c r="S593" s="14" t="str">
        <f t="shared" si="46"/>
        <v>Winter</v>
      </c>
      <c r="T593" s="15" t="str">
        <f t="shared" si="47"/>
        <v>Thursday</v>
      </c>
      <c r="U593" t="str">
        <f t="shared" si="48"/>
        <v>January</v>
      </c>
      <c r="V593" s="16" t="str">
        <f t="shared" si="49"/>
        <v>GOOD</v>
      </c>
    </row>
    <row r="594" spans="1:22" x14ac:dyDescent="0.3">
      <c r="A594">
        <v>593</v>
      </c>
      <c r="B594" s="1">
        <v>40570</v>
      </c>
      <c r="C594">
        <v>1</v>
      </c>
      <c r="D594">
        <v>0</v>
      </c>
      <c r="E594">
        <v>1</v>
      </c>
      <c r="F594">
        <v>21</v>
      </c>
      <c r="G594" t="b">
        <f>IF(COUNTIF(AB$4:AB$20,Append1[[#This Row],[dteday]]) &gt; 0, TRUE, FALSE)</f>
        <v>0</v>
      </c>
      <c r="H594">
        <v>4</v>
      </c>
      <c r="I594">
        <v>1</v>
      </c>
      <c r="J594">
        <v>0.18</v>
      </c>
      <c r="K594">
        <f>Append1[[#This Row],[temp]]*100</f>
        <v>18</v>
      </c>
      <c r="L594">
        <v>0.21210000000000001</v>
      </c>
      <c r="M594">
        <v>0.74</v>
      </c>
      <c r="N594">
        <v>8.9599999999999999E-2</v>
      </c>
      <c r="O594">
        <v>2</v>
      </c>
      <c r="P594">
        <v>36</v>
      </c>
      <c r="Q594">
        <v>38</v>
      </c>
      <c r="R594" s="12" t="str">
        <f t="shared" si="45"/>
        <v>Clear/Few Clouds</v>
      </c>
      <c r="S594" s="14" t="str">
        <f t="shared" si="46"/>
        <v>Winter</v>
      </c>
      <c r="T594" s="15" t="str">
        <f t="shared" si="47"/>
        <v>Thursday</v>
      </c>
      <c r="U594" t="str">
        <f t="shared" si="48"/>
        <v>January</v>
      </c>
      <c r="V594" s="16" t="str">
        <f t="shared" si="49"/>
        <v>GOOD</v>
      </c>
    </row>
    <row r="595" spans="1:22" x14ac:dyDescent="0.3">
      <c r="A595">
        <v>594</v>
      </c>
      <c r="B595" s="1">
        <v>40570</v>
      </c>
      <c r="C595">
        <v>1</v>
      </c>
      <c r="D595">
        <v>0</v>
      </c>
      <c r="E595">
        <v>1</v>
      </c>
      <c r="F595">
        <v>22</v>
      </c>
      <c r="G595" t="b">
        <f>IF(COUNTIF(AB$4:AB$20,Append1[[#This Row],[dteday]]) &gt; 0, TRUE, FALSE)</f>
        <v>0</v>
      </c>
      <c r="H595">
        <v>4</v>
      </c>
      <c r="I595">
        <v>1</v>
      </c>
      <c r="J595">
        <v>0.18</v>
      </c>
      <c r="K595">
        <f>Append1[[#This Row],[temp]]*100</f>
        <v>18</v>
      </c>
      <c r="L595">
        <v>0.21210000000000001</v>
      </c>
      <c r="M595">
        <v>0.74</v>
      </c>
      <c r="N595">
        <v>8.9599999999999999E-2</v>
      </c>
      <c r="O595">
        <v>0</v>
      </c>
      <c r="P595">
        <v>27</v>
      </c>
      <c r="Q595">
        <v>27</v>
      </c>
      <c r="R595" s="12" t="str">
        <f t="shared" si="45"/>
        <v>Clear/Few Clouds</v>
      </c>
      <c r="S595" s="14" t="str">
        <f t="shared" si="46"/>
        <v>Winter</v>
      </c>
      <c r="T595" s="15" t="str">
        <f t="shared" si="47"/>
        <v>Thursday</v>
      </c>
      <c r="U595" t="str">
        <f t="shared" si="48"/>
        <v>January</v>
      </c>
      <c r="V595" s="16" t="str">
        <f t="shared" si="49"/>
        <v>GOOD</v>
      </c>
    </row>
    <row r="596" spans="1:22" x14ac:dyDescent="0.3">
      <c r="A596">
        <v>595</v>
      </c>
      <c r="B596" s="1">
        <v>40570</v>
      </c>
      <c r="C596">
        <v>1</v>
      </c>
      <c r="D596">
        <v>0</v>
      </c>
      <c r="E596">
        <v>1</v>
      </c>
      <c r="F596">
        <v>23</v>
      </c>
      <c r="G596" t="b">
        <f>IF(COUNTIF(AB$4:AB$20,Append1[[#This Row],[dteday]]) &gt; 0, TRUE, FALSE)</f>
        <v>0</v>
      </c>
      <c r="H596">
        <v>4</v>
      </c>
      <c r="I596">
        <v>1</v>
      </c>
      <c r="J596">
        <v>0.18</v>
      </c>
      <c r="K596">
        <f>Append1[[#This Row],[temp]]*100</f>
        <v>18</v>
      </c>
      <c r="L596">
        <v>0.19700000000000001</v>
      </c>
      <c r="M596">
        <v>0.8</v>
      </c>
      <c r="N596">
        <v>0.16420000000000001</v>
      </c>
      <c r="O596">
        <v>0</v>
      </c>
      <c r="P596">
        <v>16</v>
      </c>
      <c r="Q596">
        <v>16</v>
      </c>
      <c r="R596" s="12" t="str">
        <f t="shared" si="45"/>
        <v>Clear/Few Clouds</v>
      </c>
      <c r="S596" s="14" t="str">
        <f t="shared" si="46"/>
        <v>Winter</v>
      </c>
      <c r="T596" s="15" t="str">
        <f t="shared" si="47"/>
        <v>Thursday</v>
      </c>
      <c r="U596" t="str">
        <f t="shared" si="48"/>
        <v>January</v>
      </c>
      <c r="V596" s="16" t="str">
        <f t="shared" si="49"/>
        <v>GOOD</v>
      </c>
    </row>
    <row r="597" spans="1:22" x14ac:dyDescent="0.3">
      <c r="A597">
        <v>596</v>
      </c>
      <c r="B597" s="1">
        <v>40571</v>
      </c>
      <c r="C597">
        <v>1</v>
      </c>
      <c r="D597">
        <v>0</v>
      </c>
      <c r="E597">
        <v>1</v>
      </c>
      <c r="F597">
        <v>0</v>
      </c>
      <c r="G597" t="b">
        <f>IF(COUNTIF(AB$4:AB$20,Append1[[#This Row],[dteday]]) &gt; 0, TRUE, FALSE)</f>
        <v>0</v>
      </c>
      <c r="H597">
        <v>5</v>
      </c>
      <c r="I597">
        <v>2</v>
      </c>
      <c r="J597">
        <v>0.2</v>
      </c>
      <c r="K597">
        <f>Append1[[#This Row],[temp]]*100</f>
        <v>20</v>
      </c>
      <c r="L597">
        <v>0.21210000000000001</v>
      </c>
      <c r="M597">
        <v>0.75</v>
      </c>
      <c r="N597">
        <v>0.1343</v>
      </c>
      <c r="O597">
        <v>0</v>
      </c>
      <c r="P597">
        <v>9</v>
      </c>
      <c r="Q597">
        <v>9</v>
      </c>
      <c r="R597" s="12" t="str">
        <f t="shared" si="45"/>
        <v>Mist/Cloudy</v>
      </c>
      <c r="S597" s="14" t="str">
        <f t="shared" si="46"/>
        <v>Winter</v>
      </c>
      <c r="T597" s="15" t="str">
        <f t="shared" si="47"/>
        <v>Friday</v>
      </c>
      <c r="U597" t="str">
        <f t="shared" si="48"/>
        <v>January</v>
      </c>
      <c r="V597" s="16" t="str">
        <f t="shared" si="49"/>
        <v>MODERATE</v>
      </c>
    </row>
    <row r="598" spans="1:22" x14ac:dyDescent="0.3">
      <c r="A598">
        <v>597</v>
      </c>
      <c r="B598" s="1">
        <v>40571</v>
      </c>
      <c r="C598">
        <v>1</v>
      </c>
      <c r="D598">
        <v>0</v>
      </c>
      <c r="E598">
        <v>1</v>
      </c>
      <c r="F598">
        <v>1</v>
      </c>
      <c r="G598" t="b">
        <f>IF(COUNTIF(AB$4:AB$20,Append1[[#This Row],[dteday]]) &gt; 0, TRUE, FALSE)</f>
        <v>0</v>
      </c>
      <c r="H598">
        <v>5</v>
      </c>
      <c r="I598">
        <v>2</v>
      </c>
      <c r="J598">
        <v>0.2</v>
      </c>
      <c r="K598">
        <f>Append1[[#This Row],[temp]]*100</f>
        <v>20</v>
      </c>
      <c r="L598">
        <v>0.21210000000000001</v>
      </c>
      <c r="M598">
        <v>0.75</v>
      </c>
      <c r="N598">
        <v>0.1343</v>
      </c>
      <c r="O598">
        <v>1</v>
      </c>
      <c r="P598">
        <v>2</v>
      </c>
      <c r="Q598">
        <v>3</v>
      </c>
      <c r="R598" s="12" t="str">
        <f t="shared" si="45"/>
        <v>Mist/Cloudy</v>
      </c>
      <c r="S598" s="14" t="str">
        <f t="shared" si="46"/>
        <v>Winter</v>
      </c>
      <c r="T598" s="15" t="str">
        <f t="shared" si="47"/>
        <v>Friday</v>
      </c>
      <c r="U598" t="str">
        <f t="shared" si="48"/>
        <v>January</v>
      </c>
      <c r="V598" s="16" t="str">
        <f t="shared" si="49"/>
        <v>MODERATE</v>
      </c>
    </row>
    <row r="599" spans="1:22" x14ac:dyDescent="0.3">
      <c r="A599">
        <v>598</v>
      </c>
      <c r="B599" s="1">
        <v>40571</v>
      </c>
      <c r="C599">
        <v>1</v>
      </c>
      <c r="D599">
        <v>0</v>
      </c>
      <c r="E599">
        <v>1</v>
      </c>
      <c r="F599">
        <v>2</v>
      </c>
      <c r="G599" t="b">
        <f>IF(COUNTIF(AB$4:AB$20,Append1[[#This Row],[dteday]]) &gt; 0, TRUE, FALSE)</f>
        <v>0</v>
      </c>
      <c r="H599">
        <v>5</v>
      </c>
      <c r="I599">
        <v>2</v>
      </c>
      <c r="J599">
        <v>0.2</v>
      </c>
      <c r="K599">
        <f>Append1[[#This Row],[temp]]*100</f>
        <v>20</v>
      </c>
      <c r="L599">
        <v>0.21210000000000001</v>
      </c>
      <c r="M599">
        <v>0.75</v>
      </c>
      <c r="N599">
        <v>0.16420000000000001</v>
      </c>
      <c r="O599">
        <v>0</v>
      </c>
      <c r="P599">
        <v>2</v>
      </c>
      <c r="Q599">
        <v>2</v>
      </c>
      <c r="R599" s="12" t="str">
        <f t="shared" si="45"/>
        <v>Mist/Cloudy</v>
      </c>
      <c r="S599" s="14" t="str">
        <f t="shared" si="46"/>
        <v>Winter</v>
      </c>
      <c r="T599" s="15" t="str">
        <f t="shared" si="47"/>
        <v>Friday</v>
      </c>
      <c r="U599" t="str">
        <f t="shared" si="48"/>
        <v>January</v>
      </c>
      <c r="V599" s="16" t="str">
        <f t="shared" si="49"/>
        <v>MODERATE</v>
      </c>
    </row>
    <row r="600" spans="1:22" x14ac:dyDescent="0.3">
      <c r="A600">
        <v>599</v>
      </c>
      <c r="B600" s="1">
        <v>40571</v>
      </c>
      <c r="C600">
        <v>1</v>
      </c>
      <c r="D600">
        <v>0</v>
      </c>
      <c r="E600">
        <v>1</v>
      </c>
      <c r="F600">
        <v>3</v>
      </c>
      <c r="G600" t="b">
        <f>IF(COUNTIF(AB$4:AB$20,Append1[[#This Row],[dteday]]) &gt; 0, TRUE, FALSE)</f>
        <v>0</v>
      </c>
      <c r="H600">
        <v>5</v>
      </c>
      <c r="I600">
        <v>2</v>
      </c>
      <c r="J600">
        <v>0.2</v>
      </c>
      <c r="K600">
        <f>Append1[[#This Row],[temp]]*100</f>
        <v>20</v>
      </c>
      <c r="L600">
        <v>0.2273</v>
      </c>
      <c r="M600">
        <v>0.75</v>
      </c>
      <c r="N600">
        <v>0.1045</v>
      </c>
      <c r="O600">
        <v>1</v>
      </c>
      <c r="P600">
        <v>0</v>
      </c>
      <c r="Q600">
        <v>1</v>
      </c>
      <c r="R600" s="12" t="str">
        <f t="shared" si="45"/>
        <v>Mist/Cloudy</v>
      </c>
      <c r="S600" s="14" t="str">
        <f t="shared" si="46"/>
        <v>Winter</v>
      </c>
      <c r="T600" s="15" t="str">
        <f t="shared" si="47"/>
        <v>Friday</v>
      </c>
      <c r="U600" t="str">
        <f t="shared" si="48"/>
        <v>January</v>
      </c>
      <c r="V600" s="16" t="str">
        <f t="shared" si="49"/>
        <v>MODERATE</v>
      </c>
    </row>
    <row r="601" spans="1:22" x14ac:dyDescent="0.3">
      <c r="A601">
        <v>600</v>
      </c>
      <c r="B601" s="1">
        <v>40571</v>
      </c>
      <c r="C601">
        <v>1</v>
      </c>
      <c r="D601">
        <v>0</v>
      </c>
      <c r="E601">
        <v>1</v>
      </c>
      <c r="F601">
        <v>5</v>
      </c>
      <c r="G601" t="b">
        <f>IF(COUNTIF(AB$4:AB$20,Append1[[#This Row],[dteday]]) &gt; 0, TRUE, FALSE)</f>
        <v>0</v>
      </c>
      <c r="H601">
        <v>5</v>
      </c>
      <c r="I601">
        <v>2</v>
      </c>
      <c r="J601">
        <v>0.18</v>
      </c>
      <c r="K601">
        <f>Append1[[#This Row],[temp]]*100</f>
        <v>18</v>
      </c>
      <c r="L601">
        <v>0.21210000000000001</v>
      </c>
      <c r="M601">
        <v>0.8</v>
      </c>
      <c r="N601">
        <v>0.1045</v>
      </c>
      <c r="O601">
        <v>0</v>
      </c>
      <c r="P601">
        <v>4</v>
      </c>
      <c r="Q601">
        <v>4</v>
      </c>
      <c r="R601" s="12" t="str">
        <f t="shared" si="45"/>
        <v>Mist/Cloudy</v>
      </c>
      <c r="S601" s="14" t="str">
        <f t="shared" si="46"/>
        <v>Winter</v>
      </c>
      <c r="T601" s="15" t="str">
        <f t="shared" si="47"/>
        <v>Friday</v>
      </c>
      <c r="U601" t="str">
        <f t="shared" si="48"/>
        <v>January</v>
      </c>
      <c r="V601" s="16" t="str">
        <f t="shared" si="49"/>
        <v>MODERATE</v>
      </c>
    </row>
    <row r="602" spans="1:22" x14ac:dyDescent="0.3">
      <c r="A602">
        <v>601</v>
      </c>
      <c r="B602" s="1">
        <v>40571</v>
      </c>
      <c r="C602">
        <v>1</v>
      </c>
      <c r="D602">
        <v>0</v>
      </c>
      <c r="E602">
        <v>1</v>
      </c>
      <c r="F602">
        <v>6</v>
      </c>
      <c r="G602" t="b">
        <f>IF(COUNTIF(AB$4:AB$20,Append1[[#This Row],[dteday]]) &gt; 0, TRUE, FALSE)</f>
        <v>0</v>
      </c>
      <c r="H602">
        <v>5</v>
      </c>
      <c r="I602">
        <v>2</v>
      </c>
      <c r="J602">
        <v>0.18</v>
      </c>
      <c r="K602">
        <f>Append1[[#This Row],[temp]]*100</f>
        <v>18</v>
      </c>
      <c r="L602">
        <v>0.19700000000000001</v>
      </c>
      <c r="M602">
        <v>0.8</v>
      </c>
      <c r="N602">
        <v>0.1343</v>
      </c>
      <c r="O602">
        <v>0</v>
      </c>
      <c r="P602">
        <v>16</v>
      </c>
      <c r="Q602">
        <v>16</v>
      </c>
      <c r="R602" s="12" t="str">
        <f t="shared" si="45"/>
        <v>Mist/Cloudy</v>
      </c>
      <c r="S602" s="14" t="str">
        <f t="shared" si="46"/>
        <v>Winter</v>
      </c>
      <c r="T602" s="15" t="str">
        <f t="shared" si="47"/>
        <v>Friday</v>
      </c>
      <c r="U602" t="str">
        <f t="shared" si="48"/>
        <v>January</v>
      </c>
      <c r="V602" s="16" t="str">
        <f t="shared" si="49"/>
        <v>MODERATE</v>
      </c>
    </row>
    <row r="603" spans="1:22" x14ac:dyDescent="0.3">
      <c r="A603">
        <v>602</v>
      </c>
      <c r="B603" s="1">
        <v>40571</v>
      </c>
      <c r="C603">
        <v>1</v>
      </c>
      <c r="D603">
        <v>0</v>
      </c>
      <c r="E603">
        <v>1</v>
      </c>
      <c r="F603">
        <v>7</v>
      </c>
      <c r="G603" t="b">
        <f>IF(COUNTIF(AB$4:AB$20,Append1[[#This Row],[dteday]]) &gt; 0, TRUE, FALSE)</f>
        <v>0</v>
      </c>
      <c r="H603">
        <v>5</v>
      </c>
      <c r="I603">
        <v>2</v>
      </c>
      <c r="J603">
        <v>0.16</v>
      </c>
      <c r="K603">
        <f>Append1[[#This Row],[temp]]*100</f>
        <v>16</v>
      </c>
      <c r="L603">
        <v>0.19700000000000001</v>
      </c>
      <c r="M603">
        <v>0.86</v>
      </c>
      <c r="N603">
        <v>8.9599999999999999E-2</v>
      </c>
      <c r="O603">
        <v>2</v>
      </c>
      <c r="P603">
        <v>58</v>
      </c>
      <c r="Q603">
        <v>60</v>
      </c>
      <c r="R603" s="12" t="str">
        <f t="shared" si="45"/>
        <v>Mist/Cloudy</v>
      </c>
      <c r="S603" s="14" t="str">
        <f t="shared" si="46"/>
        <v>Winter</v>
      </c>
      <c r="T603" s="15" t="str">
        <f t="shared" si="47"/>
        <v>Friday</v>
      </c>
      <c r="U603" t="str">
        <f t="shared" si="48"/>
        <v>January</v>
      </c>
      <c r="V603" s="16" t="str">
        <f t="shared" si="49"/>
        <v>MODERATE</v>
      </c>
    </row>
    <row r="604" spans="1:22" x14ac:dyDescent="0.3">
      <c r="A604">
        <v>603</v>
      </c>
      <c r="B604" s="1">
        <v>40571</v>
      </c>
      <c r="C604">
        <v>1</v>
      </c>
      <c r="D604">
        <v>0</v>
      </c>
      <c r="E604">
        <v>1</v>
      </c>
      <c r="F604">
        <v>8</v>
      </c>
      <c r="G604" t="b">
        <f>IF(COUNTIF(AB$4:AB$20,Append1[[#This Row],[dteday]]) &gt; 0, TRUE, FALSE)</f>
        <v>0</v>
      </c>
      <c r="H604">
        <v>5</v>
      </c>
      <c r="I604">
        <v>2</v>
      </c>
      <c r="J604">
        <v>0.16</v>
      </c>
      <c r="K604">
        <f>Append1[[#This Row],[temp]]*100</f>
        <v>16</v>
      </c>
      <c r="L604">
        <v>0.19700000000000001</v>
      </c>
      <c r="M604">
        <v>0.86</v>
      </c>
      <c r="N604">
        <v>8.9599999999999999E-2</v>
      </c>
      <c r="O604">
        <v>2</v>
      </c>
      <c r="P604">
        <v>155</v>
      </c>
      <c r="Q604">
        <v>157</v>
      </c>
      <c r="R604" s="12" t="str">
        <f t="shared" si="45"/>
        <v>Mist/Cloudy</v>
      </c>
      <c r="S604" s="14" t="str">
        <f t="shared" si="46"/>
        <v>Winter</v>
      </c>
      <c r="T604" s="15" t="str">
        <f t="shared" si="47"/>
        <v>Friday</v>
      </c>
      <c r="U604" t="str">
        <f t="shared" si="48"/>
        <v>January</v>
      </c>
      <c r="V604" s="16" t="str">
        <f t="shared" si="49"/>
        <v>MODERATE</v>
      </c>
    </row>
    <row r="605" spans="1:22" x14ac:dyDescent="0.3">
      <c r="A605">
        <v>604</v>
      </c>
      <c r="B605" s="1">
        <v>40571</v>
      </c>
      <c r="C605">
        <v>1</v>
      </c>
      <c r="D605">
        <v>0</v>
      </c>
      <c r="E605">
        <v>1</v>
      </c>
      <c r="F605">
        <v>9</v>
      </c>
      <c r="G605" t="b">
        <f>IF(COUNTIF(AB$4:AB$20,Append1[[#This Row],[dteday]]) &gt; 0, TRUE, FALSE)</f>
        <v>0</v>
      </c>
      <c r="H605">
        <v>5</v>
      </c>
      <c r="I605">
        <v>3</v>
      </c>
      <c r="J605">
        <v>0.18</v>
      </c>
      <c r="K605">
        <f>Append1[[#This Row],[temp]]*100</f>
        <v>18</v>
      </c>
      <c r="L605">
        <v>0.21210000000000001</v>
      </c>
      <c r="M605">
        <v>0.86</v>
      </c>
      <c r="N605">
        <v>8.9599999999999999E-2</v>
      </c>
      <c r="O605">
        <v>6</v>
      </c>
      <c r="P605">
        <v>95</v>
      </c>
      <c r="Q605">
        <v>101</v>
      </c>
      <c r="R605" s="12" t="str">
        <f t="shared" si="45"/>
        <v>Light Rain/Snow</v>
      </c>
      <c r="S605" s="14" t="str">
        <f t="shared" si="46"/>
        <v>Winter</v>
      </c>
      <c r="T605" s="15" t="str">
        <f t="shared" si="47"/>
        <v>Friday</v>
      </c>
      <c r="U605" t="str">
        <f t="shared" si="48"/>
        <v>January</v>
      </c>
      <c r="V605" s="16" t="str">
        <f t="shared" si="49"/>
        <v>BAD</v>
      </c>
    </row>
    <row r="606" spans="1:22" x14ac:dyDescent="0.3">
      <c r="A606">
        <v>605</v>
      </c>
      <c r="B606" s="1">
        <v>40571</v>
      </c>
      <c r="C606">
        <v>1</v>
      </c>
      <c r="D606">
        <v>0</v>
      </c>
      <c r="E606">
        <v>1</v>
      </c>
      <c r="F606">
        <v>10</v>
      </c>
      <c r="G606" t="b">
        <f>IF(COUNTIF(AB$4:AB$20,Append1[[#This Row],[dteday]]) &gt; 0, TRUE, FALSE)</f>
        <v>0</v>
      </c>
      <c r="H606">
        <v>5</v>
      </c>
      <c r="I606">
        <v>3</v>
      </c>
      <c r="J606">
        <v>0.18</v>
      </c>
      <c r="K606">
        <f>Append1[[#This Row],[temp]]*100</f>
        <v>18</v>
      </c>
      <c r="L606">
        <v>0.21210000000000001</v>
      </c>
      <c r="M606">
        <v>0.86</v>
      </c>
      <c r="N606">
        <v>0.1045</v>
      </c>
      <c r="O606">
        <v>0</v>
      </c>
      <c r="P606">
        <v>49</v>
      </c>
      <c r="Q606">
        <v>49</v>
      </c>
      <c r="R606" s="12" t="str">
        <f t="shared" si="45"/>
        <v>Light Rain/Snow</v>
      </c>
      <c r="S606" s="14" t="str">
        <f t="shared" si="46"/>
        <v>Winter</v>
      </c>
      <c r="T606" s="15" t="str">
        <f t="shared" si="47"/>
        <v>Friday</v>
      </c>
      <c r="U606" t="str">
        <f t="shared" si="48"/>
        <v>January</v>
      </c>
      <c r="V606" s="16" t="str">
        <f t="shared" si="49"/>
        <v>BAD</v>
      </c>
    </row>
    <row r="607" spans="1:22" x14ac:dyDescent="0.3">
      <c r="A607">
        <v>606</v>
      </c>
      <c r="B607" s="1">
        <v>40571</v>
      </c>
      <c r="C607">
        <v>1</v>
      </c>
      <c r="D607">
        <v>0</v>
      </c>
      <c r="E607">
        <v>1</v>
      </c>
      <c r="F607">
        <v>11</v>
      </c>
      <c r="G607" t="b">
        <f>IF(COUNTIF(AB$4:AB$20,Append1[[#This Row],[dteday]]) &gt; 0, TRUE, FALSE)</f>
        <v>0</v>
      </c>
      <c r="H607">
        <v>5</v>
      </c>
      <c r="I607">
        <v>3</v>
      </c>
      <c r="J607">
        <v>0.18</v>
      </c>
      <c r="K607">
        <f>Append1[[#This Row],[temp]]*100</f>
        <v>18</v>
      </c>
      <c r="L607">
        <v>0.21210000000000001</v>
      </c>
      <c r="M607">
        <v>0.93</v>
      </c>
      <c r="N607">
        <v>0.1045</v>
      </c>
      <c r="O607">
        <v>0</v>
      </c>
      <c r="P607">
        <v>30</v>
      </c>
      <c r="Q607">
        <v>30</v>
      </c>
      <c r="R607" s="12" t="str">
        <f t="shared" si="45"/>
        <v>Light Rain/Snow</v>
      </c>
      <c r="S607" s="14" t="str">
        <f t="shared" si="46"/>
        <v>Winter</v>
      </c>
      <c r="T607" s="15" t="str">
        <f t="shared" si="47"/>
        <v>Friday</v>
      </c>
      <c r="U607" t="str">
        <f t="shared" si="48"/>
        <v>January</v>
      </c>
      <c r="V607" s="16" t="str">
        <f t="shared" si="49"/>
        <v>BAD</v>
      </c>
    </row>
    <row r="608" spans="1:22" x14ac:dyDescent="0.3">
      <c r="A608">
        <v>607</v>
      </c>
      <c r="B608" s="1">
        <v>40571</v>
      </c>
      <c r="C608">
        <v>1</v>
      </c>
      <c r="D608">
        <v>0</v>
      </c>
      <c r="E608">
        <v>1</v>
      </c>
      <c r="F608">
        <v>12</v>
      </c>
      <c r="G608" t="b">
        <f>IF(COUNTIF(AB$4:AB$20,Append1[[#This Row],[dteday]]) &gt; 0, TRUE, FALSE)</f>
        <v>0</v>
      </c>
      <c r="H608">
        <v>5</v>
      </c>
      <c r="I608">
        <v>3</v>
      </c>
      <c r="J608">
        <v>0.18</v>
      </c>
      <c r="K608">
        <f>Append1[[#This Row],[temp]]*100</f>
        <v>18</v>
      </c>
      <c r="L608">
        <v>0.21210000000000001</v>
      </c>
      <c r="M608">
        <v>0.93</v>
      </c>
      <c r="N608">
        <v>0.1045</v>
      </c>
      <c r="O608">
        <v>1</v>
      </c>
      <c r="P608">
        <v>28</v>
      </c>
      <c r="Q608">
        <v>29</v>
      </c>
      <c r="R608" s="12" t="str">
        <f t="shared" si="45"/>
        <v>Light Rain/Snow</v>
      </c>
      <c r="S608" s="14" t="str">
        <f t="shared" si="46"/>
        <v>Winter</v>
      </c>
      <c r="T608" s="15" t="str">
        <f t="shared" si="47"/>
        <v>Friday</v>
      </c>
      <c r="U608" t="str">
        <f t="shared" si="48"/>
        <v>January</v>
      </c>
      <c r="V608" s="16" t="str">
        <f t="shared" si="49"/>
        <v>BAD</v>
      </c>
    </row>
    <row r="609" spans="1:22" x14ac:dyDescent="0.3">
      <c r="A609">
        <v>608</v>
      </c>
      <c r="B609" s="1">
        <v>40571</v>
      </c>
      <c r="C609">
        <v>1</v>
      </c>
      <c r="D609">
        <v>0</v>
      </c>
      <c r="E609">
        <v>1</v>
      </c>
      <c r="F609">
        <v>13</v>
      </c>
      <c r="G609" t="b">
        <f>IF(COUNTIF(AB$4:AB$20,Append1[[#This Row],[dteday]]) &gt; 0, TRUE, FALSE)</f>
        <v>0</v>
      </c>
      <c r="H609">
        <v>5</v>
      </c>
      <c r="I609">
        <v>3</v>
      </c>
      <c r="J609">
        <v>0.18</v>
      </c>
      <c r="K609">
        <f>Append1[[#This Row],[temp]]*100</f>
        <v>18</v>
      </c>
      <c r="L609">
        <v>0.21210000000000001</v>
      </c>
      <c r="M609">
        <v>0.93</v>
      </c>
      <c r="N609">
        <v>0.1045</v>
      </c>
      <c r="O609">
        <v>0</v>
      </c>
      <c r="P609">
        <v>31</v>
      </c>
      <c r="Q609">
        <v>31</v>
      </c>
      <c r="R609" s="12" t="str">
        <f t="shared" si="45"/>
        <v>Light Rain/Snow</v>
      </c>
      <c r="S609" s="14" t="str">
        <f t="shared" si="46"/>
        <v>Winter</v>
      </c>
      <c r="T609" s="15" t="str">
        <f t="shared" si="47"/>
        <v>Friday</v>
      </c>
      <c r="U609" t="str">
        <f t="shared" si="48"/>
        <v>January</v>
      </c>
      <c r="V609" s="16" t="str">
        <f t="shared" si="49"/>
        <v>BAD</v>
      </c>
    </row>
    <row r="610" spans="1:22" x14ac:dyDescent="0.3">
      <c r="A610">
        <v>609</v>
      </c>
      <c r="B610" s="1">
        <v>40571</v>
      </c>
      <c r="C610">
        <v>1</v>
      </c>
      <c r="D610">
        <v>0</v>
      </c>
      <c r="E610">
        <v>1</v>
      </c>
      <c r="F610">
        <v>14</v>
      </c>
      <c r="G610" t="b">
        <f>IF(COUNTIF(AB$4:AB$20,Append1[[#This Row],[dteday]]) &gt; 0, TRUE, FALSE)</f>
        <v>0</v>
      </c>
      <c r="H610">
        <v>5</v>
      </c>
      <c r="I610">
        <v>3</v>
      </c>
      <c r="J610">
        <v>0.22</v>
      </c>
      <c r="K610">
        <f>Append1[[#This Row],[temp]]*100</f>
        <v>22</v>
      </c>
      <c r="L610">
        <v>0.2727</v>
      </c>
      <c r="M610">
        <v>0.8</v>
      </c>
      <c r="N610">
        <v>0</v>
      </c>
      <c r="O610">
        <v>2</v>
      </c>
      <c r="P610">
        <v>36</v>
      </c>
      <c r="Q610">
        <v>38</v>
      </c>
      <c r="R610" s="12" t="str">
        <f t="shared" si="45"/>
        <v>Light Rain/Snow</v>
      </c>
      <c r="S610" s="14" t="str">
        <f t="shared" si="46"/>
        <v>Winter</v>
      </c>
      <c r="T610" s="15" t="str">
        <f t="shared" si="47"/>
        <v>Friday</v>
      </c>
      <c r="U610" t="str">
        <f t="shared" si="48"/>
        <v>January</v>
      </c>
      <c r="V610" s="16" t="str">
        <f t="shared" si="49"/>
        <v>BAD</v>
      </c>
    </row>
    <row r="611" spans="1:22" x14ac:dyDescent="0.3">
      <c r="A611">
        <v>610</v>
      </c>
      <c r="B611" s="1">
        <v>40571</v>
      </c>
      <c r="C611">
        <v>1</v>
      </c>
      <c r="D611">
        <v>0</v>
      </c>
      <c r="E611">
        <v>1</v>
      </c>
      <c r="F611">
        <v>15</v>
      </c>
      <c r="G611" t="b">
        <f>IF(COUNTIF(AB$4:AB$20,Append1[[#This Row],[dteday]]) &gt; 0, TRUE, FALSE)</f>
        <v>0</v>
      </c>
      <c r="H611">
        <v>5</v>
      </c>
      <c r="I611">
        <v>2</v>
      </c>
      <c r="J611">
        <v>0.2</v>
      </c>
      <c r="K611">
        <f>Append1[[#This Row],[temp]]*100</f>
        <v>20</v>
      </c>
      <c r="L611">
        <v>0.2576</v>
      </c>
      <c r="M611">
        <v>0.86</v>
      </c>
      <c r="N611">
        <v>0</v>
      </c>
      <c r="O611">
        <v>1</v>
      </c>
      <c r="P611">
        <v>40</v>
      </c>
      <c r="Q611">
        <v>41</v>
      </c>
      <c r="R611" s="12" t="str">
        <f t="shared" si="45"/>
        <v>Mist/Cloudy</v>
      </c>
      <c r="S611" s="14" t="str">
        <f t="shared" si="46"/>
        <v>Winter</v>
      </c>
      <c r="T611" s="15" t="str">
        <f t="shared" si="47"/>
        <v>Friday</v>
      </c>
      <c r="U611" t="str">
        <f t="shared" si="48"/>
        <v>January</v>
      </c>
      <c r="V611" s="16" t="str">
        <f t="shared" si="49"/>
        <v>MODERATE</v>
      </c>
    </row>
    <row r="612" spans="1:22" x14ac:dyDescent="0.3">
      <c r="A612">
        <v>611</v>
      </c>
      <c r="B612" s="1">
        <v>40571</v>
      </c>
      <c r="C612">
        <v>1</v>
      </c>
      <c r="D612">
        <v>0</v>
      </c>
      <c r="E612">
        <v>1</v>
      </c>
      <c r="F612">
        <v>16</v>
      </c>
      <c r="G612" t="b">
        <f>IF(COUNTIF(AB$4:AB$20,Append1[[#This Row],[dteday]]) &gt; 0, TRUE, FALSE)</f>
        <v>0</v>
      </c>
      <c r="H612">
        <v>5</v>
      </c>
      <c r="I612">
        <v>1</v>
      </c>
      <c r="J612">
        <v>0.22</v>
      </c>
      <c r="K612">
        <f>Append1[[#This Row],[temp]]*100</f>
        <v>22</v>
      </c>
      <c r="L612">
        <v>0.2727</v>
      </c>
      <c r="M612">
        <v>0.8</v>
      </c>
      <c r="N612">
        <v>0</v>
      </c>
      <c r="O612">
        <v>10</v>
      </c>
      <c r="P612">
        <v>70</v>
      </c>
      <c r="Q612">
        <v>80</v>
      </c>
      <c r="R612" s="12" t="str">
        <f t="shared" si="45"/>
        <v>Clear/Few Clouds</v>
      </c>
      <c r="S612" s="14" t="str">
        <f t="shared" si="46"/>
        <v>Winter</v>
      </c>
      <c r="T612" s="15" t="str">
        <f t="shared" si="47"/>
        <v>Friday</v>
      </c>
      <c r="U612" t="str">
        <f t="shared" si="48"/>
        <v>January</v>
      </c>
      <c r="V612" s="16" t="str">
        <f t="shared" si="49"/>
        <v>GOOD</v>
      </c>
    </row>
    <row r="613" spans="1:22" x14ac:dyDescent="0.3">
      <c r="A613">
        <v>612</v>
      </c>
      <c r="B613" s="1">
        <v>40571</v>
      </c>
      <c r="C613">
        <v>1</v>
      </c>
      <c r="D613">
        <v>0</v>
      </c>
      <c r="E613">
        <v>1</v>
      </c>
      <c r="F613">
        <v>17</v>
      </c>
      <c r="G613" t="b">
        <f>IF(COUNTIF(AB$4:AB$20,Append1[[#This Row],[dteday]]) &gt; 0, TRUE, FALSE)</f>
        <v>0</v>
      </c>
      <c r="H613">
        <v>5</v>
      </c>
      <c r="I613">
        <v>1</v>
      </c>
      <c r="J613">
        <v>0.24</v>
      </c>
      <c r="K613">
        <f>Append1[[#This Row],[temp]]*100</f>
        <v>24</v>
      </c>
      <c r="L613">
        <v>0.2424</v>
      </c>
      <c r="M613">
        <v>0.75</v>
      </c>
      <c r="N613">
        <v>0.1343</v>
      </c>
      <c r="O613">
        <v>2</v>
      </c>
      <c r="P613">
        <v>147</v>
      </c>
      <c r="Q613">
        <v>149</v>
      </c>
      <c r="R613" s="12" t="str">
        <f t="shared" si="45"/>
        <v>Clear/Few Clouds</v>
      </c>
      <c r="S613" s="14" t="str">
        <f t="shared" si="46"/>
        <v>Winter</v>
      </c>
      <c r="T613" s="15" t="str">
        <f t="shared" si="47"/>
        <v>Friday</v>
      </c>
      <c r="U613" t="str">
        <f t="shared" si="48"/>
        <v>January</v>
      </c>
      <c r="V613" s="16" t="str">
        <f t="shared" si="49"/>
        <v>GOOD</v>
      </c>
    </row>
    <row r="614" spans="1:22" x14ac:dyDescent="0.3">
      <c r="A614">
        <v>613</v>
      </c>
      <c r="B614" s="1">
        <v>40571</v>
      </c>
      <c r="C614">
        <v>1</v>
      </c>
      <c r="D614">
        <v>0</v>
      </c>
      <c r="E614">
        <v>1</v>
      </c>
      <c r="F614">
        <v>18</v>
      </c>
      <c r="G614" t="b">
        <f>IF(COUNTIF(AB$4:AB$20,Append1[[#This Row],[dteday]]) &gt; 0, TRUE, FALSE)</f>
        <v>0</v>
      </c>
      <c r="H614">
        <v>5</v>
      </c>
      <c r="I614">
        <v>1</v>
      </c>
      <c r="J614">
        <v>0.24</v>
      </c>
      <c r="K614">
        <f>Append1[[#This Row],[temp]]*100</f>
        <v>24</v>
      </c>
      <c r="L614">
        <v>0.2273</v>
      </c>
      <c r="M614">
        <v>0.75</v>
      </c>
      <c r="N614">
        <v>0.19400000000000001</v>
      </c>
      <c r="O614">
        <v>2</v>
      </c>
      <c r="P614">
        <v>107</v>
      </c>
      <c r="Q614">
        <v>109</v>
      </c>
      <c r="R614" s="12" t="str">
        <f t="shared" si="45"/>
        <v>Clear/Few Clouds</v>
      </c>
      <c r="S614" s="14" t="str">
        <f t="shared" si="46"/>
        <v>Winter</v>
      </c>
      <c r="T614" s="15" t="str">
        <f t="shared" si="47"/>
        <v>Friday</v>
      </c>
      <c r="U614" t="str">
        <f t="shared" si="48"/>
        <v>January</v>
      </c>
      <c r="V614" s="16" t="str">
        <f t="shared" si="49"/>
        <v>GOOD</v>
      </c>
    </row>
    <row r="615" spans="1:22" x14ac:dyDescent="0.3">
      <c r="A615">
        <v>614</v>
      </c>
      <c r="B615" s="1">
        <v>40571</v>
      </c>
      <c r="C615">
        <v>1</v>
      </c>
      <c r="D615">
        <v>0</v>
      </c>
      <c r="E615">
        <v>1</v>
      </c>
      <c r="F615">
        <v>19</v>
      </c>
      <c r="G615" t="b">
        <f>IF(COUNTIF(AB$4:AB$20,Append1[[#This Row],[dteday]]) &gt; 0, TRUE, FALSE)</f>
        <v>0</v>
      </c>
      <c r="H615">
        <v>5</v>
      </c>
      <c r="I615">
        <v>2</v>
      </c>
      <c r="J615">
        <v>0.24</v>
      </c>
      <c r="K615">
        <f>Append1[[#This Row],[temp]]*100</f>
        <v>24</v>
      </c>
      <c r="L615">
        <v>0.2424</v>
      </c>
      <c r="M615">
        <v>0.75</v>
      </c>
      <c r="N615">
        <v>0.1343</v>
      </c>
      <c r="O615">
        <v>5</v>
      </c>
      <c r="P615">
        <v>84</v>
      </c>
      <c r="Q615">
        <v>89</v>
      </c>
      <c r="R615" s="12" t="str">
        <f t="shared" si="45"/>
        <v>Mist/Cloudy</v>
      </c>
      <c r="S615" s="14" t="str">
        <f t="shared" si="46"/>
        <v>Winter</v>
      </c>
      <c r="T615" s="15" t="str">
        <f t="shared" si="47"/>
        <v>Friday</v>
      </c>
      <c r="U615" t="str">
        <f t="shared" si="48"/>
        <v>January</v>
      </c>
      <c r="V615" s="16" t="str">
        <f t="shared" si="49"/>
        <v>MODERATE</v>
      </c>
    </row>
    <row r="616" spans="1:22" x14ac:dyDescent="0.3">
      <c r="A616">
        <v>615</v>
      </c>
      <c r="B616" s="1">
        <v>40571</v>
      </c>
      <c r="C616">
        <v>1</v>
      </c>
      <c r="D616">
        <v>0</v>
      </c>
      <c r="E616">
        <v>1</v>
      </c>
      <c r="F616">
        <v>20</v>
      </c>
      <c r="G616" t="b">
        <f>IF(COUNTIF(AB$4:AB$20,Append1[[#This Row],[dteday]]) &gt; 0, TRUE, FALSE)</f>
        <v>0</v>
      </c>
      <c r="H616">
        <v>5</v>
      </c>
      <c r="I616">
        <v>2</v>
      </c>
      <c r="J616">
        <v>0.24</v>
      </c>
      <c r="K616">
        <f>Append1[[#This Row],[temp]]*100</f>
        <v>24</v>
      </c>
      <c r="L616">
        <v>0.2273</v>
      </c>
      <c r="M616">
        <v>0.7</v>
      </c>
      <c r="N616">
        <v>0.19400000000000001</v>
      </c>
      <c r="O616">
        <v>1</v>
      </c>
      <c r="P616">
        <v>61</v>
      </c>
      <c r="Q616">
        <v>62</v>
      </c>
      <c r="R616" s="12" t="str">
        <f t="shared" si="45"/>
        <v>Mist/Cloudy</v>
      </c>
      <c r="S616" s="14" t="str">
        <f t="shared" si="46"/>
        <v>Winter</v>
      </c>
      <c r="T616" s="15" t="str">
        <f t="shared" si="47"/>
        <v>Friday</v>
      </c>
      <c r="U616" t="str">
        <f t="shared" si="48"/>
        <v>January</v>
      </c>
      <c r="V616" s="16" t="str">
        <f t="shared" si="49"/>
        <v>MODERATE</v>
      </c>
    </row>
    <row r="617" spans="1:22" x14ac:dyDescent="0.3">
      <c r="A617">
        <v>616</v>
      </c>
      <c r="B617" s="1">
        <v>40571</v>
      </c>
      <c r="C617">
        <v>1</v>
      </c>
      <c r="D617">
        <v>0</v>
      </c>
      <c r="E617">
        <v>1</v>
      </c>
      <c r="F617">
        <v>21</v>
      </c>
      <c r="G617" t="b">
        <f>IF(COUNTIF(AB$4:AB$20,Append1[[#This Row],[dteday]]) &gt; 0, TRUE, FALSE)</f>
        <v>0</v>
      </c>
      <c r="H617">
        <v>5</v>
      </c>
      <c r="I617">
        <v>2</v>
      </c>
      <c r="J617">
        <v>0.22</v>
      </c>
      <c r="K617">
        <f>Append1[[#This Row],[temp]]*100</f>
        <v>22</v>
      </c>
      <c r="L617">
        <v>0.2273</v>
      </c>
      <c r="M617">
        <v>0.75</v>
      </c>
      <c r="N617">
        <v>0.1343</v>
      </c>
      <c r="O617">
        <v>1</v>
      </c>
      <c r="P617">
        <v>57</v>
      </c>
      <c r="Q617">
        <v>58</v>
      </c>
      <c r="R617" s="12" t="str">
        <f t="shared" si="45"/>
        <v>Mist/Cloudy</v>
      </c>
      <c r="S617" s="14" t="str">
        <f t="shared" si="46"/>
        <v>Winter</v>
      </c>
      <c r="T617" s="15" t="str">
        <f t="shared" si="47"/>
        <v>Friday</v>
      </c>
      <c r="U617" t="str">
        <f t="shared" si="48"/>
        <v>January</v>
      </c>
      <c r="V617" s="16" t="str">
        <f t="shared" si="49"/>
        <v>MODERATE</v>
      </c>
    </row>
    <row r="618" spans="1:22" x14ac:dyDescent="0.3">
      <c r="A618">
        <v>617</v>
      </c>
      <c r="B618" s="1">
        <v>40571</v>
      </c>
      <c r="C618">
        <v>1</v>
      </c>
      <c r="D618">
        <v>0</v>
      </c>
      <c r="E618">
        <v>1</v>
      </c>
      <c r="F618">
        <v>22</v>
      </c>
      <c r="G618" t="b">
        <f>IF(COUNTIF(AB$4:AB$20,Append1[[#This Row],[dteday]]) &gt; 0, TRUE, FALSE)</f>
        <v>0</v>
      </c>
      <c r="H618">
        <v>5</v>
      </c>
      <c r="I618">
        <v>1</v>
      </c>
      <c r="J618">
        <v>0.24</v>
      </c>
      <c r="K618">
        <f>Append1[[#This Row],[temp]]*100</f>
        <v>24</v>
      </c>
      <c r="L618">
        <v>0.21210000000000001</v>
      </c>
      <c r="M618">
        <v>0.65</v>
      </c>
      <c r="N618">
        <v>0.35820000000000002</v>
      </c>
      <c r="O618">
        <v>0</v>
      </c>
      <c r="P618">
        <v>26</v>
      </c>
      <c r="Q618">
        <v>26</v>
      </c>
      <c r="R618" s="12" t="str">
        <f t="shared" si="45"/>
        <v>Clear/Few Clouds</v>
      </c>
      <c r="S618" s="14" t="str">
        <f t="shared" si="46"/>
        <v>Winter</v>
      </c>
      <c r="T618" s="15" t="str">
        <f t="shared" si="47"/>
        <v>Friday</v>
      </c>
      <c r="U618" t="str">
        <f t="shared" si="48"/>
        <v>January</v>
      </c>
      <c r="V618" s="16" t="str">
        <f t="shared" si="49"/>
        <v>GOOD</v>
      </c>
    </row>
    <row r="619" spans="1:22" x14ac:dyDescent="0.3">
      <c r="A619">
        <v>618</v>
      </c>
      <c r="B619" s="1">
        <v>40571</v>
      </c>
      <c r="C619">
        <v>1</v>
      </c>
      <c r="D619">
        <v>0</v>
      </c>
      <c r="E619">
        <v>1</v>
      </c>
      <c r="F619">
        <v>23</v>
      </c>
      <c r="G619" t="b">
        <f>IF(COUNTIF(AB$4:AB$20,Append1[[#This Row],[dteday]]) &gt; 0, TRUE, FALSE)</f>
        <v>0</v>
      </c>
      <c r="H619">
        <v>5</v>
      </c>
      <c r="I619">
        <v>1</v>
      </c>
      <c r="J619">
        <v>0.24</v>
      </c>
      <c r="K619">
        <f>Append1[[#This Row],[temp]]*100</f>
        <v>24</v>
      </c>
      <c r="L619">
        <v>0.2273</v>
      </c>
      <c r="M619">
        <v>0.6</v>
      </c>
      <c r="N619">
        <v>0.22389999999999999</v>
      </c>
      <c r="O619">
        <v>1</v>
      </c>
      <c r="P619">
        <v>22</v>
      </c>
      <c r="Q619">
        <v>23</v>
      </c>
      <c r="R619" s="12" t="str">
        <f t="shared" si="45"/>
        <v>Clear/Few Clouds</v>
      </c>
      <c r="S619" s="14" t="str">
        <f t="shared" si="46"/>
        <v>Winter</v>
      </c>
      <c r="T619" s="15" t="str">
        <f t="shared" si="47"/>
        <v>Friday</v>
      </c>
      <c r="U619" t="str">
        <f t="shared" si="48"/>
        <v>January</v>
      </c>
      <c r="V619" s="16" t="str">
        <f t="shared" si="49"/>
        <v>GOOD</v>
      </c>
    </row>
    <row r="620" spans="1:22" x14ac:dyDescent="0.3">
      <c r="A620">
        <v>619</v>
      </c>
      <c r="B620" s="1">
        <v>40572</v>
      </c>
      <c r="C620">
        <v>1</v>
      </c>
      <c r="D620">
        <v>0</v>
      </c>
      <c r="E620">
        <v>1</v>
      </c>
      <c r="F620">
        <v>0</v>
      </c>
      <c r="G620" t="b">
        <f>IF(COUNTIF(AB$4:AB$20,Append1[[#This Row],[dteday]]) &gt; 0, TRUE, FALSE)</f>
        <v>0</v>
      </c>
      <c r="H620">
        <v>6</v>
      </c>
      <c r="I620">
        <v>1</v>
      </c>
      <c r="J620">
        <v>0.22</v>
      </c>
      <c r="K620">
        <f>Append1[[#This Row],[temp]]*100</f>
        <v>22</v>
      </c>
      <c r="L620">
        <v>0.19700000000000001</v>
      </c>
      <c r="M620">
        <v>0.64</v>
      </c>
      <c r="N620">
        <v>0.35820000000000002</v>
      </c>
      <c r="O620">
        <v>2</v>
      </c>
      <c r="P620">
        <v>26</v>
      </c>
      <c r="Q620">
        <v>28</v>
      </c>
      <c r="R620" s="12" t="str">
        <f t="shared" si="45"/>
        <v>Clear/Few Clouds</v>
      </c>
      <c r="S620" s="14" t="str">
        <f t="shared" si="46"/>
        <v>Winter</v>
      </c>
      <c r="T620" s="15" t="str">
        <f t="shared" si="47"/>
        <v>Saturday</v>
      </c>
      <c r="U620" t="str">
        <f t="shared" si="48"/>
        <v>January</v>
      </c>
      <c r="V620" s="16" t="str">
        <f t="shared" si="49"/>
        <v>GOOD</v>
      </c>
    </row>
    <row r="621" spans="1:22" x14ac:dyDescent="0.3">
      <c r="A621">
        <v>620</v>
      </c>
      <c r="B621" s="1">
        <v>40572</v>
      </c>
      <c r="C621">
        <v>1</v>
      </c>
      <c r="D621">
        <v>0</v>
      </c>
      <c r="E621">
        <v>1</v>
      </c>
      <c r="F621">
        <v>1</v>
      </c>
      <c r="G621" t="b">
        <f>IF(COUNTIF(AB$4:AB$20,Append1[[#This Row],[dteday]]) &gt; 0, TRUE, FALSE)</f>
        <v>0</v>
      </c>
      <c r="H621">
        <v>6</v>
      </c>
      <c r="I621">
        <v>1</v>
      </c>
      <c r="J621">
        <v>0.22</v>
      </c>
      <c r="K621">
        <f>Append1[[#This Row],[temp]]*100</f>
        <v>22</v>
      </c>
      <c r="L621">
        <v>0.2273</v>
      </c>
      <c r="M621">
        <v>0.64</v>
      </c>
      <c r="N621">
        <v>0.19400000000000001</v>
      </c>
      <c r="O621">
        <v>0</v>
      </c>
      <c r="P621">
        <v>20</v>
      </c>
      <c r="Q621">
        <v>20</v>
      </c>
      <c r="R621" s="12" t="str">
        <f t="shared" si="45"/>
        <v>Clear/Few Clouds</v>
      </c>
      <c r="S621" s="14" t="str">
        <f t="shared" si="46"/>
        <v>Winter</v>
      </c>
      <c r="T621" s="15" t="str">
        <f t="shared" si="47"/>
        <v>Saturday</v>
      </c>
      <c r="U621" t="str">
        <f t="shared" si="48"/>
        <v>January</v>
      </c>
      <c r="V621" s="16" t="str">
        <f t="shared" si="49"/>
        <v>GOOD</v>
      </c>
    </row>
    <row r="622" spans="1:22" x14ac:dyDescent="0.3">
      <c r="A622">
        <v>621</v>
      </c>
      <c r="B622" s="1">
        <v>40572</v>
      </c>
      <c r="C622">
        <v>1</v>
      </c>
      <c r="D622">
        <v>0</v>
      </c>
      <c r="E622">
        <v>1</v>
      </c>
      <c r="F622">
        <v>2</v>
      </c>
      <c r="G622" t="b">
        <f>IF(COUNTIF(AB$4:AB$20,Append1[[#This Row],[dteday]]) &gt; 0, TRUE, FALSE)</f>
        <v>0</v>
      </c>
      <c r="H622">
        <v>6</v>
      </c>
      <c r="I622">
        <v>1</v>
      </c>
      <c r="J622">
        <v>0.22</v>
      </c>
      <c r="K622">
        <f>Append1[[#This Row],[temp]]*100</f>
        <v>22</v>
      </c>
      <c r="L622">
        <v>0.2273</v>
      </c>
      <c r="M622">
        <v>0.64</v>
      </c>
      <c r="N622">
        <v>0.16420000000000001</v>
      </c>
      <c r="O622">
        <v>0</v>
      </c>
      <c r="P622">
        <v>15</v>
      </c>
      <c r="Q622">
        <v>15</v>
      </c>
      <c r="R622" s="12" t="str">
        <f t="shared" si="45"/>
        <v>Clear/Few Clouds</v>
      </c>
      <c r="S622" s="14" t="str">
        <f t="shared" si="46"/>
        <v>Winter</v>
      </c>
      <c r="T622" s="15" t="str">
        <f t="shared" si="47"/>
        <v>Saturday</v>
      </c>
      <c r="U622" t="str">
        <f t="shared" si="48"/>
        <v>January</v>
      </c>
      <c r="V622" s="16" t="str">
        <f t="shared" si="49"/>
        <v>GOOD</v>
      </c>
    </row>
    <row r="623" spans="1:22" x14ac:dyDescent="0.3">
      <c r="A623">
        <v>622</v>
      </c>
      <c r="B623" s="1">
        <v>40572</v>
      </c>
      <c r="C623">
        <v>1</v>
      </c>
      <c r="D623">
        <v>0</v>
      </c>
      <c r="E623">
        <v>1</v>
      </c>
      <c r="F623">
        <v>3</v>
      </c>
      <c r="G623" t="b">
        <f>IF(COUNTIF(AB$4:AB$20,Append1[[#This Row],[dteday]]) &gt; 0, TRUE, FALSE)</f>
        <v>0</v>
      </c>
      <c r="H623">
        <v>6</v>
      </c>
      <c r="I623">
        <v>1</v>
      </c>
      <c r="J623">
        <v>0.2</v>
      </c>
      <c r="K623">
        <f>Append1[[#This Row],[temp]]*100</f>
        <v>20</v>
      </c>
      <c r="L623">
        <v>0.21210000000000001</v>
      </c>
      <c r="M623">
        <v>0.64</v>
      </c>
      <c r="N623">
        <v>0.1343</v>
      </c>
      <c r="O623">
        <v>3</v>
      </c>
      <c r="P623">
        <v>5</v>
      </c>
      <c r="Q623">
        <v>8</v>
      </c>
      <c r="R623" s="12" t="str">
        <f t="shared" si="45"/>
        <v>Clear/Few Clouds</v>
      </c>
      <c r="S623" s="14" t="str">
        <f t="shared" si="46"/>
        <v>Winter</v>
      </c>
      <c r="T623" s="15" t="str">
        <f t="shared" si="47"/>
        <v>Saturday</v>
      </c>
      <c r="U623" t="str">
        <f t="shared" si="48"/>
        <v>January</v>
      </c>
      <c r="V623" s="16" t="str">
        <f t="shared" si="49"/>
        <v>GOOD</v>
      </c>
    </row>
    <row r="624" spans="1:22" x14ac:dyDescent="0.3">
      <c r="A624">
        <v>623</v>
      </c>
      <c r="B624" s="1">
        <v>40572</v>
      </c>
      <c r="C624">
        <v>1</v>
      </c>
      <c r="D624">
        <v>0</v>
      </c>
      <c r="E624">
        <v>1</v>
      </c>
      <c r="F624">
        <v>4</v>
      </c>
      <c r="G624" t="b">
        <f>IF(COUNTIF(AB$4:AB$20,Append1[[#This Row],[dteday]]) &gt; 0, TRUE, FALSE)</f>
        <v>0</v>
      </c>
      <c r="H624">
        <v>6</v>
      </c>
      <c r="I624">
        <v>1</v>
      </c>
      <c r="J624">
        <v>0.16</v>
      </c>
      <c r="K624">
        <f>Append1[[#This Row],[temp]]*100</f>
        <v>16</v>
      </c>
      <c r="L624">
        <v>0.18179999999999999</v>
      </c>
      <c r="M624">
        <v>0.69</v>
      </c>
      <c r="N624">
        <v>0.1045</v>
      </c>
      <c r="O624">
        <v>1</v>
      </c>
      <c r="P624">
        <v>2</v>
      </c>
      <c r="Q624">
        <v>3</v>
      </c>
      <c r="R624" s="12" t="str">
        <f t="shared" si="45"/>
        <v>Clear/Few Clouds</v>
      </c>
      <c r="S624" s="14" t="str">
        <f t="shared" si="46"/>
        <v>Winter</v>
      </c>
      <c r="T624" s="15" t="str">
        <f t="shared" si="47"/>
        <v>Saturday</v>
      </c>
      <c r="U624" t="str">
        <f t="shared" si="48"/>
        <v>January</v>
      </c>
      <c r="V624" s="16" t="str">
        <f t="shared" si="49"/>
        <v>GOOD</v>
      </c>
    </row>
    <row r="625" spans="1:22" x14ac:dyDescent="0.3">
      <c r="A625">
        <v>624</v>
      </c>
      <c r="B625" s="1">
        <v>40572</v>
      </c>
      <c r="C625">
        <v>1</v>
      </c>
      <c r="D625">
        <v>0</v>
      </c>
      <c r="E625">
        <v>1</v>
      </c>
      <c r="F625">
        <v>6</v>
      </c>
      <c r="G625" t="b">
        <f>IF(COUNTIF(AB$4:AB$20,Append1[[#This Row],[dteday]]) &gt; 0, TRUE, FALSE)</f>
        <v>0</v>
      </c>
      <c r="H625">
        <v>6</v>
      </c>
      <c r="I625">
        <v>1</v>
      </c>
      <c r="J625">
        <v>0.16</v>
      </c>
      <c r="K625">
        <f>Append1[[#This Row],[temp]]*100</f>
        <v>16</v>
      </c>
      <c r="L625">
        <v>0.18179999999999999</v>
      </c>
      <c r="M625">
        <v>0.64</v>
      </c>
      <c r="N625">
        <v>0.1343</v>
      </c>
      <c r="O625">
        <v>0</v>
      </c>
      <c r="P625">
        <v>2</v>
      </c>
      <c r="Q625">
        <v>2</v>
      </c>
      <c r="R625" s="12" t="str">
        <f t="shared" si="45"/>
        <v>Clear/Few Clouds</v>
      </c>
      <c r="S625" s="14" t="str">
        <f t="shared" si="46"/>
        <v>Winter</v>
      </c>
      <c r="T625" s="15" t="str">
        <f t="shared" si="47"/>
        <v>Saturday</v>
      </c>
      <c r="U625" t="str">
        <f t="shared" si="48"/>
        <v>January</v>
      </c>
      <c r="V625" s="16" t="str">
        <f t="shared" si="49"/>
        <v>GOOD</v>
      </c>
    </row>
    <row r="626" spans="1:22" x14ac:dyDescent="0.3">
      <c r="A626">
        <v>625</v>
      </c>
      <c r="B626" s="1">
        <v>40572</v>
      </c>
      <c r="C626">
        <v>1</v>
      </c>
      <c r="D626">
        <v>0</v>
      </c>
      <c r="E626">
        <v>1</v>
      </c>
      <c r="F626">
        <v>7</v>
      </c>
      <c r="G626" t="b">
        <f>IF(COUNTIF(AB$4:AB$20,Append1[[#This Row],[dteday]]) &gt; 0, TRUE, FALSE)</f>
        <v>0</v>
      </c>
      <c r="H626">
        <v>6</v>
      </c>
      <c r="I626">
        <v>1</v>
      </c>
      <c r="J626">
        <v>0.16</v>
      </c>
      <c r="K626">
        <f>Append1[[#This Row],[temp]]*100</f>
        <v>16</v>
      </c>
      <c r="L626">
        <v>0.18179999999999999</v>
      </c>
      <c r="M626">
        <v>0.59</v>
      </c>
      <c r="N626">
        <v>0.1045</v>
      </c>
      <c r="O626">
        <v>1</v>
      </c>
      <c r="P626">
        <v>4</v>
      </c>
      <c r="Q626">
        <v>5</v>
      </c>
      <c r="R626" s="12" t="str">
        <f t="shared" si="45"/>
        <v>Clear/Few Clouds</v>
      </c>
      <c r="S626" s="14" t="str">
        <f t="shared" si="46"/>
        <v>Winter</v>
      </c>
      <c r="T626" s="15" t="str">
        <f t="shared" si="47"/>
        <v>Saturday</v>
      </c>
      <c r="U626" t="str">
        <f t="shared" si="48"/>
        <v>January</v>
      </c>
      <c r="V626" s="16" t="str">
        <f t="shared" si="49"/>
        <v>GOOD</v>
      </c>
    </row>
    <row r="627" spans="1:22" x14ac:dyDescent="0.3">
      <c r="A627">
        <v>626</v>
      </c>
      <c r="B627" s="1">
        <v>40572</v>
      </c>
      <c r="C627">
        <v>1</v>
      </c>
      <c r="D627">
        <v>0</v>
      </c>
      <c r="E627">
        <v>1</v>
      </c>
      <c r="F627">
        <v>8</v>
      </c>
      <c r="G627" t="b">
        <f>IF(COUNTIF(AB$4:AB$20,Append1[[#This Row],[dteday]]) &gt; 0, TRUE, FALSE)</f>
        <v>0</v>
      </c>
      <c r="H627">
        <v>6</v>
      </c>
      <c r="I627">
        <v>1</v>
      </c>
      <c r="J627">
        <v>0.18</v>
      </c>
      <c r="K627">
        <f>Append1[[#This Row],[temp]]*100</f>
        <v>18</v>
      </c>
      <c r="L627">
        <v>0.19700000000000001</v>
      </c>
      <c r="M627">
        <v>0.55000000000000004</v>
      </c>
      <c r="N627">
        <v>0.16420000000000001</v>
      </c>
      <c r="O627">
        <v>3</v>
      </c>
      <c r="P627">
        <v>31</v>
      </c>
      <c r="Q627">
        <v>34</v>
      </c>
      <c r="R627" s="12" t="str">
        <f t="shared" si="45"/>
        <v>Clear/Few Clouds</v>
      </c>
      <c r="S627" s="14" t="str">
        <f t="shared" si="46"/>
        <v>Winter</v>
      </c>
      <c r="T627" s="15" t="str">
        <f t="shared" si="47"/>
        <v>Saturday</v>
      </c>
      <c r="U627" t="str">
        <f t="shared" si="48"/>
        <v>January</v>
      </c>
      <c r="V627" s="16" t="str">
        <f t="shared" si="49"/>
        <v>GOOD</v>
      </c>
    </row>
    <row r="628" spans="1:22" x14ac:dyDescent="0.3">
      <c r="A628">
        <v>627</v>
      </c>
      <c r="B628" s="1">
        <v>40572</v>
      </c>
      <c r="C628">
        <v>1</v>
      </c>
      <c r="D628">
        <v>0</v>
      </c>
      <c r="E628">
        <v>1</v>
      </c>
      <c r="F628">
        <v>9</v>
      </c>
      <c r="G628" t="b">
        <f>IF(COUNTIF(AB$4:AB$20,Append1[[#This Row],[dteday]]) &gt; 0, TRUE, FALSE)</f>
        <v>0</v>
      </c>
      <c r="H628">
        <v>6</v>
      </c>
      <c r="I628">
        <v>1</v>
      </c>
      <c r="J628">
        <v>0.18</v>
      </c>
      <c r="K628">
        <f>Append1[[#This Row],[temp]]*100</f>
        <v>18</v>
      </c>
      <c r="L628">
        <v>0.21210000000000001</v>
      </c>
      <c r="M628">
        <v>0.59</v>
      </c>
      <c r="N628">
        <v>8.9599999999999999E-2</v>
      </c>
      <c r="O628">
        <v>0</v>
      </c>
      <c r="P628">
        <v>34</v>
      </c>
      <c r="Q628">
        <v>34</v>
      </c>
      <c r="R628" s="12" t="str">
        <f t="shared" si="45"/>
        <v>Clear/Few Clouds</v>
      </c>
      <c r="S628" s="14" t="str">
        <f t="shared" si="46"/>
        <v>Winter</v>
      </c>
      <c r="T628" s="15" t="str">
        <f t="shared" si="47"/>
        <v>Saturday</v>
      </c>
      <c r="U628" t="str">
        <f t="shared" si="48"/>
        <v>January</v>
      </c>
      <c r="V628" s="16" t="str">
        <f t="shared" si="49"/>
        <v>GOOD</v>
      </c>
    </row>
    <row r="629" spans="1:22" x14ac:dyDescent="0.3">
      <c r="A629">
        <v>628</v>
      </c>
      <c r="B629" s="1">
        <v>40572</v>
      </c>
      <c r="C629">
        <v>1</v>
      </c>
      <c r="D629">
        <v>0</v>
      </c>
      <c r="E629">
        <v>1</v>
      </c>
      <c r="F629">
        <v>10</v>
      </c>
      <c r="G629" t="b">
        <f>IF(COUNTIF(AB$4:AB$20,Append1[[#This Row],[dteday]]) &gt; 0, TRUE, FALSE)</f>
        <v>0</v>
      </c>
      <c r="H629">
        <v>6</v>
      </c>
      <c r="I629">
        <v>2</v>
      </c>
      <c r="J629">
        <v>0.18</v>
      </c>
      <c r="K629">
        <f>Append1[[#This Row],[temp]]*100</f>
        <v>18</v>
      </c>
      <c r="L629">
        <v>0.21210000000000001</v>
      </c>
      <c r="M629">
        <v>0.64</v>
      </c>
      <c r="N629">
        <v>0.1045</v>
      </c>
      <c r="O629">
        <v>4</v>
      </c>
      <c r="P629">
        <v>51</v>
      </c>
      <c r="Q629">
        <v>55</v>
      </c>
      <c r="R629" s="12" t="str">
        <f t="shared" si="45"/>
        <v>Mist/Cloudy</v>
      </c>
      <c r="S629" s="14" t="str">
        <f t="shared" si="46"/>
        <v>Winter</v>
      </c>
      <c r="T629" s="15" t="str">
        <f t="shared" si="47"/>
        <v>Saturday</v>
      </c>
      <c r="U629" t="str">
        <f t="shared" si="48"/>
        <v>January</v>
      </c>
      <c r="V629" s="16" t="str">
        <f t="shared" si="49"/>
        <v>MODERATE</v>
      </c>
    </row>
    <row r="630" spans="1:22" x14ac:dyDescent="0.3">
      <c r="A630">
        <v>629</v>
      </c>
      <c r="B630" s="1">
        <v>40572</v>
      </c>
      <c r="C630">
        <v>1</v>
      </c>
      <c r="D630">
        <v>0</v>
      </c>
      <c r="E630">
        <v>1</v>
      </c>
      <c r="F630">
        <v>11</v>
      </c>
      <c r="G630" t="b">
        <f>IF(COUNTIF(AB$4:AB$20,Append1[[#This Row],[dteday]]) &gt; 0, TRUE, FALSE)</f>
        <v>0</v>
      </c>
      <c r="H630">
        <v>6</v>
      </c>
      <c r="I630">
        <v>2</v>
      </c>
      <c r="J630">
        <v>0.18</v>
      </c>
      <c r="K630">
        <f>Append1[[#This Row],[temp]]*100</f>
        <v>18</v>
      </c>
      <c r="L630">
        <v>0.19700000000000001</v>
      </c>
      <c r="M630">
        <v>0.64</v>
      </c>
      <c r="N630">
        <v>0.1343</v>
      </c>
      <c r="O630">
        <v>4</v>
      </c>
      <c r="P630">
        <v>60</v>
      </c>
      <c r="Q630">
        <v>64</v>
      </c>
      <c r="R630" s="12" t="str">
        <f t="shared" si="45"/>
        <v>Mist/Cloudy</v>
      </c>
      <c r="S630" s="14" t="str">
        <f t="shared" si="46"/>
        <v>Winter</v>
      </c>
      <c r="T630" s="15" t="str">
        <f t="shared" si="47"/>
        <v>Saturday</v>
      </c>
      <c r="U630" t="str">
        <f t="shared" si="48"/>
        <v>January</v>
      </c>
      <c r="V630" s="16" t="str">
        <f t="shared" si="49"/>
        <v>MODERATE</v>
      </c>
    </row>
    <row r="631" spans="1:22" x14ac:dyDescent="0.3">
      <c r="A631">
        <v>630</v>
      </c>
      <c r="B631" s="1">
        <v>40572</v>
      </c>
      <c r="C631">
        <v>1</v>
      </c>
      <c r="D631">
        <v>0</v>
      </c>
      <c r="E631">
        <v>1</v>
      </c>
      <c r="F631">
        <v>12</v>
      </c>
      <c r="G631" t="b">
        <f>IF(COUNTIF(AB$4:AB$20,Append1[[#This Row],[dteday]]) &gt; 0, TRUE, FALSE)</f>
        <v>0</v>
      </c>
      <c r="H631">
        <v>6</v>
      </c>
      <c r="I631">
        <v>2</v>
      </c>
      <c r="J631">
        <v>0.2</v>
      </c>
      <c r="K631">
        <f>Append1[[#This Row],[temp]]*100</f>
        <v>20</v>
      </c>
      <c r="L631">
        <v>0.19700000000000001</v>
      </c>
      <c r="M631">
        <v>0.59</v>
      </c>
      <c r="N631">
        <v>0.19400000000000001</v>
      </c>
      <c r="O631">
        <v>12</v>
      </c>
      <c r="P631">
        <v>66</v>
      </c>
      <c r="Q631">
        <v>78</v>
      </c>
      <c r="R631" s="12" t="str">
        <f t="shared" si="45"/>
        <v>Mist/Cloudy</v>
      </c>
      <c r="S631" s="14" t="str">
        <f t="shared" si="46"/>
        <v>Winter</v>
      </c>
      <c r="T631" s="15" t="str">
        <f t="shared" si="47"/>
        <v>Saturday</v>
      </c>
      <c r="U631" t="str">
        <f t="shared" si="48"/>
        <v>January</v>
      </c>
      <c r="V631" s="16" t="str">
        <f t="shared" si="49"/>
        <v>MODERATE</v>
      </c>
    </row>
    <row r="632" spans="1:22" x14ac:dyDescent="0.3">
      <c r="A632">
        <v>631</v>
      </c>
      <c r="B632" s="1">
        <v>40572</v>
      </c>
      <c r="C632">
        <v>1</v>
      </c>
      <c r="D632">
        <v>0</v>
      </c>
      <c r="E632">
        <v>1</v>
      </c>
      <c r="F632">
        <v>13</v>
      </c>
      <c r="G632" t="b">
        <f>IF(COUNTIF(AB$4:AB$20,Append1[[#This Row],[dteday]]) &gt; 0, TRUE, FALSE)</f>
        <v>0</v>
      </c>
      <c r="H632">
        <v>6</v>
      </c>
      <c r="I632">
        <v>2</v>
      </c>
      <c r="J632">
        <v>0.22</v>
      </c>
      <c r="K632">
        <f>Append1[[#This Row],[temp]]*100</f>
        <v>22</v>
      </c>
      <c r="L632">
        <v>0.2273</v>
      </c>
      <c r="M632">
        <v>0.55000000000000004</v>
      </c>
      <c r="N632">
        <v>0.16420000000000001</v>
      </c>
      <c r="O632">
        <v>9</v>
      </c>
      <c r="P632">
        <v>56</v>
      </c>
      <c r="Q632">
        <v>65</v>
      </c>
      <c r="R632" s="12" t="str">
        <f t="shared" si="45"/>
        <v>Mist/Cloudy</v>
      </c>
      <c r="S632" s="14" t="str">
        <f t="shared" si="46"/>
        <v>Winter</v>
      </c>
      <c r="T632" s="15" t="str">
        <f t="shared" si="47"/>
        <v>Saturday</v>
      </c>
      <c r="U632" t="str">
        <f t="shared" si="48"/>
        <v>January</v>
      </c>
      <c r="V632" s="16" t="str">
        <f t="shared" si="49"/>
        <v>MODERATE</v>
      </c>
    </row>
    <row r="633" spans="1:22" x14ac:dyDescent="0.3">
      <c r="A633">
        <v>632</v>
      </c>
      <c r="B633" s="1">
        <v>40572</v>
      </c>
      <c r="C633">
        <v>1</v>
      </c>
      <c r="D633">
        <v>0</v>
      </c>
      <c r="E633">
        <v>1</v>
      </c>
      <c r="F633">
        <v>14</v>
      </c>
      <c r="G633" t="b">
        <f>IF(COUNTIF(AB$4:AB$20,Append1[[#This Row],[dteday]]) &gt; 0, TRUE, FALSE)</f>
        <v>0</v>
      </c>
      <c r="H633">
        <v>6</v>
      </c>
      <c r="I633">
        <v>2</v>
      </c>
      <c r="J633">
        <v>0.22</v>
      </c>
      <c r="K633">
        <f>Append1[[#This Row],[temp]]*100</f>
        <v>22</v>
      </c>
      <c r="L633">
        <v>0.2273</v>
      </c>
      <c r="M633">
        <v>0.6</v>
      </c>
      <c r="N633">
        <v>0.1343</v>
      </c>
      <c r="O633">
        <v>10</v>
      </c>
      <c r="P633">
        <v>89</v>
      </c>
      <c r="Q633">
        <v>99</v>
      </c>
      <c r="R633" s="12" t="str">
        <f t="shared" si="45"/>
        <v>Mist/Cloudy</v>
      </c>
      <c r="S633" s="14" t="str">
        <f t="shared" si="46"/>
        <v>Winter</v>
      </c>
      <c r="T633" s="15" t="str">
        <f t="shared" si="47"/>
        <v>Saturday</v>
      </c>
      <c r="U633" t="str">
        <f t="shared" si="48"/>
        <v>January</v>
      </c>
      <c r="V633" s="16" t="str">
        <f t="shared" si="49"/>
        <v>MODERATE</v>
      </c>
    </row>
    <row r="634" spans="1:22" x14ac:dyDescent="0.3">
      <c r="A634">
        <v>633</v>
      </c>
      <c r="B634" s="1">
        <v>40572</v>
      </c>
      <c r="C634">
        <v>1</v>
      </c>
      <c r="D634">
        <v>0</v>
      </c>
      <c r="E634">
        <v>1</v>
      </c>
      <c r="F634">
        <v>15</v>
      </c>
      <c r="G634" t="b">
        <f>IF(COUNTIF(AB$4:AB$20,Append1[[#This Row],[dteday]]) &gt; 0, TRUE, FALSE)</f>
        <v>0</v>
      </c>
      <c r="H634">
        <v>6</v>
      </c>
      <c r="I634">
        <v>1</v>
      </c>
      <c r="J634">
        <v>0.22</v>
      </c>
      <c r="K634">
        <f>Append1[[#This Row],[temp]]*100</f>
        <v>22</v>
      </c>
      <c r="L634">
        <v>0.21210000000000001</v>
      </c>
      <c r="M634">
        <v>0.69</v>
      </c>
      <c r="N634">
        <v>0.25369999999999998</v>
      </c>
      <c r="O634">
        <v>22</v>
      </c>
      <c r="P634">
        <v>98</v>
      </c>
      <c r="Q634">
        <v>120</v>
      </c>
      <c r="R634" s="12" t="str">
        <f t="shared" si="45"/>
        <v>Clear/Few Clouds</v>
      </c>
      <c r="S634" s="14" t="str">
        <f t="shared" si="46"/>
        <v>Winter</v>
      </c>
      <c r="T634" s="15" t="str">
        <f t="shared" si="47"/>
        <v>Saturday</v>
      </c>
      <c r="U634" t="str">
        <f t="shared" si="48"/>
        <v>January</v>
      </c>
      <c r="V634" s="16" t="str">
        <f t="shared" si="49"/>
        <v>GOOD</v>
      </c>
    </row>
    <row r="635" spans="1:22" x14ac:dyDescent="0.3">
      <c r="A635">
        <v>634</v>
      </c>
      <c r="B635" s="1">
        <v>40572</v>
      </c>
      <c r="C635">
        <v>1</v>
      </c>
      <c r="D635">
        <v>0</v>
      </c>
      <c r="E635">
        <v>1</v>
      </c>
      <c r="F635">
        <v>16</v>
      </c>
      <c r="G635" t="b">
        <f>IF(COUNTIF(AB$4:AB$20,Append1[[#This Row],[dteday]]) &gt; 0, TRUE, FALSE)</f>
        <v>0</v>
      </c>
      <c r="H635">
        <v>6</v>
      </c>
      <c r="I635">
        <v>1</v>
      </c>
      <c r="J635">
        <v>0.24</v>
      </c>
      <c r="K635">
        <f>Append1[[#This Row],[temp]]*100</f>
        <v>24</v>
      </c>
      <c r="L635">
        <v>0.2424</v>
      </c>
      <c r="M635">
        <v>0.6</v>
      </c>
      <c r="N635">
        <v>0.16420000000000001</v>
      </c>
      <c r="O635">
        <v>19</v>
      </c>
      <c r="P635">
        <v>88</v>
      </c>
      <c r="Q635">
        <v>107</v>
      </c>
      <c r="R635" s="12" t="str">
        <f t="shared" si="45"/>
        <v>Clear/Few Clouds</v>
      </c>
      <c r="S635" s="14" t="str">
        <f t="shared" si="46"/>
        <v>Winter</v>
      </c>
      <c r="T635" s="15" t="str">
        <f t="shared" si="47"/>
        <v>Saturday</v>
      </c>
      <c r="U635" t="str">
        <f t="shared" si="48"/>
        <v>January</v>
      </c>
      <c r="V635" s="16" t="str">
        <f t="shared" si="49"/>
        <v>GOOD</v>
      </c>
    </row>
    <row r="636" spans="1:22" x14ac:dyDescent="0.3">
      <c r="A636">
        <v>635</v>
      </c>
      <c r="B636" s="1">
        <v>40572</v>
      </c>
      <c r="C636">
        <v>1</v>
      </c>
      <c r="D636">
        <v>0</v>
      </c>
      <c r="E636">
        <v>1</v>
      </c>
      <c r="F636">
        <v>17</v>
      </c>
      <c r="G636" t="b">
        <f>IF(COUNTIF(AB$4:AB$20,Append1[[#This Row],[dteday]]) &gt; 0, TRUE, FALSE)</f>
        <v>0</v>
      </c>
      <c r="H636">
        <v>6</v>
      </c>
      <c r="I636">
        <v>1</v>
      </c>
      <c r="J636">
        <v>0.24</v>
      </c>
      <c r="K636">
        <f>Append1[[#This Row],[temp]]*100</f>
        <v>24</v>
      </c>
      <c r="L636">
        <v>0.28789999999999999</v>
      </c>
      <c r="M636">
        <v>0.6</v>
      </c>
      <c r="N636">
        <v>0</v>
      </c>
      <c r="O636">
        <v>9</v>
      </c>
      <c r="P636">
        <v>82</v>
      </c>
      <c r="Q636">
        <v>91</v>
      </c>
      <c r="R636" s="12" t="str">
        <f t="shared" si="45"/>
        <v>Clear/Few Clouds</v>
      </c>
      <c r="S636" s="14" t="str">
        <f t="shared" si="46"/>
        <v>Winter</v>
      </c>
      <c r="T636" s="15" t="str">
        <f t="shared" si="47"/>
        <v>Saturday</v>
      </c>
      <c r="U636" t="str">
        <f t="shared" si="48"/>
        <v>January</v>
      </c>
      <c r="V636" s="16" t="str">
        <f t="shared" si="49"/>
        <v>GOOD</v>
      </c>
    </row>
    <row r="637" spans="1:22" x14ac:dyDescent="0.3">
      <c r="A637">
        <v>636</v>
      </c>
      <c r="B637" s="1">
        <v>40572</v>
      </c>
      <c r="C637">
        <v>1</v>
      </c>
      <c r="D637">
        <v>0</v>
      </c>
      <c r="E637">
        <v>1</v>
      </c>
      <c r="F637">
        <v>18</v>
      </c>
      <c r="G637" t="b">
        <f>IF(COUNTIF(AB$4:AB$20,Append1[[#This Row],[dteday]]) &gt; 0, TRUE, FALSE)</f>
        <v>0</v>
      </c>
      <c r="H637">
        <v>6</v>
      </c>
      <c r="I637">
        <v>1</v>
      </c>
      <c r="J637">
        <v>0.22</v>
      </c>
      <c r="K637">
        <f>Append1[[#This Row],[temp]]*100</f>
        <v>22</v>
      </c>
      <c r="L637">
        <v>0.2273</v>
      </c>
      <c r="M637">
        <v>0.69</v>
      </c>
      <c r="N637">
        <v>0.1343</v>
      </c>
      <c r="O637">
        <v>9</v>
      </c>
      <c r="P637">
        <v>59</v>
      </c>
      <c r="Q637">
        <v>68</v>
      </c>
      <c r="R637" s="12" t="str">
        <f t="shared" si="45"/>
        <v>Clear/Few Clouds</v>
      </c>
      <c r="S637" s="14" t="str">
        <f t="shared" si="46"/>
        <v>Winter</v>
      </c>
      <c r="T637" s="15" t="str">
        <f t="shared" si="47"/>
        <v>Saturday</v>
      </c>
      <c r="U637" t="str">
        <f t="shared" si="48"/>
        <v>January</v>
      </c>
      <c r="V637" s="16" t="str">
        <f t="shared" si="49"/>
        <v>GOOD</v>
      </c>
    </row>
    <row r="638" spans="1:22" x14ac:dyDescent="0.3">
      <c r="A638">
        <v>637</v>
      </c>
      <c r="B638" s="1">
        <v>40572</v>
      </c>
      <c r="C638">
        <v>1</v>
      </c>
      <c r="D638">
        <v>0</v>
      </c>
      <c r="E638">
        <v>1</v>
      </c>
      <c r="F638">
        <v>19</v>
      </c>
      <c r="G638" t="b">
        <f>IF(COUNTIF(AB$4:AB$20,Append1[[#This Row],[dteday]]) &gt; 0, TRUE, FALSE)</f>
        <v>0</v>
      </c>
      <c r="H638">
        <v>6</v>
      </c>
      <c r="I638">
        <v>2</v>
      </c>
      <c r="J638">
        <v>0.22</v>
      </c>
      <c r="K638">
        <f>Append1[[#This Row],[temp]]*100</f>
        <v>22</v>
      </c>
      <c r="L638">
        <v>0.21210000000000001</v>
      </c>
      <c r="M638">
        <v>0.69</v>
      </c>
      <c r="N638">
        <v>0.25369999999999998</v>
      </c>
      <c r="O638">
        <v>6</v>
      </c>
      <c r="P638">
        <v>52</v>
      </c>
      <c r="Q638">
        <v>58</v>
      </c>
      <c r="R638" s="12" t="str">
        <f t="shared" si="45"/>
        <v>Mist/Cloudy</v>
      </c>
      <c r="S638" s="14" t="str">
        <f t="shared" si="46"/>
        <v>Winter</v>
      </c>
      <c r="T638" s="15" t="str">
        <f t="shared" si="47"/>
        <v>Saturday</v>
      </c>
      <c r="U638" t="str">
        <f t="shared" si="48"/>
        <v>January</v>
      </c>
      <c r="V638" s="16" t="str">
        <f t="shared" si="49"/>
        <v>MODERATE</v>
      </c>
    </row>
    <row r="639" spans="1:22" x14ac:dyDescent="0.3">
      <c r="A639">
        <v>638</v>
      </c>
      <c r="B639" s="1">
        <v>40572</v>
      </c>
      <c r="C639">
        <v>1</v>
      </c>
      <c r="D639">
        <v>0</v>
      </c>
      <c r="E639">
        <v>1</v>
      </c>
      <c r="F639">
        <v>20</v>
      </c>
      <c r="G639" t="b">
        <f>IF(COUNTIF(AB$4:AB$20,Append1[[#This Row],[dteday]]) &gt; 0, TRUE, FALSE)</f>
        <v>0</v>
      </c>
      <c r="H639">
        <v>6</v>
      </c>
      <c r="I639">
        <v>1</v>
      </c>
      <c r="J639">
        <v>0.18</v>
      </c>
      <c r="K639">
        <f>Append1[[#This Row],[temp]]*100</f>
        <v>18</v>
      </c>
      <c r="L639">
        <v>0.21210000000000001</v>
      </c>
      <c r="M639">
        <v>0.74</v>
      </c>
      <c r="N639">
        <v>8.9599999999999999E-2</v>
      </c>
      <c r="O639">
        <v>1</v>
      </c>
      <c r="P639">
        <v>42</v>
      </c>
      <c r="Q639">
        <v>43</v>
      </c>
      <c r="R639" s="12" t="str">
        <f t="shared" si="45"/>
        <v>Clear/Few Clouds</v>
      </c>
      <c r="S639" s="14" t="str">
        <f t="shared" si="46"/>
        <v>Winter</v>
      </c>
      <c r="T639" s="15" t="str">
        <f t="shared" si="47"/>
        <v>Saturday</v>
      </c>
      <c r="U639" t="str">
        <f t="shared" si="48"/>
        <v>January</v>
      </c>
      <c r="V639" s="16" t="str">
        <f t="shared" si="49"/>
        <v>GOOD</v>
      </c>
    </row>
    <row r="640" spans="1:22" x14ac:dyDescent="0.3">
      <c r="A640">
        <v>639</v>
      </c>
      <c r="B640" s="1">
        <v>40572</v>
      </c>
      <c r="C640">
        <v>1</v>
      </c>
      <c r="D640">
        <v>0</v>
      </c>
      <c r="E640">
        <v>1</v>
      </c>
      <c r="F640">
        <v>21</v>
      </c>
      <c r="G640" t="b">
        <f>IF(COUNTIF(AB$4:AB$20,Append1[[#This Row],[dteday]]) &gt; 0, TRUE, FALSE)</f>
        <v>0</v>
      </c>
      <c r="H640">
        <v>6</v>
      </c>
      <c r="I640">
        <v>1</v>
      </c>
      <c r="J640">
        <v>0.18</v>
      </c>
      <c r="K640">
        <f>Append1[[#This Row],[temp]]*100</f>
        <v>18</v>
      </c>
      <c r="L640">
        <v>0.21210000000000001</v>
      </c>
      <c r="M640">
        <v>0.74</v>
      </c>
      <c r="N640">
        <v>8.9599999999999999E-2</v>
      </c>
      <c r="O640">
        <v>1</v>
      </c>
      <c r="P640">
        <v>35</v>
      </c>
      <c r="Q640">
        <v>36</v>
      </c>
      <c r="R640" s="12" t="str">
        <f t="shared" si="45"/>
        <v>Clear/Few Clouds</v>
      </c>
      <c r="S640" s="14" t="str">
        <f t="shared" si="46"/>
        <v>Winter</v>
      </c>
      <c r="T640" s="15" t="str">
        <f t="shared" si="47"/>
        <v>Saturday</v>
      </c>
      <c r="U640" t="str">
        <f t="shared" si="48"/>
        <v>January</v>
      </c>
      <c r="V640" s="16" t="str">
        <f t="shared" si="49"/>
        <v>GOOD</v>
      </c>
    </row>
    <row r="641" spans="1:22" x14ac:dyDescent="0.3">
      <c r="A641">
        <v>640</v>
      </c>
      <c r="B641" s="1">
        <v>40572</v>
      </c>
      <c r="C641">
        <v>1</v>
      </c>
      <c r="D641">
        <v>0</v>
      </c>
      <c r="E641">
        <v>1</v>
      </c>
      <c r="F641">
        <v>22</v>
      </c>
      <c r="G641" t="b">
        <f>IF(COUNTIF(AB$4:AB$20,Append1[[#This Row],[dteday]]) &gt; 0, TRUE, FALSE)</f>
        <v>0</v>
      </c>
      <c r="H641">
        <v>6</v>
      </c>
      <c r="I641">
        <v>1</v>
      </c>
      <c r="J641">
        <v>0.16</v>
      </c>
      <c r="K641">
        <f>Append1[[#This Row],[temp]]*100</f>
        <v>16</v>
      </c>
      <c r="L641">
        <v>0.19700000000000001</v>
      </c>
      <c r="M641">
        <v>0.8</v>
      </c>
      <c r="N641">
        <v>8.9599999999999999E-2</v>
      </c>
      <c r="O641">
        <v>4</v>
      </c>
      <c r="P641">
        <v>28</v>
      </c>
      <c r="Q641">
        <v>32</v>
      </c>
      <c r="R641" s="12" t="str">
        <f t="shared" si="45"/>
        <v>Clear/Few Clouds</v>
      </c>
      <c r="S641" s="14" t="str">
        <f t="shared" si="46"/>
        <v>Winter</v>
      </c>
      <c r="T641" s="15" t="str">
        <f t="shared" si="47"/>
        <v>Saturday</v>
      </c>
      <c r="U641" t="str">
        <f t="shared" si="48"/>
        <v>January</v>
      </c>
      <c r="V641" s="16" t="str">
        <f t="shared" si="49"/>
        <v>GOOD</v>
      </c>
    </row>
    <row r="642" spans="1:22" x14ac:dyDescent="0.3">
      <c r="A642">
        <v>641</v>
      </c>
      <c r="B642" s="1">
        <v>40572</v>
      </c>
      <c r="C642">
        <v>1</v>
      </c>
      <c r="D642">
        <v>0</v>
      </c>
      <c r="E642">
        <v>1</v>
      </c>
      <c r="F642">
        <v>23</v>
      </c>
      <c r="G642" t="b">
        <f>IF(COUNTIF(AB$4:AB$20,Append1[[#This Row],[dteday]]) &gt; 0, TRUE, FALSE)</f>
        <v>0</v>
      </c>
      <c r="H642">
        <v>6</v>
      </c>
      <c r="I642">
        <v>1</v>
      </c>
      <c r="J642">
        <v>0.16</v>
      </c>
      <c r="K642">
        <f>Append1[[#This Row],[temp]]*100</f>
        <v>16</v>
      </c>
      <c r="L642">
        <v>0.19700000000000001</v>
      </c>
      <c r="M642">
        <v>0.8</v>
      </c>
      <c r="N642">
        <v>8.9599999999999999E-2</v>
      </c>
      <c r="O642">
        <v>3</v>
      </c>
      <c r="P642">
        <v>30</v>
      </c>
      <c r="Q642">
        <v>33</v>
      </c>
      <c r="R642" s="12" t="str">
        <f t="shared" ref="R642:R705" si="50">_xlfn.IFS(I642=1,"Clear/Few Clouds",I642=2,"Mist/Cloudy",I642=3,"Light Rain/Snow",I642=4,"Heavy Rain/Snow")</f>
        <v>Clear/Few Clouds</v>
      </c>
      <c r="S642" s="14" t="str">
        <f t="shared" ref="S642:S705" si="51">_xlfn.IFS(C642=1,"Winter",C642=2,"Spring",C642=3,"Summer",C642=4,"Autumn")</f>
        <v>Winter</v>
      </c>
      <c r="T642" s="15" t="str">
        <f t="shared" ref="T642:T705" si="52">TEXT(B642,"dddd")</f>
        <v>Saturday</v>
      </c>
      <c r="U642" t="str">
        <f t="shared" ref="U642:U705" si="53">TEXT(B642,"mmmm")</f>
        <v>January</v>
      </c>
      <c r="V642" s="16" t="str">
        <f t="shared" ref="V642:V705" si="54">_xlfn.IFS(I642=1,"GOOD",I642=2,"MODERATE",I642=3,"BAD",I642=4,"WORSE")</f>
        <v>GOOD</v>
      </c>
    </row>
    <row r="643" spans="1:22" x14ac:dyDescent="0.3">
      <c r="A643">
        <v>642</v>
      </c>
      <c r="B643" s="1">
        <v>40573</v>
      </c>
      <c r="C643">
        <v>1</v>
      </c>
      <c r="D643">
        <v>0</v>
      </c>
      <c r="E643">
        <v>1</v>
      </c>
      <c r="F643">
        <v>0</v>
      </c>
      <c r="G643" t="b">
        <f>IF(COUNTIF(AB$4:AB$20,Append1[[#This Row],[dteday]]) &gt; 0, TRUE, FALSE)</f>
        <v>0</v>
      </c>
      <c r="H643">
        <v>0</v>
      </c>
      <c r="I643">
        <v>1</v>
      </c>
      <c r="J643">
        <v>0.16</v>
      </c>
      <c r="K643">
        <f>Append1[[#This Row],[temp]]*100</f>
        <v>16</v>
      </c>
      <c r="L643">
        <v>0.18179999999999999</v>
      </c>
      <c r="M643">
        <v>0.8</v>
      </c>
      <c r="N643">
        <v>0.1045</v>
      </c>
      <c r="O643">
        <v>0</v>
      </c>
      <c r="P643">
        <v>33</v>
      </c>
      <c r="Q643">
        <v>33</v>
      </c>
      <c r="R643" s="12" t="str">
        <f t="shared" si="50"/>
        <v>Clear/Few Clouds</v>
      </c>
      <c r="S643" s="14" t="str">
        <f t="shared" si="51"/>
        <v>Winter</v>
      </c>
      <c r="T643" s="15" t="str">
        <f t="shared" si="52"/>
        <v>Sunday</v>
      </c>
      <c r="U643" t="str">
        <f t="shared" si="53"/>
        <v>January</v>
      </c>
      <c r="V643" s="16" t="str">
        <f t="shared" si="54"/>
        <v>GOOD</v>
      </c>
    </row>
    <row r="644" spans="1:22" x14ac:dyDescent="0.3">
      <c r="A644">
        <v>643</v>
      </c>
      <c r="B644" s="1">
        <v>40573</v>
      </c>
      <c r="C644">
        <v>1</v>
      </c>
      <c r="D644">
        <v>0</v>
      </c>
      <c r="E644">
        <v>1</v>
      </c>
      <c r="F644">
        <v>1</v>
      </c>
      <c r="G644" t="b">
        <f>IF(COUNTIF(AB$4:AB$20,Append1[[#This Row],[dteday]]) &gt; 0, TRUE, FALSE)</f>
        <v>0</v>
      </c>
      <c r="H644">
        <v>0</v>
      </c>
      <c r="I644">
        <v>1</v>
      </c>
      <c r="J644">
        <v>0.14000000000000001</v>
      </c>
      <c r="K644">
        <f>Append1[[#This Row],[temp]]*100</f>
        <v>14.000000000000002</v>
      </c>
      <c r="L644">
        <v>0.21210000000000001</v>
      </c>
      <c r="M644">
        <v>0.8</v>
      </c>
      <c r="N644">
        <v>0</v>
      </c>
      <c r="O644">
        <v>7</v>
      </c>
      <c r="P644">
        <v>22</v>
      </c>
      <c r="Q644">
        <v>29</v>
      </c>
      <c r="R644" s="12" t="str">
        <f t="shared" si="50"/>
        <v>Clear/Few Clouds</v>
      </c>
      <c r="S644" s="14" t="str">
        <f t="shared" si="51"/>
        <v>Winter</v>
      </c>
      <c r="T644" s="15" t="str">
        <f t="shared" si="52"/>
        <v>Sunday</v>
      </c>
      <c r="U644" t="str">
        <f t="shared" si="53"/>
        <v>January</v>
      </c>
      <c r="V644" s="16" t="str">
        <f t="shared" si="54"/>
        <v>GOOD</v>
      </c>
    </row>
    <row r="645" spans="1:22" x14ac:dyDescent="0.3">
      <c r="A645">
        <v>644</v>
      </c>
      <c r="B645" s="1">
        <v>40573</v>
      </c>
      <c r="C645">
        <v>1</v>
      </c>
      <c r="D645">
        <v>0</v>
      </c>
      <c r="E645">
        <v>1</v>
      </c>
      <c r="F645">
        <v>2</v>
      </c>
      <c r="G645" t="b">
        <f>IF(COUNTIF(AB$4:AB$20,Append1[[#This Row],[dteday]]) &gt; 0, TRUE, FALSE)</f>
        <v>0</v>
      </c>
      <c r="H645">
        <v>0</v>
      </c>
      <c r="I645">
        <v>1</v>
      </c>
      <c r="J645">
        <v>0.16</v>
      </c>
      <c r="K645">
        <f>Append1[[#This Row],[temp]]*100</f>
        <v>16</v>
      </c>
      <c r="L645">
        <v>0.2273</v>
      </c>
      <c r="M645">
        <v>0.8</v>
      </c>
      <c r="N645">
        <v>0</v>
      </c>
      <c r="O645">
        <v>1</v>
      </c>
      <c r="P645">
        <v>10</v>
      </c>
      <c r="Q645">
        <v>11</v>
      </c>
      <c r="R645" s="12" t="str">
        <f t="shared" si="50"/>
        <v>Clear/Few Clouds</v>
      </c>
      <c r="S645" s="14" t="str">
        <f t="shared" si="51"/>
        <v>Winter</v>
      </c>
      <c r="T645" s="15" t="str">
        <f t="shared" si="52"/>
        <v>Sunday</v>
      </c>
      <c r="U645" t="str">
        <f t="shared" si="53"/>
        <v>January</v>
      </c>
      <c r="V645" s="16" t="str">
        <f t="shared" si="54"/>
        <v>GOOD</v>
      </c>
    </row>
    <row r="646" spans="1:22" x14ac:dyDescent="0.3">
      <c r="A646">
        <v>645</v>
      </c>
      <c r="B646" s="1">
        <v>40573</v>
      </c>
      <c r="C646">
        <v>1</v>
      </c>
      <c r="D646">
        <v>0</v>
      </c>
      <c r="E646">
        <v>1</v>
      </c>
      <c r="F646">
        <v>3</v>
      </c>
      <c r="G646" t="b">
        <f>IF(COUNTIF(AB$4:AB$20,Append1[[#This Row],[dteday]]) &gt; 0, TRUE, FALSE)</f>
        <v>0</v>
      </c>
      <c r="H646">
        <v>0</v>
      </c>
      <c r="I646">
        <v>1</v>
      </c>
      <c r="J646">
        <v>0.14000000000000001</v>
      </c>
      <c r="K646">
        <f>Append1[[#This Row],[temp]]*100</f>
        <v>14.000000000000002</v>
      </c>
      <c r="L646">
        <v>0.21210000000000001</v>
      </c>
      <c r="M646">
        <v>0.93</v>
      </c>
      <c r="N646">
        <v>0</v>
      </c>
      <c r="O646">
        <v>1</v>
      </c>
      <c r="P646">
        <v>7</v>
      </c>
      <c r="Q646">
        <v>8</v>
      </c>
      <c r="R646" s="12" t="str">
        <f t="shared" si="50"/>
        <v>Clear/Few Clouds</v>
      </c>
      <c r="S646" s="14" t="str">
        <f t="shared" si="51"/>
        <v>Winter</v>
      </c>
      <c r="T646" s="15" t="str">
        <f t="shared" si="52"/>
        <v>Sunday</v>
      </c>
      <c r="U646" t="str">
        <f t="shared" si="53"/>
        <v>January</v>
      </c>
      <c r="V646" s="16" t="str">
        <f t="shared" si="54"/>
        <v>GOOD</v>
      </c>
    </row>
    <row r="647" spans="1:22" x14ac:dyDescent="0.3">
      <c r="A647">
        <v>646</v>
      </c>
      <c r="B647" s="1">
        <v>40573</v>
      </c>
      <c r="C647">
        <v>1</v>
      </c>
      <c r="D647">
        <v>0</v>
      </c>
      <c r="E647">
        <v>1</v>
      </c>
      <c r="F647">
        <v>4</v>
      </c>
      <c r="G647" t="b">
        <f>IF(COUNTIF(AB$4:AB$20,Append1[[#This Row],[dteday]]) &gt; 0, TRUE, FALSE)</f>
        <v>0</v>
      </c>
      <c r="H647">
        <v>0</v>
      </c>
      <c r="I647">
        <v>1</v>
      </c>
      <c r="J647">
        <v>0.14000000000000001</v>
      </c>
      <c r="K647">
        <f>Append1[[#This Row],[temp]]*100</f>
        <v>14.000000000000002</v>
      </c>
      <c r="L647">
        <v>0.21210000000000001</v>
      </c>
      <c r="M647">
        <v>0.93</v>
      </c>
      <c r="N647">
        <v>0</v>
      </c>
      <c r="O647">
        <v>0</v>
      </c>
      <c r="P647">
        <v>1</v>
      </c>
      <c r="Q647">
        <v>1</v>
      </c>
      <c r="R647" s="12" t="str">
        <f t="shared" si="50"/>
        <v>Clear/Few Clouds</v>
      </c>
      <c r="S647" s="14" t="str">
        <f t="shared" si="51"/>
        <v>Winter</v>
      </c>
      <c r="T647" s="15" t="str">
        <f t="shared" si="52"/>
        <v>Sunday</v>
      </c>
      <c r="U647" t="str">
        <f t="shared" si="53"/>
        <v>January</v>
      </c>
      <c r="V647" s="16" t="str">
        <f t="shared" si="54"/>
        <v>GOOD</v>
      </c>
    </row>
    <row r="648" spans="1:22" x14ac:dyDescent="0.3">
      <c r="A648">
        <v>647</v>
      </c>
      <c r="B648" s="1">
        <v>40573</v>
      </c>
      <c r="C648">
        <v>1</v>
      </c>
      <c r="D648">
        <v>0</v>
      </c>
      <c r="E648">
        <v>1</v>
      </c>
      <c r="F648">
        <v>5</v>
      </c>
      <c r="G648" t="b">
        <f>IF(COUNTIF(AB$4:AB$20,Append1[[#This Row],[dteday]]) &gt; 0, TRUE, FALSE)</f>
        <v>0</v>
      </c>
      <c r="H648">
        <v>0</v>
      </c>
      <c r="I648">
        <v>1</v>
      </c>
      <c r="J648">
        <v>0.14000000000000001</v>
      </c>
      <c r="K648">
        <f>Append1[[#This Row],[temp]]*100</f>
        <v>14.000000000000002</v>
      </c>
      <c r="L648">
        <v>0.21210000000000001</v>
      </c>
      <c r="M648">
        <v>0.86</v>
      </c>
      <c r="N648">
        <v>0</v>
      </c>
      <c r="O648">
        <v>0</v>
      </c>
      <c r="P648">
        <v>3</v>
      </c>
      <c r="Q648">
        <v>3</v>
      </c>
      <c r="R648" s="12" t="str">
        <f t="shared" si="50"/>
        <v>Clear/Few Clouds</v>
      </c>
      <c r="S648" s="14" t="str">
        <f t="shared" si="51"/>
        <v>Winter</v>
      </c>
      <c r="T648" s="15" t="str">
        <f t="shared" si="52"/>
        <v>Sunday</v>
      </c>
      <c r="U648" t="str">
        <f t="shared" si="53"/>
        <v>January</v>
      </c>
      <c r="V648" s="16" t="str">
        <f t="shared" si="54"/>
        <v>GOOD</v>
      </c>
    </row>
    <row r="649" spans="1:22" x14ac:dyDescent="0.3">
      <c r="A649">
        <v>648</v>
      </c>
      <c r="B649" s="1">
        <v>40573</v>
      </c>
      <c r="C649">
        <v>1</v>
      </c>
      <c r="D649">
        <v>0</v>
      </c>
      <c r="E649">
        <v>1</v>
      </c>
      <c r="F649">
        <v>7</v>
      </c>
      <c r="G649" t="b">
        <f>IF(COUNTIF(AB$4:AB$20,Append1[[#This Row],[dteday]]) &gt; 0, TRUE, FALSE)</f>
        <v>0</v>
      </c>
      <c r="H649">
        <v>0</v>
      </c>
      <c r="I649">
        <v>1</v>
      </c>
      <c r="J649">
        <v>0.14000000000000001</v>
      </c>
      <c r="K649">
        <f>Append1[[#This Row],[temp]]*100</f>
        <v>14.000000000000002</v>
      </c>
      <c r="L649">
        <v>0.21210000000000001</v>
      </c>
      <c r="M649">
        <v>0.86</v>
      </c>
      <c r="N649">
        <v>0</v>
      </c>
      <c r="O649">
        <v>0</v>
      </c>
      <c r="P649">
        <v>3</v>
      </c>
      <c r="Q649">
        <v>3</v>
      </c>
      <c r="R649" s="12" t="str">
        <f t="shared" si="50"/>
        <v>Clear/Few Clouds</v>
      </c>
      <c r="S649" s="14" t="str">
        <f t="shared" si="51"/>
        <v>Winter</v>
      </c>
      <c r="T649" s="15" t="str">
        <f t="shared" si="52"/>
        <v>Sunday</v>
      </c>
      <c r="U649" t="str">
        <f t="shared" si="53"/>
        <v>January</v>
      </c>
      <c r="V649" s="16" t="str">
        <f t="shared" si="54"/>
        <v>GOOD</v>
      </c>
    </row>
    <row r="650" spans="1:22" x14ac:dyDescent="0.3">
      <c r="A650">
        <v>649</v>
      </c>
      <c r="B650" s="1">
        <v>40573</v>
      </c>
      <c r="C650">
        <v>1</v>
      </c>
      <c r="D650">
        <v>0</v>
      </c>
      <c r="E650">
        <v>1</v>
      </c>
      <c r="F650">
        <v>8</v>
      </c>
      <c r="G650" t="b">
        <f>IF(COUNTIF(AB$4:AB$20,Append1[[#This Row],[dteday]]) &gt; 0, TRUE, FALSE)</f>
        <v>0</v>
      </c>
      <c r="H650">
        <v>0</v>
      </c>
      <c r="I650">
        <v>2</v>
      </c>
      <c r="J650">
        <v>0.14000000000000001</v>
      </c>
      <c r="K650">
        <f>Append1[[#This Row],[temp]]*100</f>
        <v>14.000000000000002</v>
      </c>
      <c r="L650">
        <v>0.21210000000000001</v>
      </c>
      <c r="M650">
        <v>0.86</v>
      </c>
      <c r="N650">
        <v>0</v>
      </c>
      <c r="O650">
        <v>1</v>
      </c>
      <c r="P650">
        <v>11</v>
      </c>
      <c r="Q650">
        <v>12</v>
      </c>
      <c r="R650" s="12" t="str">
        <f t="shared" si="50"/>
        <v>Mist/Cloudy</v>
      </c>
      <c r="S650" s="14" t="str">
        <f t="shared" si="51"/>
        <v>Winter</v>
      </c>
      <c r="T650" s="15" t="str">
        <f t="shared" si="52"/>
        <v>Sunday</v>
      </c>
      <c r="U650" t="str">
        <f t="shared" si="53"/>
        <v>January</v>
      </c>
      <c r="V650" s="16" t="str">
        <f t="shared" si="54"/>
        <v>MODERATE</v>
      </c>
    </row>
    <row r="651" spans="1:22" x14ac:dyDescent="0.3">
      <c r="A651">
        <v>650</v>
      </c>
      <c r="B651" s="1">
        <v>40573</v>
      </c>
      <c r="C651">
        <v>1</v>
      </c>
      <c r="D651">
        <v>0</v>
      </c>
      <c r="E651">
        <v>1</v>
      </c>
      <c r="F651">
        <v>9</v>
      </c>
      <c r="G651" t="b">
        <f>IF(COUNTIF(AB$4:AB$20,Append1[[#This Row],[dteday]]) &gt; 0, TRUE, FALSE)</f>
        <v>0</v>
      </c>
      <c r="H651">
        <v>0</v>
      </c>
      <c r="I651">
        <v>2</v>
      </c>
      <c r="J651">
        <v>0.16</v>
      </c>
      <c r="K651">
        <f>Append1[[#This Row],[temp]]*100</f>
        <v>16</v>
      </c>
      <c r="L651">
        <v>0.2273</v>
      </c>
      <c r="M651">
        <v>0.8</v>
      </c>
      <c r="N651">
        <v>0</v>
      </c>
      <c r="O651">
        <v>4</v>
      </c>
      <c r="P651">
        <v>34</v>
      </c>
      <c r="Q651">
        <v>38</v>
      </c>
      <c r="R651" s="12" t="str">
        <f t="shared" si="50"/>
        <v>Mist/Cloudy</v>
      </c>
      <c r="S651" s="14" t="str">
        <f t="shared" si="51"/>
        <v>Winter</v>
      </c>
      <c r="T651" s="15" t="str">
        <f t="shared" si="52"/>
        <v>Sunday</v>
      </c>
      <c r="U651" t="str">
        <f t="shared" si="53"/>
        <v>January</v>
      </c>
      <c r="V651" s="16" t="str">
        <f t="shared" si="54"/>
        <v>MODERATE</v>
      </c>
    </row>
    <row r="652" spans="1:22" x14ac:dyDescent="0.3">
      <c r="A652">
        <v>651</v>
      </c>
      <c r="B652" s="1">
        <v>40573</v>
      </c>
      <c r="C652">
        <v>1</v>
      </c>
      <c r="D652">
        <v>0</v>
      </c>
      <c r="E652">
        <v>1</v>
      </c>
      <c r="F652">
        <v>10</v>
      </c>
      <c r="G652" t="b">
        <f>IF(COUNTIF(AB$4:AB$20,Append1[[#This Row],[dteday]]) &gt; 0, TRUE, FALSE)</f>
        <v>0</v>
      </c>
      <c r="H652">
        <v>0</v>
      </c>
      <c r="I652">
        <v>2</v>
      </c>
      <c r="J652">
        <v>0.18</v>
      </c>
      <c r="K652">
        <f>Append1[[#This Row],[temp]]*100</f>
        <v>18</v>
      </c>
      <c r="L652">
        <v>0.2424</v>
      </c>
      <c r="M652">
        <v>0.8</v>
      </c>
      <c r="N652">
        <v>0</v>
      </c>
      <c r="O652">
        <v>7</v>
      </c>
      <c r="P652">
        <v>57</v>
      </c>
      <c r="Q652">
        <v>64</v>
      </c>
      <c r="R652" s="12" t="str">
        <f t="shared" si="50"/>
        <v>Mist/Cloudy</v>
      </c>
      <c r="S652" s="14" t="str">
        <f t="shared" si="51"/>
        <v>Winter</v>
      </c>
      <c r="T652" s="15" t="str">
        <f t="shared" si="52"/>
        <v>Sunday</v>
      </c>
      <c r="U652" t="str">
        <f t="shared" si="53"/>
        <v>January</v>
      </c>
      <c r="V652" s="16" t="str">
        <f t="shared" si="54"/>
        <v>MODERATE</v>
      </c>
    </row>
    <row r="653" spans="1:22" x14ac:dyDescent="0.3">
      <c r="A653">
        <v>652</v>
      </c>
      <c r="B653" s="1">
        <v>40573</v>
      </c>
      <c r="C653">
        <v>1</v>
      </c>
      <c r="D653">
        <v>0</v>
      </c>
      <c r="E653">
        <v>1</v>
      </c>
      <c r="F653">
        <v>11</v>
      </c>
      <c r="G653" t="b">
        <f>IF(COUNTIF(AB$4:AB$20,Append1[[#This Row],[dteday]]) &gt; 0, TRUE, FALSE)</f>
        <v>0</v>
      </c>
      <c r="H653">
        <v>0</v>
      </c>
      <c r="I653">
        <v>1</v>
      </c>
      <c r="J653">
        <v>0.22</v>
      </c>
      <c r="K653">
        <f>Append1[[#This Row],[temp]]*100</f>
        <v>22</v>
      </c>
      <c r="L653">
        <v>0.2727</v>
      </c>
      <c r="M653">
        <v>0.75</v>
      </c>
      <c r="N653">
        <v>0</v>
      </c>
      <c r="O653">
        <v>9</v>
      </c>
      <c r="P653">
        <v>50</v>
      </c>
      <c r="Q653">
        <v>59</v>
      </c>
      <c r="R653" s="12" t="str">
        <f t="shared" si="50"/>
        <v>Clear/Few Clouds</v>
      </c>
      <c r="S653" s="14" t="str">
        <f t="shared" si="51"/>
        <v>Winter</v>
      </c>
      <c r="T653" s="15" t="str">
        <f t="shared" si="52"/>
        <v>Sunday</v>
      </c>
      <c r="U653" t="str">
        <f t="shared" si="53"/>
        <v>January</v>
      </c>
      <c r="V653" s="16" t="str">
        <f t="shared" si="54"/>
        <v>GOOD</v>
      </c>
    </row>
    <row r="654" spans="1:22" x14ac:dyDescent="0.3">
      <c r="A654">
        <v>653</v>
      </c>
      <c r="B654" s="1">
        <v>40573</v>
      </c>
      <c r="C654">
        <v>1</v>
      </c>
      <c r="D654">
        <v>0</v>
      </c>
      <c r="E654">
        <v>1</v>
      </c>
      <c r="F654">
        <v>12</v>
      </c>
      <c r="G654" t="b">
        <f>IF(COUNTIF(AB$4:AB$20,Append1[[#This Row],[dteday]]) &gt; 0, TRUE, FALSE)</f>
        <v>0</v>
      </c>
      <c r="H654">
        <v>0</v>
      </c>
      <c r="I654">
        <v>1</v>
      </c>
      <c r="J654">
        <v>0.3</v>
      </c>
      <c r="K654">
        <f>Append1[[#This Row],[temp]]*100</f>
        <v>30</v>
      </c>
      <c r="L654">
        <v>0.31819999999999998</v>
      </c>
      <c r="M654">
        <v>0.52</v>
      </c>
      <c r="N654">
        <v>0.1045</v>
      </c>
      <c r="O654">
        <v>10</v>
      </c>
      <c r="P654">
        <v>87</v>
      </c>
      <c r="Q654">
        <v>97</v>
      </c>
      <c r="R654" s="12" t="str">
        <f t="shared" si="50"/>
        <v>Clear/Few Clouds</v>
      </c>
      <c r="S654" s="14" t="str">
        <f t="shared" si="51"/>
        <v>Winter</v>
      </c>
      <c r="T654" s="15" t="str">
        <f t="shared" si="52"/>
        <v>Sunday</v>
      </c>
      <c r="U654" t="str">
        <f t="shared" si="53"/>
        <v>January</v>
      </c>
      <c r="V654" s="16" t="str">
        <f t="shared" si="54"/>
        <v>GOOD</v>
      </c>
    </row>
    <row r="655" spans="1:22" x14ac:dyDescent="0.3">
      <c r="A655">
        <v>654</v>
      </c>
      <c r="B655" s="1">
        <v>40573</v>
      </c>
      <c r="C655">
        <v>1</v>
      </c>
      <c r="D655">
        <v>0</v>
      </c>
      <c r="E655">
        <v>1</v>
      </c>
      <c r="F655">
        <v>13</v>
      </c>
      <c r="G655" t="b">
        <f>IF(COUNTIF(AB$4:AB$20,Append1[[#This Row],[dteday]]) &gt; 0, TRUE, FALSE)</f>
        <v>0</v>
      </c>
      <c r="H655">
        <v>0</v>
      </c>
      <c r="I655">
        <v>1</v>
      </c>
      <c r="J655">
        <v>0.28000000000000003</v>
      </c>
      <c r="K655">
        <f>Append1[[#This Row],[temp]]*100</f>
        <v>28.000000000000004</v>
      </c>
      <c r="L655">
        <v>0.28789999999999999</v>
      </c>
      <c r="M655">
        <v>0.61</v>
      </c>
      <c r="N655">
        <v>0.1045</v>
      </c>
      <c r="O655">
        <v>13</v>
      </c>
      <c r="P655">
        <v>71</v>
      </c>
      <c r="Q655">
        <v>84</v>
      </c>
      <c r="R655" s="12" t="str">
        <f t="shared" si="50"/>
        <v>Clear/Few Clouds</v>
      </c>
      <c r="S655" s="14" t="str">
        <f t="shared" si="51"/>
        <v>Winter</v>
      </c>
      <c r="T655" s="15" t="str">
        <f t="shared" si="52"/>
        <v>Sunday</v>
      </c>
      <c r="U655" t="str">
        <f t="shared" si="53"/>
        <v>January</v>
      </c>
      <c r="V655" s="16" t="str">
        <f t="shared" si="54"/>
        <v>GOOD</v>
      </c>
    </row>
    <row r="656" spans="1:22" x14ac:dyDescent="0.3">
      <c r="A656">
        <v>655</v>
      </c>
      <c r="B656" s="1">
        <v>40573</v>
      </c>
      <c r="C656">
        <v>1</v>
      </c>
      <c r="D656">
        <v>0</v>
      </c>
      <c r="E656">
        <v>1</v>
      </c>
      <c r="F656">
        <v>14</v>
      </c>
      <c r="G656" t="b">
        <f>IF(COUNTIF(AB$4:AB$20,Append1[[#This Row],[dteday]]) &gt; 0, TRUE, FALSE)</f>
        <v>0</v>
      </c>
      <c r="H656">
        <v>0</v>
      </c>
      <c r="I656">
        <v>1</v>
      </c>
      <c r="J656">
        <v>0.28000000000000003</v>
      </c>
      <c r="K656">
        <f>Append1[[#This Row],[temp]]*100</f>
        <v>28.000000000000004</v>
      </c>
      <c r="L656">
        <v>0.30299999999999999</v>
      </c>
      <c r="M656">
        <v>0.61</v>
      </c>
      <c r="N656">
        <v>8.9599999999999999E-2</v>
      </c>
      <c r="O656">
        <v>18</v>
      </c>
      <c r="P656">
        <v>104</v>
      </c>
      <c r="Q656">
        <v>122</v>
      </c>
      <c r="R656" s="12" t="str">
        <f t="shared" si="50"/>
        <v>Clear/Few Clouds</v>
      </c>
      <c r="S656" s="14" t="str">
        <f t="shared" si="51"/>
        <v>Winter</v>
      </c>
      <c r="T656" s="15" t="str">
        <f t="shared" si="52"/>
        <v>Sunday</v>
      </c>
      <c r="U656" t="str">
        <f t="shared" si="53"/>
        <v>January</v>
      </c>
      <c r="V656" s="16" t="str">
        <f t="shared" si="54"/>
        <v>GOOD</v>
      </c>
    </row>
    <row r="657" spans="1:22" x14ac:dyDescent="0.3">
      <c r="A657">
        <v>656</v>
      </c>
      <c r="B657" s="1">
        <v>40573</v>
      </c>
      <c r="C657">
        <v>1</v>
      </c>
      <c r="D657">
        <v>0</v>
      </c>
      <c r="E657">
        <v>1</v>
      </c>
      <c r="F657">
        <v>15</v>
      </c>
      <c r="G657" t="b">
        <f>IF(COUNTIF(AB$4:AB$20,Append1[[#This Row],[dteday]]) &gt; 0, TRUE, FALSE)</f>
        <v>0</v>
      </c>
      <c r="H657">
        <v>0</v>
      </c>
      <c r="I657">
        <v>1</v>
      </c>
      <c r="J657">
        <v>0.3</v>
      </c>
      <c r="K657">
        <f>Append1[[#This Row],[temp]]*100</f>
        <v>30</v>
      </c>
      <c r="L657">
        <v>0.33329999999999999</v>
      </c>
      <c r="M657">
        <v>0.56000000000000005</v>
      </c>
      <c r="N657">
        <v>0</v>
      </c>
      <c r="O657">
        <v>14</v>
      </c>
      <c r="P657">
        <v>95</v>
      </c>
      <c r="Q657">
        <v>109</v>
      </c>
      <c r="R657" s="12" t="str">
        <f t="shared" si="50"/>
        <v>Clear/Few Clouds</v>
      </c>
      <c r="S657" s="14" t="str">
        <f t="shared" si="51"/>
        <v>Winter</v>
      </c>
      <c r="T657" s="15" t="str">
        <f t="shared" si="52"/>
        <v>Sunday</v>
      </c>
      <c r="U657" t="str">
        <f t="shared" si="53"/>
        <v>January</v>
      </c>
      <c r="V657" s="16" t="str">
        <f t="shared" si="54"/>
        <v>GOOD</v>
      </c>
    </row>
    <row r="658" spans="1:22" x14ac:dyDescent="0.3">
      <c r="A658">
        <v>657</v>
      </c>
      <c r="B658" s="1">
        <v>40573</v>
      </c>
      <c r="C658">
        <v>1</v>
      </c>
      <c r="D658">
        <v>0</v>
      </c>
      <c r="E658">
        <v>1</v>
      </c>
      <c r="F658">
        <v>16</v>
      </c>
      <c r="G658" t="b">
        <f>IF(COUNTIF(AB$4:AB$20,Append1[[#This Row],[dteday]]) &gt; 0, TRUE, FALSE)</f>
        <v>0</v>
      </c>
      <c r="H658">
        <v>0</v>
      </c>
      <c r="I658">
        <v>1</v>
      </c>
      <c r="J658">
        <v>0.3</v>
      </c>
      <c r="K658">
        <f>Append1[[#This Row],[temp]]*100</f>
        <v>30</v>
      </c>
      <c r="L658">
        <v>0.33329999999999999</v>
      </c>
      <c r="M658">
        <v>0.56000000000000005</v>
      </c>
      <c r="N658">
        <v>0</v>
      </c>
      <c r="O658">
        <v>19</v>
      </c>
      <c r="P658">
        <v>104</v>
      </c>
      <c r="Q658">
        <v>123</v>
      </c>
      <c r="R658" s="12" t="str">
        <f t="shared" si="50"/>
        <v>Clear/Few Clouds</v>
      </c>
      <c r="S658" s="14" t="str">
        <f t="shared" si="51"/>
        <v>Winter</v>
      </c>
      <c r="T658" s="15" t="str">
        <f t="shared" si="52"/>
        <v>Sunday</v>
      </c>
      <c r="U658" t="str">
        <f t="shared" si="53"/>
        <v>January</v>
      </c>
      <c r="V658" s="16" t="str">
        <f t="shared" si="54"/>
        <v>GOOD</v>
      </c>
    </row>
    <row r="659" spans="1:22" x14ac:dyDescent="0.3">
      <c r="A659">
        <v>658</v>
      </c>
      <c r="B659" s="1">
        <v>40573</v>
      </c>
      <c r="C659">
        <v>1</v>
      </c>
      <c r="D659">
        <v>0</v>
      </c>
      <c r="E659">
        <v>1</v>
      </c>
      <c r="F659">
        <v>17</v>
      </c>
      <c r="G659" t="b">
        <f>IF(COUNTIF(AB$4:AB$20,Append1[[#This Row],[dteday]]) &gt; 0, TRUE, FALSE)</f>
        <v>0</v>
      </c>
      <c r="H659">
        <v>0</v>
      </c>
      <c r="I659">
        <v>1</v>
      </c>
      <c r="J659">
        <v>0.3</v>
      </c>
      <c r="K659">
        <f>Append1[[#This Row],[temp]]*100</f>
        <v>30</v>
      </c>
      <c r="L659">
        <v>0.28789999999999999</v>
      </c>
      <c r="M659">
        <v>0.56000000000000005</v>
      </c>
      <c r="N659">
        <v>0.19400000000000001</v>
      </c>
      <c r="O659">
        <v>6</v>
      </c>
      <c r="P659">
        <v>71</v>
      </c>
      <c r="Q659">
        <v>77</v>
      </c>
      <c r="R659" s="12" t="str">
        <f t="shared" si="50"/>
        <v>Clear/Few Clouds</v>
      </c>
      <c r="S659" s="14" t="str">
        <f t="shared" si="51"/>
        <v>Winter</v>
      </c>
      <c r="T659" s="15" t="str">
        <f t="shared" si="52"/>
        <v>Sunday</v>
      </c>
      <c r="U659" t="str">
        <f t="shared" si="53"/>
        <v>January</v>
      </c>
      <c r="V659" s="16" t="str">
        <f t="shared" si="54"/>
        <v>GOOD</v>
      </c>
    </row>
    <row r="660" spans="1:22" x14ac:dyDescent="0.3">
      <c r="A660">
        <v>659</v>
      </c>
      <c r="B660" s="1">
        <v>40573</v>
      </c>
      <c r="C660">
        <v>1</v>
      </c>
      <c r="D660">
        <v>0</v>
      </c>
      <c r="E660">
        <v>1</v>
      </c>
      <c r="F660">
        <v>18</v>
      </c>
      <c r="G660" t="b">
        <f>IF(COUNTIF(AB$4:AB$20,Append1[[#This Row],[dteday]]) &gt; 0, TRUE, FALSE)</f>
        <v>0</v>
      </c>
      <c r="H660">
        <v>0</v>
      </c>
      <c r="I660">
        <v>1</v>
      </c>
      <c r="J660">
        <v>0.26</v>
      </c>
      <c r="K660">
        <f>Append1[[#This Row],[temp]]*100</f>
        <v>26</v>
      </c>
      <c r="L660">
        <v>0.2576</v>
      </c>
      <c r="M660">
        <v>0.65</v>
      </c>
      <c r="N660">
        <v>0.16420000000000001</v>
      </c>
      <c r="O660">
        <v>8</v>
      </c>
      <c r="P660">
        <v>57</v>
      </c>
      <c r="Q660">
        <v>65</v>
      </c>
      <c r="R660" s="12" t="str">
        <f t="shared" si="50"/>
        <v>Clear/Few Clouds</v>
      </c>
      <c r="S660" s="14" t="str">
        <f t="shared" si="51"/>
        <v>Winter</v>
      </c>
      <c r="T660" s="15" t="str">
        <f t="shared" si="52"/>
        <v>Sunday</v>
      </c>
      <c r="U660" t="str">
        <f t="shared" si="53"/>
        <v>January</v>
      </c>
      <c r="V660" s="16" t="str">
        <f t="shared" si="54"/>
        <v>GOOD</v>
      </c>
    </row>
    <row r="661" spans="1:22" x14ac:dyDescent="0.3">
      <c r="A661">
        <v>660</v>
      </c>
      <c r="B661" s="1">
        <v>40573</v>
      </c>
      <c r="C661">
        <v>1</v>
      </c>
      <c r="D661">
        <v>0</v>
      </c>
      <c r="E661">
        <v>1</v>
      </c>
      <c r="F661">
        <v>19</v>
      </c>
      <c r="G661" t="b">
        <f>IF(COUNTIF(AB$4:AB$20,Append1[[#This Row],[dteday]]) &gt; 0, TRUE, FALSE)</f>
        <v>0</v>
      </c>
      <c r="H661">
        <v>0</v>
      </c>
      <c r="I661">
        <v>1</v>
      </c>
      <c r="J661">
        <v>0.26</v>
      </c>
      <c r="K661">
        <f>Append1[[#This Row],[temp]]*100</f>
        <v>26</v>
      </c>
      <c r="L661">
        <v>0.2576</v>
      </c>
      <c r="M661">
        <v>0.65</v>
      </c>
      <c r="N661">
        <v>0.19400000000000001</v>
      </c>
      <c r="O661">
        <v>9</v>
      </c>
      <c r="P661">
        <v>46</v>
      </c>
      <c r="Q661">
        <v>55</v>
      </c>
      <c r="R661" s="12" t="str">
        <f t="shared" si="50"/>
        <v>Clear/Few Clouds</v>
      </c>
      <c r="S661" s="14" t="str">
        <f t="shared" si="51"/>
        <v>Winter</v>
      </c>
      <c r="T661" s="15" t="str">
        <f t="shared" si="52"/>
        <v>Sunday</v>
      </c>
      <c r="U661" t="str">
        <f t="shared" si="53"/>
        <v>January</v>
      </c>
      <c r="V661" s="16" t="str">
        <f t="shared" si="54"/>
        <v>GOOD</v>
      </c>
    </row>
    <row r="662" spans="1:22" x14ac:dyDescent="0.3">
      <c r="A662">
        <v>661</v>
      </c>
      <c r="B662" s="1">
        <v>40573</v>
      </c>
      <c r="C662">
        <v>1</v>
      </c>
      <c r="D662">
        <v>0</v>
      </c>
      <c r="E662">
        <v>1</v>
      </c>
      <c r="F662">
        <v>20</v>
      </c>
      <c r="G662" t="b">
        <f>IF(COUNTIF(AB$4:AB$20,Append1[[#This Row],[dteday]]) &gt; 0, TRUE, FALSE)</f>
        <v>0</v>
      </c>
      <c r="H662">
        <v>0</v>
      </c>
      <c r="I662">
        <v>2</v>
      </c>
      <c r="J662">
        <v>0.26</v>
      </c>
      <c r="K662">
        <f>Append1[[#This Row],[temp]]*100</f>
        <v>26</v>
      </c>
      <c r="L662">
        <v>0.2727</v>
      </c>
      <c r="M662">
        <v>0.65</v>
      </c>
      <c r="N662">
        <v>0.1045</v>
      </c>
      <c r="O662">
        <v>3</v>
      </c>
      <c r="P662">
        <v>30</v>
      </c>
      <c r="Q662">
        <v>33</v>
      </c>
      <c r="R662" s="12" t="str">
        <f t="shared" si="50"/>
        <v>Mist/Cloudy</v>
      </c>
      <c r="S662" s="14" t="str">
        <f t="shared" si="51"/>
        <v>Winter</v>
      </c>
      <c r="T662" s="15" t="str">
        <f t="shared" si="52"/>
        <v>Sunday</v>
      </c>
      <c r="U662" t="str">
        <f t="shared" si="53"/>
        <v>January</v>
      </c>
      <c r="V662" s="16" t="str">
        <f t="shared" si="54"/>
        <v>MODERATE</v>
      </c>
    </row>
    <row r="663" spans="1:22" x14ac:dyDescent="0.3">
      <c r="A663">
        <v>662</v>
      </c>
      <c r="B663" s="1">
        <v>40573</v>
      </c>
      <c r="C663">
        <v>1</v>
      </c>
      <c r="D663">
        <v>0</v>
      </c>
      <c r="E663">
        <v>1</v>
      </c>
      <c r="F663">
        <v>21</v>
      </c>
      <c r="G663" t="b">
        <f>IF(COUNTIF(AB$4:AB$20,Append1[[#This Row],[dteday]]) &gt; 0, TRUE, FALSE)</f>
        <v>0</v>
      </c>
      <c r="H663">
        <v>0</v>
      </c>
      <c r="I663">
        <v>2</v>
      </c>
      <c r="J663">
        <v>0.24</v>
      </c>
      <c r="K663">
        <f>Append1[[#This Row],[temp]]*100</f>
        <v>24</v>
      </c>
      <c r="L663">
        <v>0.2424</v>
      </c>
      <c r="M663">
        <v>0.7</v>
      </c>
      <c r="N663">
        <v>0.16420000000000001</v>
      </c>
      <c r="O663">
        <v>3</v>
      </c>
      <c r="P663">
        <v>25</v>
      </c>
      <c r="Q663">
        <v>28</v>
      </c>
      <c r="R663" s="12" t="str">
        <f t="shared" si="50"/>
        <v>Mist/Cloudy</v>
      </c>
      <c r="S663" s="14" t="str">
        <f t="shared" si="51"/>
        <v>Winter</v>
      </c>
      <c r="T663" s="15" t="str">
        <f t="shared" si="52"/>
        <v>Sunday</v>
      </c>
      <c r="U663" t="str">
        <f t="shared" si="53"/>
        <v>January</v>
      </c>
      <c r="V663" s="16" t="str">
        <f t="shared" si="54"/>
        <v>MODERATE</v>
      </c>
    </row>
    <row r="664" spans="1:22" x14ac:dyDescent="0.3">
      <c r="A664">
        <v>663</v>
      </c>
      <c r="B664" s="1">
        <v>40573</v>
      </c>
      <c r="C664">
        <v>1</v>
      </c>
      <c r="D664">
        <v>0</v>
      </c>
      <c r="E664">
        <v>1</v>
      </c>
      <c r="F664">
        <v>22</v>
      </c>
      <c r="G664" t="b">
        <f>IF(COUNTIF(AB$4:AB$20,Append1[[#This Row],[dteday]]) &gt; 0, TRUE, FALSE)</f>
        <v>0</v>
      </c>
      <c r="H664">
        <v>0</v>
      </c>
      <c r="I664">
        <v>2</v>
      </c>
      <c r="J664">
        <v>0.24</v>
      </c>
      <c r="K664">
        <f>Append1[[#This Row],[temp]]*100</f>
        <v>24</v>
      </c>
      <c r="L664">
        <v>0.2273</v>
      </c>
      <c r="M664">
        <v>0.7</v>
      </c>
      <c r="N664">
        <v>0.19400000000000001</v>
      </c>
      <c r="O664">
        <v>2</v>
      </c>
      <c r="P664">
        <v>19</v>
      </c>
      <c r="Q664">
        <v>21</v>
      </c>
      <c r="R664" s="12" t="str">
        <f t="shared" si="50"/>
        <v>Mist/Cloudy</v>
      </c>
      <c r="S664" s="14" t="str">
        <f t="shared" si="51"/>
        <v>Winter</v>
      </c>
      <c r="T664" s="15" t="str">
        <f t="shared" si="52"/>
        <v>Sunday</v>
      </c>
      <c r="U664" t="str">
        <f t="shared" si="53"/>
        <v>January</v>
      </c>
      <c r="V664" s="16" t="str">
        <f t="shared" si="54"/>
        <v>MODERATE</v>
      </c>
    </row>
    <row r="665" spans="1:22" x14ac:dyDescent="0.3">
      <c r="A665">
        <v>664</v>
      </c>
      <c r="B665" s="1">
        <v>40573</v>
      </c>
      <c r="C665">
        <v>1</v>
      </c>
      <c r="D665">
        <v>0</v>
      </c>
      <c r="E665">
        <v>1</v>
      </c>
      <c r="F665">
        <v>23</v>
      </c>
      <c r="G665" t="b">
        <f>IF(COUNTIF(AB$4:AB$20,Append1[[#This Row],[dteday]]) &gt; 0, TRUE, FALSE)</f>
        <v>0</v>
      </c>
      <c r="H665">
        <v>0</v>
      </c>
      <c r="I665">
        <v>2</v>
      </c>
      <c r="J665">
        <v>0.24</v>
      </c>
      <c r="K665">
        <f>Append1[[#This Row],[temp]]*100</f>
        <v>24</v>
      </c>
      <c r="L665">
        <v>0.21210000000000001</v>
      </c>
      <c r="M665">
        <v>0.65</v>
      </c>
      <c r="N665">
        <v>0.28360000000000002</v>
      </c>
      <c r="O665">
        <v>5</v>
      </c>
      <c r="P665">
        <v>16</v>
      </c>
      <c r="Q665">
        <v>21</v>
      </c>
      <c r="R665" s="12" t="str">
        <f t="shared" si="50"/>
        <v>Mist/Cloudy</v>
      </c>
      <c r="S665" s="14" t="str">
        <f t="shared" si="51"/>
        <v>Winter</v>
      </c>
      <c r="T665" s="15" t="str">
        <f t="shared" si="52"/>
        <v>Sunday</v>
      </c>
      <c r="U665" t="str">
        <f t="shared" si="53"/>
        <v>January</v>
      </c>
      <c r="V665" s="16" t="str">
        <f t="shared" si="54"/>
        <v>MODERATE</v>
      </c>
    </row>
    <row r="666" spans="1:22" x14ac:dyDescent="0.3">
      <c r="A666">
        <v>665</v>
      </c>
      <c r="B666" s="1">
        <v>40574</v>
      </c>
      <c r="C666">
        <v>1</v>
      </c>
      <c r="D666">
        <v>0</v>
      </c>
      <c r="E666">
        <v>1</v>
      </c>
      <c r="F666">
        <v>0</v>
      </c>
      <c r="G666" t="b">
        <f>IF(COUNTIF(AB$4:AB$20,Append1[[#This Row],[dteday]]) &gt; 0, TRUE, FALSE)</f>
        <v>0</v>
      </c>
      <c r="H666">
        <v>1</v>
      </c>
      <c r="I666">
        <v>2</v>
      </c>
      <c r="J666">
        <v>0.24</v>
      </c>
      <c r="K666">
        <f>Append1[[#This Row],[temp]]*100</f>
        <v>24</v>
      </c>
      <c r="L666">
        <v>0.2273</v>
      </c>
      <c r="M666">
        <v>0.65</v>
      </c>
      <c r="N666">
        <v>0.22389999999999999</v>
      </c>
      <c r="O666">
        <v>1</v>
      </c>
      <c r="P666">
        <v>6</v>
      </c>
      <c r="Q666">
        <v>7</v>
      </c>
      <c r="R666" s="12" t="str">
        <f t="shared" si="50"/>
        <v>Mist/Cloudy</v>
      </c>
      <c r="S666" s="14" t="str">
        <f t="shared" si="51"/>
        <v>Winter</v>
      </c>
      <c r="T666" s="15" t="str">
        <f t="shared" si="52"/>
        <v>Monday</v>
      </c>
      <c r="U666" t="str">
        <f t="shared" si="53"/>
        <v>January</v>
      </c>
      <c r="V666" s="16" t="str">
        <f t="shared" si="54"/>
        <v>MODERATE</v>
      </c>
    </row>
    <row r="667" spans="1:22" x14ac:dyDescent="0.3">
      <c r="A667">
        <v>666</v>
      </c>
      <c r="B667" s="1">
        <v>40574</v>
      </c>
      <c r="C667">
        <v>1</v>
      </c>
      <c r="D667">
        <v>0</v>
      </c>
      <c r="E667">
        <v>1</v>
      </c>
      <c r="F667">
        <v>1</v>
      </c>
      <c r="G667" t="b">
        <f>IF(COUNTIF(AB$4:AB$20,Append1[[#This Row],[dteday]]) &gt; 0, TRUE, FALSE)</f>
        <v>0</v>
      </c>
      <c r="H667">
        <v>1</v>
      </c>
      <c r="I667">
        <v>1</v>
      </c>
      <c r="J667">
        <v>0.22</v>
      </c>
      <c r="K667">
        <f>Append1[[#This Row],[temp]]*100</f>
        <v>22</v>
      </c>
      <c r="L667">
        <v>0.21210000000000001</v>
      </c>
      <c r="M667">
        <v>0.64</v>
      </c>
      <c r="N667">
        <v>0.25369999999999998</v>
      </c>
      <c r="O667">
        <v>2</v>
      </c>
      <c r="P667">
        <v>5</v>
      </c>
      <c r="Q667">
        <v>7</v>
      </c>
      <c r="R667" s="12" t="str">
        <f t="shared" si="50"/>
        <v>Clear/Few Clouds</v>
      </c>
      <c r="S667" s="14" t="str">
        <f t="shared" si="51"/>
        <v>Winter</v>
      </c>
      <c r="T667" s="15" t="str">
        <f t="shared" si="52"/>
        <v>Monday</v>
      </c>
      <c r="U667" t="str">
        <f t="shared" si="53"/>
        <v>January</v>
      </c>
      <c r="V667" s="16" t="str">
        <f t="shared" si="54"/>
        <v>GOOD</v>
      </c>
    </row>
    <row r="668" spans="1:22" x14ac:dyDescent="0.3">
      <c r="A668">
        <v>667</v>
      </c>
      <c r="B668" s="1">
        <v>40574</v>
      </c>
      <c r="C668">
        <v>1</v>
      </c>
      <c r="D668">
        <v>0</v>
      </c>
      <c r="E668">
        <v>1</v>
      </c>
      <c r="F668">
        <v>2</v>
      </c>
      <c r="G668" t="b">
        <f>IF(COUNTIF(AB$4:AB$20,Append1[[#This Row],[dteday]]) &gt; 0, TRUE, FALSE)</f>
        <v>0</v>
      </c>
      <c r="H668">
        <v>1</v>
      </c>
      <c r="I668">
        <v>1</v>
      </c>
      <c r="J668">
        <v>0.22</v>
      </c>
      <c r="K668">
        <f>Append1[[#This Row],[temp]]*100</f>
        <v>22</v>
      </c>
      <c r="L668">
        <v>0.2273</v>
      </c>
      <c r="M668">
        <v>0.64</v>
      </c>
      <c r="N668">
        <v>0.19400000000000001</v>
      </c>
      <c r="O668">
        <v>0</v>
      </c>
      <c r="P668">
        <v>1</v>
      </c>
      <c r="Q668">
        <v>1</v>
      </c>
      <c r="R668" s="12" t="str">
        <f t="shared" si="50"/>
        <v>Clear/Few Clouds</v>
      </c>
      <c r="S668" s="14" t="str">
        <f t="shared" si="51"/>
        <v>Winter</v>
      </c>
      <c r="T668" s="15" t="str">
        <f t="shared" si="52"/>
        <v>Monday</v>
      </c>
      <c r="U668" t="str">
        <f t="shared" si="53"/>
        <v>January</v>
      </c>
      <c r="V668" s="16" t="str">
        <f t="shared" si="54"/>
        <v>GOOD</v>
      </c>
    </row>
    <row r="669" spans="1:22" x14ac:dyDescent="0.3">
      <c r="A669">
        <v>668</v>
      </c>
      <c r="B669" s="1">
        <v>40574</v>
      </c>
      <c r="C669">
        <v>1</v>
      </c>
      <c r="D669">
        <v>0</v>
      </c>
      <c r="E669">
        <v>1</v>
      </c>
      <c r="F669">
        <v>3</v>
      </c>
      <c r="G669" t="b">
        <f>IF(COUNTIF(AB$4:AB$20,Append1[[#This Row],[dteday]]) &gt; 0, TRUE, FALSE)</f>
        <v>0</v>
      </c>
      <c r="H669">
        <v>1</v>
      </c>
      <c r="I669">
        <v>1</v>
      </c>
      <c r="J669">
        <v>0.22</v>
      </c>
      <c r="K669">
        <f>Append1[[#This Row],[temp]]*100</f>
        <v>22</v>
      </c>
      <c r="L669">
        <v>0.2273</v>
      </c>
      <c r="M669">
        <v>0.64</v>
      </c>
      <c r="N669">
        <v>0.19400000000000001</v>
      </c>
      <c r="O669">
        <v>0</v>
      </c>
      <c r="P669">
        <v>2</v>
      </c>
      <c r="Q669">
        <v>2</v>
      </c>
      <c r="R669" s="12" t="str">
        <f t="shared" si="50"/>
        <v>Clear/Few Clouds</v>
      </c>
      <c r="S669" s="14" t="str">
        <f t="shared" si="51"/>
        <v>Winter</v>
      </c>
      <c r="T669" s="15" t="str">
        <f t="shared" si="52"/>
        <v>Monday</v>
      </c>
      <c r="U669" t="str">
        <f t="shared" si="53"/>
        <v>January</v>
      </c>
      <c r="V669" s="16" t="str">
        <f t="shared" si="54"/>
        <v>GOOD</v>
      </c>
    </row>
    <row r="670" spans="1:22" x14ac:dyDescent="0.3">
      <c r="A670">
        <v>669</v>
      </c>
      <c r="B670" s="1">
        <v>40574</v>
      </c>
      <c r="C670">
        <v>1</v>
      </c>
      <c r="D670">
        <v>0</v>
      </c>
      <c r="E670">
        <v>1</v>
      </c>
      <c r="F670">
        <v>4</v>
      </c>
      <c r="G670" t="b">
        <f>IF(COUNTIF(AB$4:AB$20,Append1[[#This Row],[dteday]]) &gt; 0, TRUE, FALSE)</f>
        <v>0</v>
      </c>
      <c r="H670">
        <v>1</v>
      </c>
      <c r="I670">
        <v>1</v>
      </c>
      <c r="J670">
        <v>0.2</v>
      </c>
      <c r="K670">
        <f>Append1[[#This Row],[temp]]*100</f>
        <v>20</v>
      </c>
      <c r="L670">
        <v>0.19700000000000001</v>
      </c>
      <c r="M670">
        <v>0.59</v>
      </c>
      <c r="N670">
        <v>0.22389999999999999</v>
      </c>
      <c r="O670">
        <v>0</v>
      </c>
      <c r="P670">
        <v>2</v>
      </c>
      <c r="Q670">
        <v>2</v>
      </c>
      <c r="R670" s="12" t="str">
        <f t="shared" si="50"/>
        <v>Clear/Few Clouds</v>
      </c>
      <c r="S670" s="14" t="str">
        <f t="shared" si="51"/>
        <v>Winter</v>
      </c>
      <c r="T670" s="15" t="str">
        <f t="shared" si="52"/>
        <v>Monday</v>
      </c>
      <c r="U670" t="str">
        <f t="shared" si="53"/>
        <v>January</v>
      </c>
      <c r="V670" s="16" t="str">
        <f t="shared" si="54"/>
        <v>GOOD</v>
      </c>
    </row>
    <row r="671" spans="1:22" x14ac:dyDescent="0.3">
      <c r="A671">
        <v>670</v>
      </c>
      <c r="B671" s="1">
        <v>40574</v>
      </c>
      <c r="C671">
        <v>1</v>
      </c>
      <c r="D671">
        <v>0</v>
      </c>
      <c r="E671">
        <v>1</v>
      </c>
      <c r="F671">
        <v>5</v>
      </c>
      <c r="G671" t="b">
        <f>IF(COUNTIF(AB$4:AB$20,Append1[[#This Row],[dteday]]) &gt; 0, TRUE, FALSE)</f>
        <v>0</v>
      </c>
      <c r="H671">
        <v>1</v>
      </c>
      <c r="I671">
        <v>1</v>
      </c>
      <c r="J671">
        <v>0.18</v>
      </c>
      <c r="K671">
        <f>Append1[[#This Row],[temp]]*100</f>
        <v>18</v>
      </c>
      <c r="L671">
        <v>0.16669999999999999</v>
      </c>
      <c r="M671">
        <v>0.64</v>
      </c>
      <c r="N671">
        <v>0.28360000000000002</v>
      </c>
      <c r="O671">
        <v>0</v>
      </c>
      <c r="P671">
        <v>8</v>
      </c>
      <c r="Q671">
        <v>8</v>
      </c>
      <c r="R671" s="12" t="str">
        <f t="shared" si="50"/>
        <v>Clear/Few Clouds</v>
      </c>
      <c r="S671" s="14" t="str">
        <f t="shared" si="51"/>
        <v>Winter</v>
      </c>
      <c r="T671" s="15" t="str">
        <f t="shared" si="52"/>
        <v>Monday</v>
      </c>
      <c r="U671" t="str">
        <f t="shared" si="53"/>
        <v>January</v>
      </c>
      <c r="V671" s="16" t="str">
        <f t="shared" si="54"/>
        <v>GOOD</v>
      </c>
    </row>
    <row r="672" spans="1:22" x14ac:dyDescent="0.3">
      <c r="A672">
        <v>671</v>
      </c>
      <c r="B672" s="1">
        <v>40574</v>
      </c>
      <c r="C672">
        <v>1</v>
      </c>
      <c r="D672">
        <v>0</v>
      </c>
      <c r="E672">
        <v>1</v>
      </c>
      <c r="F672">
        <v>6</v>
      </c>
      <c r="G672" t="b">
        <f>IF(COUNTIF(AB$4:AB$20,Append1[[#This Row],[dteday]]) &gt; 0, TRUE, FALSE)</f>
        <v>0</v>
      </c>
      <c r="H672">
        <v>1</v>
      </c>
      <c r="I672">
        <v>1</v>
      </c>
      <c r="J672">
        <v>0.16</v>
      </c>
      <c r="K672">
        <f>Append1[[#This Row],[temp]]*100</f>
        <v>16</v>
      </c>
      <c r="L672">
        <v>0.13639999999999999</v>
      </c>
      <c r="M672">
        <v>0.69</v>
      </c>
      <c r="N672">
        <v>0.32840000000000003</v>
      </c>
      <c r="O672">
        <v>0</v>
      </c>
      <c r="P672">
        <v>37</v>
      </c>
      <c r="Q672">
        <v>37</v>
      </c>
      <c r="R672" s="12" t="str">
        <f t="shared" si="50"/>
        <v>Clear/Few Clouds</v>
      </c>
      <c r="S672" s="14" t="str">
        <f t="shared" si="51"/>
        <v>Winter</v>
      </c>
      <c r="T672" s="15" t="str">
        <f t="shared" si="52"/>
        <v>Monday</v>
      </c>
      <c r="U672" t="str">
        <f t="shared" si="53"/>
        <v>January</v>
      </c>
      <c r="V672" s="16" t="str">
        <f t="shared" si="54"/>
        <v>GOOD</v>
      </c>
    </row>
    <row r="673" spans="1:22" x14ac:dyDescent="0.3">
      <c r="A673">
        <v>672</v>
      </c>
      <c r="B673" s="1">
        <v>40574</v>
      </c>
      <c r="C673">
        <v>1</v>
      </c>
      <c r="D673">
        <v>0</v>
      </c>
      <c r="E673">
        <v>1</v>
      </c>
      <c r="F673">
        <v>7</v>
      </c>
      <c r="G673" t="b">
        <f>IF(COUNTIF(AB$4:AB$20,Append1[[#This Row],[dteday]]) &gt; 0, TRUE, FALSE)</f>
        <v>0</v>
      </c>
      <c r="H673">
        <v>1</v>
      </c>
      <c r="I673">
        <v>2</v>
      </c>
      <c r="J673">
        <v>0.16</v>
      </c>
      <c r="K673">
        <f>Append1[[#This Row],[temp]]*100</f>
        <v>16</v>
      </c>
      <c r="L673">
        <v>0.13639999999999999</v>
      </c>
      <c r="M673">
        <v>0.64</v>
      </c>
      <c r="N673">
        <v>0.28360000000000002</v>
      </c>
      <c r="O673">
        <v>1</v>
      </c>
      <c r="P673">
        <v>71</v>
      </c>
      <c r="Q673">
        <v>72</v>
      </c>
      <c r="R673" s="12" t="str">
        <f t="shared" si="50"/>
        <v>Mist/Cloudy</v>
      </c>
      <c r="S673" s="14" t="str">
        <f t="shared" si="51"/>
        <v>Winter</v>
      </c>
      <c r="T673" s="15" t="str">
        <f t="shared" si="52"/>
        <v>Monday</v>
      </c>
      <c r="U673" t="str">
        <f t="shared" si="53"/>
        <v>January</v>
      </c>
      <c r="V673" s="16" t="str">
        <f t="shared" si="54"/>
        <v>MODERATE</v>
      </c>
    </row>
    <row r="674" spans="1:22" x14ac:dyDescent="0.3">
      <c r="A674">
        <v>673</v>
      </c>
      <c r="B674" s="1">
        <v>40574</v>
      </c>
      <c r="C674">
        <v>1</v>
      </c>
      <c r="D674">
        <v>0</v>
      </c>
      <c r="E674">
        <v>1</v>
      </c>
      <c r="F674">
        <v>8</v>
      </c>
      <c r="G674" t="b">
        <f>IF(COUNTIF(AB$4:AB$20,Append1[[#This Row],[dteday]]) &gt; 0, TRUE, FALSE)</f>
        <v>0</v>
      </c>
      <c r="H674">
        <v>1</v>
      </c>
      <c r="I674">
        <v>2</v>
      </c>
      <c r="J674">
        <v>0.16</v>
      </c>
      <c r="K674">
        <f>Append1[[#This Row],[temp]]*100</f>
        <v>16</v>
      </c>
      <c r="L674">
        <v>0.13639999999999999</v>
      </c>
      <c r="M674">
        <v>0.59</v>
      </c>
      <c r="N674">
        <v>0.28360000000000002</v>
      </c>
      <c r="O674">
        <v>3</v>
      </c>
      <c r="P674">
        <v>182</v>
      </c>
      <c r="Q674">
        <v>185</v>
      </c>
      <c r="R674" s="12" t="str">
        <f t="shared" si="50"/>
        <v>Mist/Cloudy</v>
      </c>
      <c r="S674" s="14" t="str">
        <f t="shared" si="51"/>
        <v>Winter</v>
      </c>
      <c r="T674" s="15" t="str">
        <f t="shared" si="52"/>
        <v>Monday</v>
      </c>
      <c r="U674" t="str">
        <f t="shared" si="53"/>
        <v>January</v>
      </c>
      <c r="V674" s="16" t="str">
        <f t="shared" si="54"/>
        <v>MODERATE</v>
      </c>
    </row>
    <row r="675" spans="1:22" x14ac:dyDescent="0.3">
      <c r="A675">
        <v>674</v>
      </c>
      <c r="B675" s="1">
        <v>40574</v>
      </c>
      <c r="C675">
        <v>1</v>
      </c>
      <c r="D675">
        <v>0</v>
      </c>
      <c r="E675">
        <v>1</v>
      </c>
      <c r="F675">
        <v>9</v>
      </c>
      <c r="G675" t="b">
        <f>IF(COUNTIF(AB$4:AB$20,Append1[[#This Row],[dteday]]) &gt; 0, TRUE, FALSE)</f>
        <v>0</v>
      </c>
      <c r="H675">
        <v>1</v>
      </c>
      <c r="I675">
        <v>2</v>
      </c>
      <c r="J675">
        <v>0.16</v>
      </c>
      <c r="K675">
        <f>Append1[[#This Row],[temp]]*100</f>
        <v>16</v>
      </c>
      <c r="L675">
        <v>0.13639999999999999</v>
      </c>
      <c r="M675">
        <v>0.59</v>
      </c>
      <c r="N675">
        <v>0.29849999999999999</v>
      </c>
      <c r="O675">
        <v>0</v>
      </c>
      <c r="P675">
        <v>112</v>
      </c>
      <c r="Q675">
        <v>112</v>
      </c>
      <c r="R675" s="12" t="str">
        <f t="shared" si="50"/>
        <v>Mist/Cloudy</v>
      </c>
      <c r="S675" s="14" t="str">
        <f t="shared" si="51"/>
        <v>Winter</v>
      </c>
      <c r="T675" s="15" t="str">
        <f t="shared" si="52"/>
        <v>Monday</v>
      </c>
      <c r="U675" t="str">
        <f t="shared" si="53"/>
        <v>January</v>
      </c>
      <c r="V675" s="16" t="str">
        <f t="shared" si="54"/>
        <v>MODERATE</v>
      </c>
    </row>
    <row r="676" spans="1:22" x14ac:dyDescent="0.3">
      <c r="A676">
        <v>675</v>
      </c>
      <c r="B676" s="1">
        <v>40574</v>
      </c>
      <c r="C676">
        <v>1</v>
      </c>
      <c r="D676">
        <v>0</v>
      </c>
      <c r="E676">
        <v>1</v>
      </c>
      <c r="F676">
        <v>10</v>
      </c>
      <c r="G676" t="b">
        <f>IF(COUNTIF(AB$4:AB$20,Append1[[#This Row],[dteday]]) &gt; 0, TRUE, FALSE)</f>
        <v>0</v>
      </c>
      <c r="H676">
        <v>1</v>
      </c>
      <c r="I676">
        <v>2</v>
      </c>
      <c r="J676">
        <v>0.16</v>
      </c>
      <c r="K676">
        <f>Append1[[#This Row],[temp]]*100</f>
        <v>16</v>
      </c>
      <c r="L676">
        <v>0.1515</v>
      </c>
      <c r="M676">
        <v>0.59</v>
      </c>
      <c r="N676">
        <v>0.19400000000000001</v>
      </c>
      <c r="O676">
        <v>1</v>
      </c>
      <c r="P676">
        <v>68</v>
      </c>
      <c r="Q676">
        <v>69</v>
      </c>
      <c r="R676" s="12" t="str">
        <f t="shared" si="50"/>
        <v>Mist/Cloudy</v>
      </c>
      <c r="S676" s="14" t="str">
        <f t="shared" si="51"/>
        <v>Winter</v>
      </c>
      <c r="T676" s="15" t="str">
        <f t="shared" si="52"/>
        <v>Monday</v>
      </c>
      <c r="U676" t="str">
        <f t="shared" si="53"/>
        <v>January</v>
      </c>
      <c r="V676" s="16" t="str">
        <f t="shared" si="54"/>
        <v>MODERATE</v>
      </c>
    </row>
    <row r="677" spans="1:22" x14ac:dyDescent="0.3">
      <c r="A677">
        <v>676</v>
      </c>
      <c r="B677" s="1">
        <v>40574</v>
      </c>
      <c r="C677">
        <v>1</v>
      </c>
      <c r="D677">
        <v>0</v>
      </c>
      <c r="E677">
        <v>1</v>
      </c>
      <c r="F677">
        <v>11</v>
      </c>
      <c r="G677" t="b">
        <f>IF(COUNTIF(AB$4:AB$20,Append1[[#This Row],[dteday]]) &gt; 0, TRUE, FALSE)</f>
        <v>0</v>
      </c>
      <c r="H677">
        <v>1</v>
      </c>
      <c r="I677">
        <v>2</v>
      </c>
      <c r="J677">
        <v>0.16</v>
      </c>
      <c r="K677">
        <f>Append1[[#This Row],[temp]]*100</f>
        <v>16</v>
      </c>
      <c r="L677">
        <v>0.1515</v>
      </c>
      <c r="M677">
        <v>0.59</v>
      </c>
      <c r="N677">
        <v>0.19400000000000001</v>
      </c>
      <c r="O677">
        <v>2</v>
      </c>
      <c r="P677">
        <v>46</v>
      </c>
      <c r="Q677">
        <v>48</v>
      </c>
      <c r="R677" s="12" t="str">
        <f t="shared" si="50"/>
        <v>Mist/Cloudy</v>
      </c>
      <c r="S677" s="14" t="str">
        <f t="shared" si="51"/>
        <v>Winter</v>
      </c>
      <c r="T677" s="15" t="str">
        <f t="shared" si="52"/>
        <v>Monday</v>
      </c>
      <c r="U677" t="str">
        <f t="shared" si="53"/>
        <v>January</v>
      </c>
      <c r="V677" s="16" t="str">
        <f t="shared" si="54"/>
        <v>MODERATE</v>
      </c>
    </row>
    <row r="678" spans="1:22" x14ac:dyDescent="0.3">
      <c r="A678">
        <v>677</v>
      </c>
      <c r="B678" s="1">
        <v>40574</v>
      </c>
      <c r="C678">
        <v>1</v>
      </c>
      <c r="D678">
        <v>0</v>
      </c>
      <c r="E678">
        <v>1</v>
      </c>
      <c r="F678">
        <v>12</v>
      </c>
      <c r="G678" t="b">
        <f>IF(COUNTIF(AB$4:AB$20,Append1[[#This Row],[dteday]]) &gt; 0, TRUE, FALSE)</f>
        <v>0</v>
      </c>
      <c r="H678">
        <v>1</v>
      </c>
      <c r="I678">
        <v>2</v>
      </c>
      <c r="J678">
        <v>0.18</v>
      </c>
      <c r="K678">
        <f>Append1[[#This Row],[temp]]*100</f>
        <v>18</v>
      </c>
      <c r="L678">
        <v>0.21210000000000001</v>
      </c>
      <c r="M678">
        <v>0.55000000000000004</v>
      </c>
      <c r="N678">
        <v>0.1045</v>
      </c>
      <c r="O678">
        <v>6</v>
      </c>
      <c r="P678">
        <v>62</v>
      </c>
      <c r="Q678">
        <v>68</v>
      </c>
      <c r="R678" s="12" t="str">
        <f t="shared" si="50"/>
        <v>Mist/Cloudy</v>
      </c>
      <c r="S678" s="14" t="str">
        <f t="shared" si="51"/>
        <v>Winter</v>
      </c>
      <c r="T678" s="15" t="str">
        <f t="shared" si="52"/>
        <v>Monday</v>
      </c>
      <c r="U678" t="str">
        <f t="shared" si="53"/>
        <v>January</v>
      </c>
      <c r="V678" s="16" t="str">
        <f t="shared" si="54"/>
        <v>MODERATE</v>
      </c>
    </row>
    <row r="679" spans="1:22" x14ac:dyDescent="0.3">
      <c r="A679">
        <v>678</v>
      </c>
      <c r="B679" s="1">
        <v>40574</v>
      </c>
      <c r="C679">
        <v>1</v>
      </c>
      <c r="D679">
        <v>0</v>
      </c>
      <c r="E679">
        <v>1</v>
      </c>
      <c r="F679">
        <v>13</v>
      </c>
      <c r="G679" t="b">
        <f>IF(COUNTIF(AB$4:AB$20,Append1[[#This Row],[dteday]]) &gt; 0, TRUE, FALSE)</f>
        <v>0</v>
      </c>
      <c r="H679">
        <v>1</v>
      </c>
      <c r="I679">
        <v>2</v>
      </c>
      <c r="J679">
        <v>0.16</v>
      </c>
      <c r="K679">
        <f>Append1[[#This Row],[temp]]*100</f>
        <v>16</v>
      </c>
      <c r="L679">
        <v>0.2273</v>
      </c>
      <c r="M679">
        <v>0.59</v>
      </c>
      <c r="N679">
        <v>0</v>
      </c>
      <c r="O679">
        <v>2</v>
      </c>
      <c r="P679">
        <v>52</v>
      </c>
      <c r="Q679">
        <v>54</v>
      </c>
      <c r="R679" s="12" t="str">
        <f t="shared" si="50"/>
        <v>Mist/Cloudy</v>
      </c>
      <c r="S679" s="14" t="str">
        <f t="shared" si="51"/>
        <v>Winter</v>
      </c>
      <c r="T679" s="15" t="str">
        <f t="shared" si="52"/>
        <v>Monday</v>
      </c>
      <c r="U679" t="str">
        <f t="shared" si="53"/>
        <v>January</v>
      </c>
      <c r="V679" s="16" t="str">
        <f t="shared" si="54"/>
        <v>MODERATE</v>
      </c>
    </row>
    <row r="680" spans="1:22" x14ac:dyDescent="0.3">
      <c r="A680">
        <v>679</v>
      </c>
      <c r="B680" s="1">
        <v>40574</v>
      </c>
      <c r="C680">
        <v>1</v>
      </c>
      <c r="D680">
        <v>0</v>
      </c>
      <c r="E680">
        <v>1</v>
      </c>
      <c r="F680">
        <v>14</v>
      </c>
      <c r="G680" t="b">
        <f>IF(COUNTIF(AB$4:AB$20,Append1[[#This Row],[dteday]]) &gt; 0, TRUE, FALSE)</f>
        <v>0</v>
      </c>
      <c r="H680">
        <v>1</v>
      </c>
      <c r="I680">
        <v>2</v>
      </c>
      <c r="J680">
        <v>0.18</v>
      </c>
      <c r="K680">
        <f>Append1[[#This Row],[temp]]*100</f>
        <v>18</v>
      </c>
      <c r="L680">
        <v>0.19700000000000001</v>
      </c>
      <c r="M680">
        <v>0.55000000000000004</v>
      </c>
      <c r="N680">
        <v>0.1343</v>
      </c>
      <c r="O680">
        <v>1</v>
      </c>
      <c r="P680">
        <v>85</v>
      </c>
      <c r="Q680">
        <v>86</v>
      </c>
      <c r="R680" s="12" t="str">
        <f t="shared" si="50"/>
        <v>Mist/Cloudy</v>
      </c>
      <c r="S680" s="14" t="str">
        <f t="shared" si="51"/>
        <v>Winter</v>
      </c>
      <c r="T680" s="15" t="str">
        <f t="shared" si="52"/>
        <v>Monday</v>
      </c>
      <c r="U680" t="str">
        <f t="shared" si="53"/>
        <v>January</v>
      </c>
      <c r="V680" s="16" t="str">
        <f t="shared" si="54"/>
        <v>MODERATE</v>
      </c>
    </row>
    <row r="681" spans="1:22" x14ac:dyDescent="0.3">
      <c r="A681">
        <v>680</v>
      </c>
      <c r="B681" s="1">
        <v>40574</v>
      </c>
      <c r="C681">
        <v>1</v>
      </c>
      <c r="D681">
        <v>0</v>
      </c>
      <c r="E681">
        <v>1</v>
      </c>
      <c r="F681">
        <v>15</v>
      </c>
      <c r="G681" t="b">
        <f>IF(COUNTIF(AB$4:AB$20,Append1[[#This Row],[dteday]]) &gt; 0, TRUE, FALSE)</f>
        <v>0</v>
      </c>
      <c r="H681">
        <v>1</v>
      </c>
      <c r="I681">
        <v>2</v>
      </c>
      <c r="J681">
        <v>0.16</v>
      </c>
      <c r="K681">
        <f>Append1[[#This Row],[temp]]*100</f>
        <v>16</v>
      </c>
      <c r="L681">
        <v>0.18179999999999999</v>
      </c>
      <c r="M681">
        <v>0.59</v>
      </c>
      <c r="N681">
        <v>0.1343</v>
      </c>
      <c r="O681">
        <v>3</v>
      </c>
      <c r="P681">
        <v>41</v>
      </c>
      <c r="Q681">
        <v>44</v>
      </c>
      <c r="R681" s="12" t="str">
        <f t="shared" si="50"/>
        <v>Mist/Cloudy</v>
      </c>
      <c r="S681" s="14" t="str">
        <f t="shared" si="51"/>
        <v>Winter</v>
      </c>
      <c r="T681" s="15" t="str">
        <f t="shared" si="52"/>
        <v>Monday</v>
      </c>
      <c r="U681" t="str">
        <f t="shared" si="53"/>
        <v>January</v>
      </c>
      <c r="V681" s="16" t="str">
        <f t="shared" si="54"/>
        <v>MODERATE</v>
      </c>
    </row>
    <row r="682" spans="1:22" x14ac:dyDescent="0.3">
      <c r="A682">
        <v>681</v>
      </c>
      <c r="B682" s="1">
        <v>40574</v>
      </c>
      <c r="C682">
        <v>1</v>
      </c>
      <c r="D682">
        <v>0</v>
      </c>
      <c r="E682">
        <v>1</v>
      </c>
      <c r="F682">
        <v>16</v>
      </c>
      <c r="G682" t="b">
        <f>IF(COUNTIF(AB$4:AB$20,Append1[[#This Row],[dteday]]) &gt; 0, TRUE, FALSE)</f>
        <v>0</v>
      </c>
      <c r="H682">
        <v>1</v>
      </c>
      <c r="I682">
        <v>2</v>
      </c>
      <c r="J682">
        <v>0.16</v>
      </c>
      <c r="K682">
        <f>Append1[[#This Row],[temp]]*100</f>
        <v>16</v>
      </c>
      <c r="L682">
        <v>0.18179999999999999</v>
      </c>
      <c r="M682">
        <v>0.56000000000000005</v>
      </c>
      <c r="N682">
        <v>0.19400000000000001</v>
      </c>
      <c r="O682">
        <v>3</v>
      </c>
      <c r="P682">
        <v>83</v>
      </c>
      <c r="Q682">
        <v>86</v>
      </c>
      <c r="R682" s="12" t="str">
        <f t="shared" si="50"/>
        <v>Mist/Cloudy</v>
      </c>
      <c r="S682" s="14" t="str">
        <f t="shared" si="51"/>
        <v>Winter</v>
      </c>
      <c r="T682" s="15" t="str">
        <f t="shared" si="52"/>
        <v>Monday</v>
      </c>
      <c r="U682" t="str">
        <f t="shared" si="53"/>
        <v>January</v>
      </c>
      <c r="V682" s="16" t="str">
        <f t="shared" si="54"/>
        <v>MODERATE</v>
      </c>
    </row>
    <row r="683" spans="1:22" x14ac:dyDescent="0.3">
      <c r="A683">
        <v>682</v>
      </c>
      <c r="B683" s="1">
        <v>40574</v>
      </c>
      <c r="C683">
        <v>1</v>
      </c>
      <c r="D683">
        <v>0</v>
      </c>
      <c r="E683">
        <v>1</v>
      </c>
      <c r="F683">
        <v>17</v>
      </c>
      <c r="G683" t="b">
        <f>IF(COUNTIF(AB$4:AB$20,Append1[[#This Row],[dteday]]) &gt; 0, TRUE, FALSE)</f>
        <v>0</v>
      </c>
      <c r="H683">
        <v>1</v>
      </c>
      <c r="I683">
        <v>2</v>
      </c>
      <c r="J683">
        <v>0.16</v>
      </c>
      <c r="K683">
        <f>Append1[[#This Row],[temp]]*100</f>
        <v>16</v>
      </c>
      <c r="L683">
        <v>0.1515</v>
      </c>
      <c r="M683">
        <v>0.59</v>
      </c>
      <c r="N683">
        <v>0.19400000000000001</v>
      </c>
      <c r="O683">
        <v>6</v>
      </c>
      <c r="P683">
        <v>155</v>
      </c>
      <c r="Q683">
        <v>161</v>
      </c>
      <c r="R683" s="12" t="str">
        <f t="shared" si="50"/>
        <v>Mist/Cloudy</v>
      </c>
      <c r="S683" s="14" t="str">
        <f t="shared" si="51"/>
        <v>Winter</v>
      </c>
      <c r="T683" s="15" t="str">
        <f t="shared" si="52"/>
        <v>Monday</v>
      </c>
      <c r="U683" t="str">
        <f t="shared" si="53"/>
        <v>January</v>
      </c>
      <c r="V683" s="16" t="str">
        <f t="shared" si="54"/>
        <v>MODERATE</v>
      </c>
    </row>
    <row r="684" spans="1:22" x14ac:dyDescent="0.3">
      <c r="A684">
        <v>683</v>
      </c>
      <c r="B684" s="1">
        <v>40574</v>
      </c>
      <c r="C684">
        <v>1</v>
      </c>
      <c r="D684">
        <v>0</v>
      </c>
      <c r="E684">
        <v>1</v>
      </c>
      <c r="F684">
        <v>18</v>
      </c>
      <c r="G684" t="b">
        <f>IF(COUNTIF(AB$4:AB$20,Append1[[#This Row],[dteday]]) &gt; 0, TRUE, FALSE)</f>
        <v>0</v>
      </c>
      <c r="H684">
        <v>1</v>
      </c>
      <c r="I684">
        <v>2</v>
      </c>
      <c r="J684">
        <v>0.16</v>
      </c>
      <c r="K684">
        <f>Append1[[#This Row],[temp]]*100</f>
        <v>16</v>
      </c>
      <c r="L684">
        <v>0.1515</v>
      </c>
      <c r="M684">
        <v>0.55000000000000004</v>
      </c>
      <c r="N684">
        <v>0.22389999999999999</v>
      </c>
      <c r="O684">
        <v>3</v>
      </c>
      <c r="P684">
        <v>153</v>
      </c>
      <c r="Q684">
        <v>156</v>
      </c>
      <c r="R684" s="12" t="str">
        <f t="shared" si="50"/>
        <v>Mist/Cloudy</v>
      </c>
      <c r="S684" s="14" t="str">
        <f t="shared" si="51"/>
        <v>Winter</v>
      </c>
      <c r="T684" s="15" t="str">
        <f t="shared" si="52"/>
        <v>Monday</v>
      </c>
      <c r="U684" t="str">
        <f t="shared" si="53"/>
        <v>January</v>
      </c>
      <c r="V684" s="16" t="str">
        <f t="shared" si="54"/>
        <v>MODERATE</v>
      </c>
    </row>
    <row r="685" spans="1:22" x14ac:dyDescent="0.3">
      <c r="A685">
        <v>684</v>
      </c>
      <c r="B685" s="1">
        <v>40574</v>
      </c>
      <c r="C685">
        <v>1</v>
      </c>
      <c r="D685">
        <v>0</v>
      </c>
      <c r="E685">
        <v>1</v>
      </c>
      <c r="F685">
        <v>19</v>
      </c>
      <c r="G685" t="b">
        <f>IF(COUNTIF(AB$4:AB$20,Append1[[#This Row],[dteday]]) &gt; 0, TRUE, FALSE)</f>
        <v>0</v>
      </c>
      <c r="H685">
        <v>1</v>
      </c>
      <c r="I685">
        <v>1</v>
      </c>
      <c r="J685">
        <v>0.3</v>
      </c>
      <c r="K685">
        <f>Append1[[#This Row],[temp]]*100</f>
        <v>30</v>
      </c>
      <c r="L685">
        <v>0.31819999999999998</v>
      </c>
      <c r="M685">
        <v>0.61</v>
      </c>
      <c r="N685">
        <v>0.1045</v>
      </c>
      <c r="O685">
        <v>3</v>
      </c>
      <c r="P685">
        <v>108</v>
      </c>
      <c r="Q685">
        <v>111</v>
      </c>
      <c r="R685" s="12" t="str">
        <f t="shared" si="50"/>
        <v>Clear/Few Clouds</v>
      </c>
      <c r="S685" s="14" t="str">
        <f t="shared" si="51"/>
        <v>Winter</v>
      </c>
      <c r="T685" s="15" t="str">
        <f t="shared" si="52"/>
        <v>Monday</v>
      </c>
      <c r="U685" t="str">
        <f t="shared" si="53"/>
        <v>January</v>
      </c>
      <c r="V685" s="16" t="str">
        <f t="shared" si="54"/>
        <v>GOOD</v>
      </c>
    </row>
    <row r="686" spans="1:22" x14ac:dyDescent="0.3">
      <c r="A686">
        <v>685</v>
      </c>
      <c r="B686" s="1">
        <v>40574</v>
      </c>
      <c r="C686">
        <v>1</v>
      </c>
      <c r="D686">
        <v>0</v>
      </c>
      <c r="E686">
        <v>1</v>
      </c>
      <c r="F686">
        <v>20</v>
      </c>
      <c r="G686" t="b">
        <f>IF(COUNTIF(AB$4:AB$20,Append1[[#This Row],[dteday]]) &gt; 0, TRUE, FALSE)</f>
        <v>0</v>
      </c>
      <c r="H686">
        <v>1</v>
      </c>
      <c r="I686">
        <v>3</v>
      </c>
      <c r="J686">
        <v>0.16</v>
      </c>
      <c r="K686">
        <f>Append1[[#This Row],[temp]]*100</f>
        <v>16</v>
      </c>
      <c r="L686">
        <v>0.16669999999999999</v>
      </c>
      <c r="M686">
        <v>0.59</v>
      </c>
      <c r="N686">
        <v>0.16420000000000001</v>
      </c>
      <c r="O686">
        <v>0</v>
      </c>
      <c r="P686">
        <v>78</v>
      </c>
      <c r="Q686">
        <v>78</v>
      </c>
      <c r="R686" s="12" t="str">
        <f t="shared" si="50"/>
        <v>Light Rain/Snow</v>
      </c>
      <c r="S686" s="14" t="str">
        <f t="shared" si="51"/>
        <v>Winter</v>
      </c>
      <c r="T686" s="15" t="str">
        <f t="shared" si="52"/>
        <v>Monday</v>
      </c>
      <c r="U686" t="str">
        <f t="shared" si="53"/>
        <v>January</v>
      </c>
      <c r="V686" s="16" t="str">
        <f t="shared" si="54"/>
        <v>BAD</v>
      </c>
    </row>
    <row r="687" spans="1:22" x14ac:dyDescent="0.3">
      <c r="A687">
        <v>686</v>
      </c>
      <c r="B687" s="1">
        <v>40574</v>
      </c>
      <c r="C687">
        <v>1</v>
      </c>
      <c r="D687">
        <v>0</v>
      </c>
      <c r="E687">
        <v>1</v>
      </c>
      <c r="F687">
        <v>21</v>
      </c>
      <c r="G687" t="b">
        <f>IF(COUNTIF(AB$4:AB$20,Append1[[#This Row],[dteday]]) &gt; 0, TRUE, FALSE)</f>
        <v>0</v>
      </c>
      <c r="H687">
        <v>1</v>
      </c>
      <c r="I687">
        <v>3</v>
      </c>
      <c r="J687">
        <v>0.16</v>
      </c>
      <c r="K687">
        <f>Append1[[#This Row],[temp]]*100</f>
        <v>16</v>
      </c>
      <c r="L687">
        <v>0.19700000000000001</v>
      </c>
      <c r="M687">
        <v>0.59</v>
      </c>
      <c r="N687">
        <v>8.9599999999999999E-2</v>
      </c>
      <c r="O687">
        <v>3</v>
      </c>
      <c r="P687">
        <v>53</v>
      </c>
      <c r="Q687">
        <v>56</v>
      </c>
      <c r="R687" s="12" t="str">
        <f t="shared" si="50"/>
        <v>Light Rain/Snow</v>
      </c>
      <c r="S687" s="14" t="str">
        <f t="shared" si="51"/>
        <v>Winter</v>
      </c>
      <c r="T687" s="15" t="str">
        <f t="shared" si="52"/>
        <v>Monday</v>
      </c>
      <c r="U687" t="str">
        <f t="shared" si="53"/>
        <v>January</v>
      </c>
      <c r="V687" s="16" t="str">
        <f t="shared" si="54"/>
        <v>BAD</v>
      </c>
    </row>
    <row r="688" spans="1:22" x14ac:dyDescent="0.3">
      <c r="A688">
        <v>687</v>
      </c>
      <c r="B688" s="1">
        <v>40574</v>
      </c>
      <c r="C688">
        <v>1</v>
      </c>
      <c r="D688">
        <v>0</v>
      </c>
      <c r="E688">
        <v>1</v>
      </c>
      <c r="F688">
        <v>22</v>
      </c>
      <c r="G688" t="b">
        <f>IF(COUNTIF(AB$4:AB$20,Append1[[#This Row],[dteday]]) &gt; 0, TRUE, FALSE)</f>
        <v>0</v>
      </c>
      <c r="H688">
        <v>1</v>
      </c>
      <c r="I688">
        <v>2</v>
      </c>
      <c r="J688">
        <v>0.16</v>
      </c>
      <c r="K688">
        <f>Append1[[#This Row],[temp]]*100</f>
        <v>16</v>
      </c>
      <c r="L688">
        <v>0.18179999999999999</v>
      </c>
      <c r="M688">
        <v>0.59</v>
      </c>
      <c r="N688">
        <v>0.1045</v>
      </c>
      <c r="O688">
        <v>0</v>
      </c>
      <c r="P688">
        <v>34</v>
      </c>
      <c r="Q688">
        <v>34</v>
      </c>
      <c r="R688" s="12" t="str">
        <f t="shared" si="50"/>
        <v>Mist/Cloudy</v>
      </c>
      <c r="S688" s="14" t="str">
        <f t="shared" si="51"/>
        <v>Winter</v>
      </c>
      <c r="T688" s="15" t="str">
        <f t="shared" si="52"/>
        <v>Monday</v>
      </c>
      <c r="U688" t="str">
        <f t="shared" si="53"/>
        <v>January</v>
      </c>
      <c r="V688" s="16" t="str">
        <f t="shared" si="54"/>
        <v>MODERATE</v>
      </c>
    </row>
    <row r="689" spans="1:22" x14ac:dyDescent="0.3">
      <c r="A689">
        <v>688</v>
      </c>
      <c r="B689" s="1">
        <v>40574</v>
      </c>
      <c r="C689">
        <v>1</v>
      </c>
      <c r="D689">
        <v>0</v>
      </c>
      <c r="E689">
        <v>1</v>
      </c>
      <c r="F689">
        <v>23</v>
      </c>
      <c r="G689" t="b">
        <f>IF(COUNTIF(AB$4:AB$20,Append1[[#This Row],[dteday]]) &gt; 0, TRUE, FALSE)</f>
        <v>0</v>
      </c>
      <c r="H689">
        <v>1</v>
      </c>
      <c r="I689">
        <v>2</v>
      </c>
      <c r="J689">
        <v>0.16</v>
      </c>
      <c r="K689">
        <f>Append1[[#This Row],[temp]]*100</f>
        <v>16</v>
      </c>
      <c r="L689">
        <v>0.19700000000000001</v>
      </c>
      <c r="M689">
        <v>0.64</v>
      </c>
      <c r="N689">
        <v>8.9599999999999999E-2</v>
      </c>
      <c r="O689">
        <v>2</v>
      </c>
      <c r="P689">
        <v>15</v>
      </c>
      <c r="Q689">
        <v>17</v>
      </c>
      <c r="R689" s="12" t="str">
        <f t="shared" si="50"/>
        <v>Mist/Cloudy</v>
      </c>
      <c r="S689" s="14" t="str">
        <f t="shared" si="51"/>
        <v>Winter</v>
      </c>
      <c r="T689" s="15" t="str">
        <f t="shared" si="52"/>
        <v>Monday</v>
      </c>
      <c r="U689" t="str">
        <f t="shared" si="53"/>
        <v>January</v>
      </c>
      <c r="V689" s="16" t="str">
        <f t="shared" si="54"/>
        <v>MODERATE</v>
      </c>
    </row>
    <row r="690" spans="1:22" x14ac:dyDescent="0.3">
      <c r="A690">
        <v>689</v>
      </c>
      <c r="B690" s="1">
        <v>40575</v>
      </c>
      <c r="C690">
        <v>1</v>
      </c>
      <c r="D690">
        <v>0</v>
      </c>
      <c r="E690">
        <v>2</v>
      </c>
      <c r="F690">
        <v>0</v>
      </c>
      <c r="G690" t="b">
        <f>IF(COUNTIF(AB$4:AB$20,Append1[[#This Row],[dteday]]) &gt; 0, TRUE, FALSE)</f>
        <v>0</v>
      </c>
      <c r="H690">
        <v>2</v>
      </c>
      <c r="I690">
        <v>2</v>
      </c>
      <c r="J690">
        <v>0.16</v>
      </c>
      <c r="K690">
        <f>Append1[[#This Row],[temp]]*100</f>
        <v>16</v>
      </c>
      <c r="L690">
        <v>0.18179999999999999</v>
      </c>
      <c r="M690">
        <v>0.64</v>
      </c>
      <c r="N690">
        <v>0.1045</v>
      </c>
      <c r="O690">
        <v>2</v>
      </c>
      <c r="P690">
        <v>6</v>
      </c>
      <c r="Q690">
        <v>8</v>
      </c>
      <c r="R690" s="12" t="str">
        <f t="shared" si="50"/>
        <v>Mist/Cloudy</v>
      </c>
      <c r="S690" s="14" t="str">
        <f t="shared" si="51"/>
        <v>Winter</v>
      </c>
      <c r="T690" s="15" t="str">
        <f t="shared" si="52"/>
        <v>Tuesday</v>
      </c>
      <c r="U690" t="str">
        <f t="shared" si="53"/>
        <v>February</v>
      </c>
      <c r="V690" s="16" t="str">
        <f t="shared" si="54"/>
        <v>MODERATE</v>
      </c>
    </row>
    <row r="691" spans="1:22" x14ac:dyDescent="0.3">
      <c r="A691">
        <v>690</v>
      </c>
      <c r="B691" s="1">
        <v>40575</v>
      </c>
      <c r="C691">
        <v>1</v>
      </c>
      <c r="D691">
        <v>0</v>
      </c>
      <c r="E691">
        <v>2</v>
      </c>
      <c r="F691">
        <v>1</v>
      </c>
      <c r="G691" t="b">
        <f>IF(COUNTIF(AB$4:AB$20,Append1[[#This Row],[dteday]]) &gt; 0, TRUE, FALSE)</f>
        <v>0</v>
      </c>
      <c r="H691">
        <v>2</v>
      </c>
      <c r="I691">
        <v>2</v>
      </c>
      <c r="J691">
        <v>0.16</v>
      </c>
      <c r="K691">
        <f>Append1[[#This Row],[temp]]*100</f>
        <v>16</v>
      </c>
      <c r="L691">
        <v>0.18179999999999999</v>
      </c>
      <c r="M691">
        <v>0.69</v>
      </c>
      <c r="N691">
        <v>0.1045</v>
      </c>
      <c r="O691">
        <v>0</v>
      </c>
      <c r="P691">
        <v>3</v>
      </c>
      <c r="Q691">
        <v>3</v>
      </c>
      <c r="R691" s="12" t="str">
        <f t="shared" si="50"/>
        <v>Mist/Cloudy</v>
      </c>
      <c r="S691" s="14" t="str">
        <f t="shared" si="51"/>
        <v>Winter</v>
      </c>
      <c r="T691" s="15" t="str">
        <f t="shared" si="52"/>
        <v>Tuesday</v>
      </c>
      <c r="U691" t="str">
        <f t="shared" si="53"/>
        <v>February</v>
      </c>
      <c r="V691" s="16" t="str">
        <f t="shared" si="54"/>
        <v>MODERATE</v>
      </c>
    </row>
    <row r="692" spans="1:22" x14ac:dyDescent="0.3">
      <c r="A692">
        <v>691</v>
      </c>
      <c r="B692" s="1">
        <v>40575</v>
      </c>
      <c r="C692">
        <v>1</v>
      </c>
      <c r="D692">
        <v>0</v>
      </c>
      <c r="E692">
        <v>2</v>
      </c>
      <c r="F692">
        <v>2</v>
      </c>
      <c r="G692" t="b">
        <f>IF(COUNTIF(AB$4:AB$20,Append1[[#This Row],[dteday]]) &gt; 0, TRUE, FALSE)</f>
        <v>0</v>
      </c>
      <c r="H692">
        <v>2</v>
      </c>
      <c r="I692">
        <v>2</v>
      </c>
      <c r="J692">
        <v>0.16</v>
      </c>
      <c r="K692">
        <f>Append1[[#This Row],[temp]]*100</f>
        <v>16</v>
      </c>
      <c r="L692">
        <v>0.2273</v>
      </c>
      <c r="M692">
        <v>0.69</v>
      </c>
      <c r="N692">
        <v>0</v>
      </c>
      <c r="O692">
        <v>0</v>
      </c>
      <c r="P692">
        <v>2</v>
      </c>
      <c r="Q692">
        <v>2</v>
      </c>
      <c r="R692" s="12" t="str">
        <f t="shared" si="50"/>
        <v>Mist/Cloudy</v>
      </c>
      <c r="S692" s="14" t="str">
        <f t="shared" si="51"/>
        <v>Winter</v>
      </c>
      <c r="T692" s="15" t="str">
        <f t="shared" si="52"/>
        <v>Tuesday</v>
      </c>
      <c r="U692" t="str">
        <f t="shared" si="53"/>
        <v>February</v>
      </c>
      <c r="V692" s="16" t="str">
        <f t="shared" si="54"/>
        <v>MODERATE</v>
      </c>
    </row>
    <row r="693" spans="1:22" x14ac:dyDescent="0.3">
      <c r="A693">
        <v>692</v>
      </c>
      <c r="B693" s="1">
        <v>40575</v>
      </c>
      <c r="C693">
        <v>1</v>
      </c>
      <c r="D693">
        <v>0</v>
      </c>
      <c r="E693">
        <v>2</v>
      </c>
      <c r="F693">
        <v>3</v>
      </c>
      <c r="G693" t="b">
        <f>IF(COUNTIF(AB$4:AB$20,Append1[[#This Row],[dteday]]) &gt; 0, TRUE, FALSE)</f>
        <v>0</v>
      </c>
      <c r="H693">
        <v>2</v>
      </c>
      <c r="I693">
        <v>2</v>
      </c>
      <c r="J693">
        <v>0.16</v>
      </c>
      <c r="K693">
        <f>Append1[[#This Row],[temp]]*100</f>
        <v>16</v>
      </c>
      <c r="L693">
        <v>0.2273</v>
      </c>
      <c r="M693">
        <v>0.69</v>
      </c>
      <c r="N693">
        <v>0</v>
      </c>
      <c r="O693">
        <v>0</v>
      </c>
      <c r="P693">
        <v>2</v>
      </c>
      <c r="Q693">
        <v>2</v>
      </c>
      <c r="R693" s="12" t="str">
        <f t="shared" si="50"/>
        <v>Mist/Cloudy</v>
      </c>
      <c r="S693" s="14" t="str">
        <f t="shared" si="51"/>
        <v>Winter</v>
      </c>
      <c r="T693" s="15" t="str">
        <f t="shared" si="52"/>
        <v>Tuesday</v>
      </c>
      <c r="U693" t="str">
        <f t="shared" si="53"/>
        <v>February</v>
      </c>
      <c r="V693" s="16" t="str">
        <f t="shared" si="54"/>
        <v>MODERATE</v>
      </c>
    </row>
    <row r="694" spans="1:22" x14ac:dyDescent="0.3">
      <c r="A694">
        <v>693</v>
      </c>
      <c r="B694" s="1">
        <v>40575</v>
      </c>
      <c r="C694">
        <v>1</v>
      </c>
      <c r="D694">
        <v>0</v>
      </c>
      <c r="E694">
        <v>2</v>
      </c>
      <c r="F694">
        <v>5</v>
      </c>
      <c r="G694" t="b">
        <f>IF(COUNTIF(AB$4:AB$20,Append1[[#This Row],[dteday]]) &gt; 0, TRUE, FALSE)</f>
        <v>0</v>
      </c>
      <c r="H694">
        <v>2</v>
      </c>
      <c r="I694">
        <v>3</v>
      </c>
      <c r="J694">
        <v>0.14000000000000001</v>
      </c>
      <c r="K694">
        <f>Append1[[#This Row],[temp]]*100</f>
        <v>14.000000000000002</v>
      </c>
      <c r="L694">
        <v>0.21210000000000001</v>
      </c>
      <c r="M694">
        <v>0.93</v>
      </c>
      <c r="N694">
        <v>0</v>
      </c>
      <c r="O694">
        <v>0</v>
      </c>
      <c r="P694">
        <v>3</v>
      </c>
      <c r="Q694">
        <v>3</v>
      </c>
      <c r="R694" s="12" t="str">
        <f t="shared" si="50"/>
        <v>Light Rain/Snow</v>
      </c>
      <c r="S694" s="14" t="str">
        <f t="shared" si="51"/>
        <v>Winter</v>
      </c>
      <c r="T694" s="15" t="str">
        <f t="shared" si="52"/>
        <v>Tuesday</v>
      </c>
      <c r="U694" t="str">
        <f t="shared" si="53"/>
        <v>February</v>
      </c>
      <c r="V694" s="16" t="str">
        <f t="shared" si="54"/>
        <v>BAD</v>
      </c>
    </row>
    <row r="695" spans="1:22" x14ac:dyDescent="0.3">
      <c r="A695">
        <v>694</v>
      </c>
      <c r="B695" s="1">
        <v>40575</v>
      </c>
      <c r="C695">
        <v>1</v>
      </c>
      <c r="D695">
        <v>0</v>
      </c>
      <c r="E695">
        <v>2</v>
      </c>
      <c r="F695">
        <v>6</v>
      </c>
      <c r="G695" t="b">
        <f>IF(COUNTIF(AB$4:AB$20,Append1[[#This Row],[dteday]]) &gt; 0, TRUE, FALSE)</f>
        <v>0</v>
      </c>
      <c r="H695">
        <v>2</v>
      </c>
      <c r="I695">
        <v>3</v>
      </c>
      <c r="J695">
        <v>0.14000000000000001</v>
      </c>
      <c r="K695">
        <f>Append1[[#This Row],[temp]]*100</f>
        <v>14.000000000000002</v>
      </c>
      <c r="L695">
        <v>0.21210000000000001</v>
      </c>
      <c r="M695">
        <v>0.93</v>
      </c>
      <c r="N695">
        <v>0</v>
      </c>
      <c r="O695">
        <v>0</v>
      </c>
      <c r="P695">
        <v>22</v>
      </c>
      <c r="Q695">
        <v>22</v>
      </c>
      <c r="R695" s="12" t="str">
        <f t="shared" si="50"/>
        <v>Light Rain/Snow</v>
      </c>
      <c r="S695" s="14" t="str">
        <f t="shared" si="51"/>
        <v>Winter</v>
      </c>
      <c r="T695" s="15" t="str">
        <f t="shared" si="52"/>
        <v>Tuesday</v>
      </c>
      <c r="U695" t="str">
        <f t="shared" si="53"/>
        <v>February</v>
      </c>
      <c r="V695" s="16" t="str">
        <f t="shared" si="54"/>
        <v>BAD</v>
      </c>
    </row>
    <row r="696" spans="1:22" x14ac:dyDescent="0.3">
      <c r="A696">
        <v>695</v>
      </c>
      <c r="B696" s="1">
        <v>40575</v>
      </c>
      <c r="C696">
        <v>1</v>
      </c>
      <c r="D696">
        <v>0</v>
      </c>
      <c r="E696">
        <v>2</v>
      </c>
      <c r="F696">
        <v>7</v>
      </c>
      <c r="G696" t="b">
        <f>IF(COUNTIF(AB$4:AB$20,Append1[[#This Row],[dteday]]) &gt; 0, TRUE, FALSE)</f>
        <v>0</v>
      </c>
      <c r="H696">
        <v>2</v>
      </c>
      <c r="I696">
        <v>3</v>
      </c>
      <c r="J696">
        <v>0.16</v>
      </c>
      <c r="K696">
        <f>Append1[[#This Row],[temp]]*100</f>
        <v>16</v>
      </c>
      <c r="L696">
        <v>0.2273</v>
      </c>
      <c r="M696">
        <v>0.93</v>
      </c>
      <c r="N696">
        <v>0</v>
      </c>
      <c r="O696">
        <v>0</v>
      </c>
      <c r="P696">
        <v>52</v>
      </c>
      <c r="Q696">
        <v>52</v>
      </c>
      <c r="R696" s="12" t="str">
        <f t="shared" si="50"/>
        <v>Light Rain/Snow</v>
      </c>
      <c r="S696" s="14" t="str">
        <f t="shared" si="51"/>
        <v>Winter</v>
      </c>
      <c r="T696" s="15" t="str">
        <f t="shared" si="52"/>
        <v>Tuesday</v>
      </c>
      <c r="U696" t="str">
        <f t="shared" si="53"/>
        <v>February</v>
      </c>
      <c r="V696" s="16" t="str">
        <f t="shared" si="54"/>
        <v>BAD</v>
      </c>
    </row>
    <row r="697" spans="1:22" x14ac:dyDescent="0.3">
      <c r="A697">
        <v>696</v>
      </c>
      <c r="B697" s="1">
        <v>40575</v>
      </c>
      <c r="C697">
        <v>1</v>
      </c>
      <c r="D697">
        <v>0</v>
      </c>
      <c r="E697">
        <v>2</v>
      </c>
      <c r="F697">
        <v>8</v>
      </c>
      <c r="G697" t="b">
        <f>IF(COUNTIF(AB$4:AB$20,Append1[[#This Row],[dteday]]) &gt; 0, TRUE, FALSE)</f>
        <v>0</v>
      </c>
      <c r="H697">
        <v>2</v>
      </c>
      <c r="I697">
        <v>3</v>
      </c>
      <c r="J697">
        <v>0.16</v>
      </c>
      <c r="K697">
        <f>Append1[[#This Row],[temp]]*100</f>
        <v>16</v>
      </c>
      <c r="L697">
        <v>0.2273</v>
      </c>
      <c r="M697">
        <v>0.93</v>
      </c>
      <c r="N697">
        <v>0</v>
      </c>
      <c r="O697">
        <v>3</v>
      </c>
      <c r="P697">
        <v>132</v>
      </c>
      <c r="Q697">
        <v>135</v>
      </c>
      <c r="R697" s="12" t="str">
        <f t="shared" si="50"/>
        <v>Light Rain/Snow</v>
      </c>
      <c r="S697" s="14" t="str">
        <f t="shared" si="51"/>
        <v>Winter</v>
      </c>
      <c r="T697" s="15" t="str">
        <f t="shared" si="52"/>
        <v>Tuesday</v>
      </c>
      <c r="U697" t="str">
        <f t="shared" si="53"/>
        <v>February</v>
      </c>
      <c r="V697" s="16" t="str">
        <f t="shared" si="54"/>
        <v>BAD</v>
      </c>
    </row>
    <row r="698" spans="1:22" x14ac:dyDescent="0.3">
      <c r="A698">
        <v>697</v>
      </c>
      <c r="B698" s="1">
        <v>40575</v>
      </c>
      <c r="C698">
        <v>1</v>
      </c>
      <c r="D698">
        <v>0</v>
      </c>
      <c r="E698">
        <v>2</v>
      </c>
      <c r="F698">
        <v>9</v>
      </c>
      <c r="G698" t="b">
        <f>IF(COUNTIF(AB$4:AB$20,Append1[[#This Row],[dteday]]) &gt; 0, TRUE, FALSE)</f>
        <v>0</v>
      </c>
      <c r="H698">
        <v>2</v>
      </c>
      <c r="I698">
        <v>2</v>
      </c>
      <c r="J698">
        <v>0.16</v>
      </c>
      <c r="K698">
        <f>Append1[[#This Row],[temp]]*100</f>
        <v>16</v>
      </c>
      <c r="L698">
        <v>0.2273</v>
      </c>
      <c r="M698">
        <v>0.93</v>
      </c>
      <c r="N698">
        <v>0</v>
      </c>
      <c r="O698">
        <v>2</v>
      </c>
      <c r="P698">
        <v>114</v>
      </c>
      <c r="Q698">
        <v>116</v>
      </c>
      <c r="R698" s="12" t="str">
        <f t="shared" si="50"/>
        <v>Mist/Cloudy</v>
      </c>
      <c r="S698" s="14" t="str">
        <f t="shared" si="51"/>
        <v>Winter</v>
      </c>
      <c r="T698" s="15" t="str">
        <f t="shared" si="52"/>
        <v>Tuesday</v>
      </c>
      <c r="U698" t="str">
        <f t="shared" si="53"/>
        <v>February</v>
      </c>
      <c r="V698" s="16" t="str">
        <f t="shared" si="54"/>
        <v>MODERATE</v>
      </c>
    </row>
    <row r="699" spans="1:22" x14ac:dyDescent="0.3">
      <c r="A699">
        <v>698</v>
      </c>
      <c r="B699" s="1">
        <v>40575</v>
      </c>
      <c r="C699">
        <v>1</v>
      </c>
      <c r="D699">
        <v>0</v>
      </c>
      <c r="E699">
        <v>2</v>
      </c>
      <c r="F699">
        <v>10</v>
      </c>
      <c r="G699" t="b">
        <f>IF(COUNTIF(AB$4:AB$20,Append1[[#This Row],[dteday]]) &gt; 0, TRUE, FALSE)</f>
        <v>0</v>
      </c>
      <c r="H699">
        <v>2</v>
      </c>
      <c r="I699">
        <v>2</v>
      </c>
      <c r="J699">
        <v>0.16</v>
      </c>
      <c r="K699">
        <f>Append1[[#This Row],[temp]]*100</f>
        <v>16</v>
      </c>
      <c r="L699">
        <v>0.2273</v>
      </c>
      <c r="M699">
        <v>0.93</v>
      </c>
      <c r="N699">
        <v>0</v>
      </c>
      <c r="O699">
        <v>0</v>
      </c>
      <c r="P699">
        <v>47</v>
      </c>
      <c r="Q699">
        <v>47</v>
      </c>
      <c r="R699" s="12" t="str">
        <f t="shared" si="50"/>
        <v>Mist/Cloudy</v>
      </c>
      <c r="S699" s="14" t="str">
        <f t="shared" si="51"/>
        <v>Winter</v>
      </c>
      <c r="T699" s="15" t="str">
        <f t="shared" si="52"/>
        <v>Tuesday</v>
      </c>
      <c r="U699" t="str">
        <f t="shared" si="53"/>
        <v>February</v>
      </c>
      <c r="V699" s="16" t="str">
        <f t="shared" si="54"/>
        <v>MODERATE</v>
      </c>
    </row>
    <row r="700" spans="1:22" x14ac:dyDescent="0.3">
      <c r="A700">
        <v>699</v>
      </c>
      <c r="B700" s="1">
        <v>40575</v>
      </c>
      <c r="C700">
        <v>1</v>
      </c>
      <c r="D700">
        <v>0</v>
      </c>
      <c r="E700">
        <v>2</v>
      </c>
      <c r="F700">
        <v>11</v>
      </c>
      <c r="G700" t="b">
        <f>IF(COUNTIF(AB$4:AB$20,Append1[[#This Row],[dteday]]) &gt; 0, TRUE, FALSE)</f>
        <v>0</v>
      </c>
      <c r="H700">
        <v>2</v>
      </c>
      <c r="I700">
        <v>2</v>
      </c>
      <c r="J700">
        <v>0.18</v>
      </c>
      <c r="K700">
        <f>Append1[[#This Row],[temp]]*100</f>
        <v>18</v>
      </c>
      <c r="L700">
        <v>0.2424</v>
      </c>
      <c r="M700">
        <v>0.86</v>
      </c>
      <c r="N700">
        <v>0</v>
      </c>
      <c r="O700">
        <v>2</v>
      </c>
      <c r="P700">
        <v>49</v>
      </c>
      <c r="Q700">
        <v>51</v>
      </c>
      <c r="R700" s="12" t="str">
        <f t="shared" si="50"/>
        <v>Mist/Cloudy</v>
      </c>
      <c r="S700" s="14" t="str">
        <f t="shared" si="51"/>
        <v>Winter</v>
      </c>
      <c r="T700" s="15" t="str">
        <f t="shared" si="52"/>
        <v>Tuesday</v>
      </c>
      <c r="U700" t="str">
        <f t="shared" si="53"/>
        <v>February</v>
      </c>
      <c r="V700" s="16" t="str">
        <f t="shared" si="54"/>
        <v>MODERATE</v>
      </c>
    </row>
    <row r="701" spans="1:22" x14ac:dyDescent="0.3">
      <c r="A701">
        <v>700</v>
      </c>
      <c r="B701" s="1">
        <v>40575</v>
      </c>
      <c r="C701">
        <v>1</v>
      </c>
      <c r="D701">
        <v>0</v>
      </c>
      <c r="E701">
        <v>2</v>
      </c>
      <c r="F701">
        <v>12</v>
      </c>
      <c r="G701" t="b">
        <f>IF(COUNTIF(AB$4:AB$20,Append1[[#This Row],[dteday]]) &gt; 0, TRUE, FALSE)</f>
        <v>0</v>
      </c>
      <c r="H701">
        <v>2</v>
      </c>
      <c r="I701">
        <v>2</v>
      </c>
      <c r="J701">
        <v>0.2</v>
      </c>
      <c r="K701">
        <f>Append1[[#This Row],[temp]]*100</f>
        <v>20</v>
      </c>
      <c r="L701">
        <v>0.2576</v>
      </c>
      <c r="M701">
        <v>0.86</v>
      </c>
      <c r="N701">
        <v>0</v>
      </c>
      <c r="O701">
        <v>2</v>
      </c>
      <c r="P701">
        <v>53</v>
      </c>
      <c r="Q701">
        <v>55</v>
      </c>
      <c r="R701" s="12" t="str">
        <f t="shared" si="50"/>
        <v>Mist/Cloudy</v>
      </c>
      <c r="S701" s="14" t="str">
        <f t="shared" si="51"/>
        <v>Winter</v>
      </c>
      <c r="T701" s="15" t="str">
        <f t="shared" si="52"/>
        <v>Tuesday</v>
      </c>
      <c r="U701" t="str">
        <f t="shared" si="53"/>
        <v>February</v>
      </c>
      <c r="V701" s="16" t="str">
        <f t="shared" si="54"/>
        <v>MODERATE</v>
      </c>
    </row>
    <row r="702" spans="1:22" x14ac:dyDescent="0.3">
      <c r="A702">
        <v>701</v>
      </c>
      <c r="B702" s="1">
        <v>40575</v>
      </c>
      <c r="C702">
        <v>1</v>
      </c>
      <c r="D702">
        <v>0</v>
      </c>
      <c r="E702">
        <v>2</v>
      </c>
      <c r="F702">
        <v>13</v>
      </c>
      <c r="G702" t="b">
        <f>IF(COUNTIF(AB$4:AB$20,Append1[[#This Row],[dteday]]) &gt; 0, TRUE, FALSE)</f>
        <v>0</v>
      </c>
      <c r="H702">
        <v>2</v>
      </c>
      <c r="I702">
        <v>2</v>
      </c>
      <c r="J702">
        <v>0.2</v>
      </c>
      <c r="K702">
        <f>Append1[[#This Row],[temp]]*100</f>
        <v>20</v>
      </c>
      <c r="L702">
        <v>0.2576</v>
      </c>
      <c r="M702">
        <v>0.86</v>
      </c>
      <c r="N702">
        <v>0</v>
      </c>
      <c r="O702">
        <v>3</v>
      </c>
      <c r="P702">
        <v>49</v>
      </c>
      <c r="Q702">
        <v>52</v>
      </c>
      <c r="R702" s="12" t="str">
        <f t="shared" si="50"/>
        <v>Mist/Cloudy</v>
      </c>
      <c r="S702" s="14" t="str">
        <f t="shared" si="51"/>
        <v>Winter</v>
      </c>
      <c r="T702" s="15" t="str">
        <f t="shared" si="52"/>
        <v>Tuesday</v>
      </c>
      <c r="U702" t="str">
        <f t="shared" si="53"/>
        <v>February</v>
      </c>
      <c r="V702" s="16" t="str">
        <f t="shared" si="54"/>
        <v>MODERATE</v>
      </c>
    </row>
    <row r="703" spans="1:22" x14ac:dyDescent="0.3">
      <c r="A703">
        <v>702</v>
      </c>
      <c r="B703" s="1">
        <v>40575</v>
      </c>
      <c r="C703">
        <v>1</v>
      </c>
      <c r="D703">
        <v>0</v>
      </c>
      <c r="E703">
        <v>2</v>
      </c>
      <c r="F703">
        <v>14</v>
      </c>
      <c r="G703" t="b">
        <f>IF(COUNTIF(AB$4:AB$20,Append1[[#This Row],[dteday]]) &gt; 0, TRUE, FALSE)</f>
        <v>0</v>
      </c>
      <c r="H703">
        <v>2</v>
      </c>
      <c r="I703">
        <v>2</v>
      </c>
      <c r="J703">
        <v>0.22</v>
      </c>
      <c r="K703">
        <f>Append1[[#This Row],[temp]]*100</f>
        <v>22</v>
      </c>
      <c r="L703">
        <v>0.2576</v>
      </c>
      <c r="M703">
        <v>0.8</v>
      </c>
      <c r="N703">
        <v>8.9599999999999999E-2</v>
      </c>
      <c r="O703">
        <v>5</v>
      </c>
      <c r="P703">
        <v>49</v>
      </c>
      <c r="Q703">
        <v>54</v>
      </c>
      <c r="R703" s="12" t="str">
        <f t="shared" si="50"/>
        <v>Mist/Cloudy</v>
      </c>
      <c r="S703" s="14" t="str">
        <f t="shared" si="51"/>
        <v>Winter</v>
      </c>
      <c r="T703" s="15" t="str">
        <f t="shared" si="52"/>
        <v>Tuesday</v>
      </c>
      <c r="U703" t="str">
        <f t="shared" si="53"/>
        <v>February</v>
      </c>
      <c r="V703" s="16" t="str">
        <f t="shared" si="54"/>
        <v>MODERATE</v>
      </c>
    </row>
    <row r="704" spans="1:22" x14ac:dyDescent="0.3">
      <c r="A704">
        <v>703</v>
      </c>
      <c r="B704" s="1">
        <v>40575</v>
      </c>
      <c r="C704">
        <v>1</v>
      </c>
      <c r="D704">
        <v>0</v>
      </c>
      <c r="E704">
        <v>2</v>
      </c>
      <c r="F704">
        <v>15</v>
      </c>
      <c r="G704" t="b">
        <f>IF(COUNTIF(AB$4:AB$20,Append1[[#This Row],[dteday]]) &gt; 0, TRUE, FALSE)</f>
        <v>0</v>
      </c>
      <c r="H704">
        <v>2</v>
      </c>
      <c r="I704">
        <v>2</v>
      </c>
      <c r="J704">
        <v>0.24</v>
      </c>
      <c r="K704">
        <f>Append1[[#This Row],[temp]]*100</f>
        <v>24</v>
      </c>
      <c r="L704">
        <v>0.28789999999999999</v>
      </c>
      <c r="M704">
        <v>0.75</v>
      </c>
      <c r="N704">
        <v>0</v>
      </c>
      <c r="O704">
        <v>7</v>
      </c>
      <c r="P704">
        <v>45</v>
      </c>
      <c r="Q704">
        <v>52</v>
      </c>
      <c r="R704" s="12" t="str">
        <f t="shared" si="50"/>
        <v>Mist/Cloudy</v>
      </c>
      <c r="S704" s="14" t="str">
        <f t="shared" si="51"/>
        <v>Winter</v>
      </c>
      <c r="T704" s="15" t="str">
        <f t="shared" si="52"/>
        <v>Tuesday</v>
      </c>
      <c r="U704" t="str">
        <f t="shared" si="53"/>
        <v>February</v>
      </c>
      <c r="V704" s="16" t="str">
        <f t="shared" si="54"/>
        <v>MODERATE</v>
      </c>
    </row>
    <row r="705" spans="1:22" x14ac:dyDescent="0.3">
      <c r="A705">
        <v>704</v>
      </c>
      <c r="B705" s="1">
        <v>40575</v>
      </c>
      <c r="C705">
        <v>1</v>
      </c>
      <c r="D705">
        <v>0</v>
      </c>
      <c r="E705">
        <v>2</v>
      </c>
      <c r="F705">
        <v>16</v>
      </c>
      <c r="G705" t="b">
        <f>IF(COUNTIF(AB$4:AB$20,Append1[[#This Row],[dteday]]) &gt; 0, TRUE, FALSE)</f>
        <v>0</v>
      </c>
      <c r="H705">
        <v>2</v>
      </c>
      <c r="I705">
        <v>2</v>
      </c>
      <c r="J705">
        <v>0.24</v>
      </c>
      <c r="K705">
        <f>Append1[[#This Row],[temp]]*100</f>
        <v>24</v>
      </c>
      <c r="L705">
        <v>0.2424</v>
      </c>
      <c r="M705">
        <v>0.75</v>
      </c>
      <c r="N705">
        <v>0.1343</v>
      </c>
      <c r="O705">
        <v>3</v>
      </c>
      <c r="P705">
        <v>61</v>
      </c>
      <c r="Q705">
        <v>64</v>
      </c>
      <c r="R705" s="12" t="str">
        <f t="shared" si="50"/>
        <v>Mist/Cloudy</v>
      </c>
      <c r="S705" s="14" t="str">
        <f t="shared" si="51"/>
        <v>Winter</v>
      </c>
      <c r="T705" s="15" t="str">
        <f t="shared" si="52"/>
        <v>Tuesday</v>
      </c>
      <c r="U705" t="str">
        <f t="shared" si="53"/>
        <v>February</v>
      </c>
      <c r="V705" s="16" t="str">
        <f t="shared" si="54"/>
        <v>MODERATE</v>
      </c>
    </row>
    <row r="706" spans="1:22" x14ac:dyDescent="0.3">
      <c r="A706">
        <v>705</v>
      </c>
      <c r="B706" s="1">
        <v>40575</v>
      </c>
      <c r="C706">
        <v>1</v>
      </c>
      <c r="D706">
        <v>0</v>
      </c>
      <c r="E706">
        <v>2</v>
      </c>
      <c r="F706">
        <v>17</v>
      </c>
      <c r="G706" t="b">
        <f>IF(COUNTIF(AB$4:AB$20,Append1[[#This Row],[dteday]]) &gt; 0, TRUE, FALSE)</f>
        <v>0</v>
      </c>
      <c r="H706">
        <v>2</v>
      </c>
      <c r="I706">
        <v>2</v>
      </c>
      <c r="J706">
        <v>0.24</v>
      </c>
      <c r="K706">
        <f>Append1[[#This Row],[temp]]*100</f>
        <v>24</v>
      </c>
      <c r="L706">
        <v>0.28789999999999999</v>
      </c>
      <c r="M706">
        <v>0.75</v>
      </c>
      <c r="N706">
        <v>0</v>
      </c>
      <c r="O706">
        <v>4</v>
      </c>
      <c r="P706">
        <v>172</v>
      </c>
      <c r="Q706">
        <v>176</v>
      </c>
      <c r="R706" s="12" t="str">
        <f t="shared" ref="R706:R769" si="55">_xlfn.IFS(I706=1,"Clear/Few Clouds",I706=2,"Mist/Cloudy",I706=3,"Light Rain/Snow",I706=4,"Heavy Rain/Snow")</f>
        <v>Mist/Cloudy</v>
      </c>
      <c r="S706" s="14" t="str">
        <f t="shared" ref="S706:S769" si="56">_xlfn.IFS(C706=1,"Winter",C706=2,"Spring",C706=3,"Summer",C706=4,"Autumn")</f>
        <v>Winter</v>
      </c>
      <c r="T706" s="15" t="str">
        <f t="shared" ref="T706:T769" si="57">TEXT(B706,"dddd")</f>
        <v>Tuesday</v>
      </c>
      <c r="U706" t="str">
        <f t="shared" ref="U706:U769" si="58">TEXT(B706,"mmmm")</f>
        <v>February</v>
      </c>
      <c r="V706" s="16" t="str">
        <f t="shared" ref="V706:V769" si="59">_xlfn.IFS(I706=1,"GOOD",I706=2,"MODERATE",I706=3,"BAD",I706=4,"WORSE")</f>
        <v>MODERATE</v>
      </c>
    </row>
    <row r="707" spans="1:22" x14ac:dyDescent="0.3">
      <c r="A707">
        <v>706</v>
      </c>
      <c r="B707" s="1">
        <v>40575</v>
      </c>
      <c r="C707">
        <v>1</v>
      </c>
      <c r="D707">
        <v>0</v>
      </c>
      <c r="E707">
        <v>2</v>
      </c>
      <c r="F707">
        <v>18</v>
      </c>
      <c r="G707" t="b">
        <f>IF(COUNTIF(AB$4:AB$20,Append1[[#This Row],[dteday]]) &gt; 0, TRUE, FALSE)</f>
        <v>0</v>
      </c>
      <c r="H707">
        <v>2</v>
      </c>
      <c r="I707">
        <v>2</v>
      </c>
      <c r="J707">
        <v>0.24</v>
      </c>
      <c r="K707">
        <f>Append1[[#This Row],[temp]]*100</f>
        <v>24</v>
      </c>
      <c r="L707">
        <v>0.2576</v>
      </c>
      <c r="M707">
        <v>0.81</v>
      </c>
      <c r="N707">
        <v>0.1045</v>
      </c>
      <c r="O707">
        <v>3</v>
      </c>
      <c r="P707">
        <v>165</v>
      </c>
      <c r="Q707">
        <v>168</v>
      </c>
      <c r="R707" s="12" t="str">
        <f t="shared" si="55"/>
        <v>Mist/Cloudy</v>
      </c>
      <c r="S707" s="14" t="str">
        <f t="shared" si="56"/>
        <v>Winter</v>
      </c>
      <c r="T707" s="15" t="str">
        <f t="shared" si="57"/>
        <v>Tuesday</v>
      </c>
      <c r="U707" t="str">
        <f t="shared" si="58"/>
        <v>February</v>
      </c>
      <c r="V707" s="16" t="str">
        <f t="shared" si="59"/>
        <v>MODERATE</v>
      </c>
    </row>
    <row r="708" spans="1:22" x14ac:dyDescent="0.3">
      <c r="A708">
        <v>707</v>
      </c>
      <c r="B708" s="1">
        <v>40575</v>
      </c>
      <c r="C708">
        <v>1</v>
      </c>
      <c r="D708">
        <v>0</v>
      </c>
      <c r="E708">
        <v>2</v>
      </c>
      <c r="F708">
        <v>19</v>
      </c>
      <c r="G708" t="b">
        <f>IF(COUNTIF(AB$4:AB$20,Append1[[#This Row],[dteday]]) &gt; 0, TRUE, FALSE)</f>
        <v>0</v>
      </c>
      <c r="H708">
        <v>2</v>
      </c>
      <c r="I708">
        <v>2</v>
      </c>
      <c r="J708">
        <v>0.24</v>
      </c>
      <c r="K708">
        <f>Append1[[#This Row],[temp]]*100</f>
        <v>24</v>
      </c>
      <c r="L708">
        <v>0.2424</v>
      </c>
      <c r="M708">
        <v>0.81</v>
      </c>
      <c r="N708">
        <v>0.1343</v>
      </c>
      <c r="O708">
        <v>3</v>
      </c>
      <c r="P708">
        <v>105</v>
      </c>
      <c r="Q708">
        <v>108</v>
      </c>
      <c r="R708" s="12" t="str">
        <f t="shared" si="55"/>
        <v>Mist/Cloudy</v>
      </c>
      <c r="S708" s="14" t="str">
        <f t="shared" si="56"/>
        <v>Winter</v>
      </c>
      <c r="T708" s="15" t="str">
        <f t="shared" si="57"/>
        <v>Tuesday</v>
      </c>
      <c r="U708" t="str">
        <f t="shared" si="58"/>
        <v>February</v>
      </c>
      <c r="V708" s="16" t="str">
        <f t="shared" si="59"/>
        <v>MODERATE</v>
      </c>
    </row>
    <row r="709" spans="1:22" x14ac:dyDescent="0.3">
      <c r="A709">
        <v>708</v>
      </c>
      <c r="B709" s="1">
        <v>40575</v>
      </c>
      <c r="C709">
        <v>1</v>
      </c>
      <c r="D709">
        <v>0</v>
      </c>
      <c r="E709">
        <v>2</v>
      </c>
      <c r="F709">
        <v>20</v>
      </c>
      <c r="G709" t="b">
        <f>IF(COUNTIF(AB$4:AB$20,Append1[[#This Row],[dteday]]) &gt; 0, TRUE, FALSE)</f>
        <v>0</v>
      </c>
      <c r="H709">
        <v>2</v>
      </c>
      <c r="I709">
        <v>2</v>
      </c>
      <c r="J709">
        <v>0.22</v>
      </c>
      <c r="K709">
        <f>Append1[[#This Row],[temp]]*100</f>
        <v>22</v>
      </c>
      <c r="L709">
        <v>0.2273</v>
      </c>
      <c r="M709">
        <v>0.87</v>
      </c>
      <c r="N709">
        <v>0.1343</v>
      </c>
      <c r="O709">
        <v>5</v>
      </c>
      <c r="P709">
        <v>69</v>
      </c>
      <c r="Q709">
        <v>74</v>
      </c>
      <c r="R709" s="12" t="str">
        <f t="shared" si="55"/>
        <v>Mist/Cloudy</v>
      </c>
      <c r="S709" s="14" t="str">
        <f t="shared" si="56"/>
        <v>Winter</v>
      </c>
      <c r="T709" s="15" t="str">
        <f t="shared" si="57"/>
        <v>Tuesday</v>
      </c>
      <c r="U709" t="str">
        <f t="shared" si="58"/>
        <v>February</v>
      </c>
      <c r="V709" s="16" t="str">
        <f t="shared" si="59"/>
        <v>MODERATE</v>
      </c>
    </row>
    <row r="710" spans="1:22" x14ac:dyDescent="0.3">
      <c r="A710">
        <v>709</v>
      </c>
      <c r="B710" s="1">
        <v>40575</v>
      </c>
      <c r="C710">
        <v>1</v>
      </c>
      <c r="D710">
        <v>0</v>
      </c>
      <c r="E710">
        <v>2</v>
      </c>
      <c r="F710">
        <v>21</v>
      </c>
      <c r="G710" t="b">
        <f>IF(COUNTIF(AB$4:AB$20,Append1[[#This Row],[dteday]]) &gt; 0, TRUE, FALSE)</f>
        <v>0</v>
      </c>
      <c r="H710">
        <v>2</v>
      </c>
      <c r="I710">
        <v>2</v>
      </c>
      <c r="J710">
        <v>0.22</v>
      </c>
      <c r="K710">
        <f>Append1[[#This Row],[temp]]*100</f>
        <v>22</v>
      </c>
      <c r="L710">
        <v>0.2273</v>
      </c>
      <c r="M710">
        <v>0.87</v>
      </c>
      <c r="N710">
        <v>0.1343</v>
      </c>
      <c r="O710">
        <v>0</v>
      </c>
      <c r="P710">
        <v>64</v>
      </c>
      <c r="Q710">
        <v>64</v>
      </c>
      <c r="R710" s="12" t="str">
        <f t="shared" si="55"/>
        <v>Mist/Cloudy</v>
      </c>
      <c r="S710" s="14" t="str">
        <f t="shared" si="56"/>
        <v>Winter</v>
      </c>
      <c r="T710" s="15" t="str">
        <f t="shared" si="57"/>
        <v>Tuesday</v>
      </c>
      <c r="U710" t="str">
        <f t="shared" si="58"/>
        <v>February</v>
      </c>
      <c r="V710" s="16" t="str">
        <f t="shared" si="59"/>
        <v>MODERATE</v>
      </c>
    </row>
    <row r="711" spans="1:22" x14ac:dyDescent="0.3">
      <c r="A711">
        <v>710</v>
      </c>
      <c r="B711" s="1">
        <v>40575</v>
      </c>
      <c r="C711">
        <v>1</v>
      </c>
      <c r="D711">
        <v>0</v>
      </c>
      <c r="E711">
        <v>2</v>
      </c>
      <c r="F711">
        <v>22</v>
      </c>
      <c r="G711" t="b">
        <f>IF(COUNTIF(AB$4:AB$20,Append1[[#This Row],[dteday]]) &gt; 0, TRUE, FALSE)</f>
        <v>0</v>
      </c>
      <c r="H711">
        <v>2</v>
      </c>
      <c r="I711">
        <v>2</v>
      </c>
      <c r="J711">
        <v>0.22</v>
      </c>
      <c r="K711">
        <f>Append1[[#This Row],[temp]]*100</f>
        <v>22</v>
      </c>
      <c r="L711">
        <v>0.2576</v>
      </c>
      <c r="M711">
        <v>0.87</v>
      </c>
      <c r="N711">
        <v>8.9599999999999999E-2</v>
      </c>
      <c r="O711">
        <v>2</v>
      </c>
      <c r="P711">
        <v>34</v>
      </c>
      <c r="Q711">
        <v>36</v>
      </c>
      <c r="R711" s="12" t="str">
        <f t="shared" si="55"/>
        <v>Mist/Cloudy</v>
      </c>
      <c r="S711" s="14" t="str">
        <f t="shared" si="56"/>
        <v>Winter</v>
      </c>
      <c r="T711" s="15" t="str">
        <f t="shared" si="57"/>
        <v>Tuesday</v>
      </c>
      <c r="U711" t="str">
        <f t="shared" si="58"/>
        <v>February</v>
      </c>
      <c r="V711" s="16" t="str">
        <f t="shared" si="59"/>
        <v>MODERATE</v>
      </c>
    </row>
    <row r="712" spans="1:22" x14ac:dyDescent="0.3">
      <c r="A712">
        <v>711</v>
      </c>
      <c r="B712" s="1">
        <v>40575</v>
      </c>
      <c r="C712">
        <v>1</v>
      </c>
      <c r="D712">
        <v>0</v>
      </c>
      <c r="E712">
        <v>2</v>
      </c>
      <c r="F712">
        <v>23</v>
      </c>
      <c r="G712" t="b">
        <f>IF(COUNTIF(AB$4:AB$20,Append1[[#This Row],[dteday]]) &gt; 0, TRUE, FALSE)</f>
        <v>0</v>
      </c>
      <c r="H712">
        <v>2</v>
      </c>
      <c r="I712">
        <v>3</v>
      </c>
      <c r="J712">
        <v>0.2</v>
      </c>
      <c r="K712">
        <f>Append1[[#This Row],[temp]]*100</f>
        <v>20</v>
      </c>
      <c r="L712">
        <v>0.19700000000000001</v>
      </c>
      <c r="M712">
        <v>0.93</v>
      </c>
      <c r="N712">
        <v>0.19400000000000001</v>
      </c>
      <c r="O712">
        <v>1</v>
      </c>
      <c r="P712">
        <v>15</v>
      </c>
      <c r="Q712">
        <v>16</v>
      </c>
      <c r="R712" s="12" t="str">
        <f t="shared" si="55"/>
        <v>Light Rain/Snow</v>
      </c>
      <c r="S712" s="14" t="str">
        <f t="shared" si="56"/>
        <v>Winter</v>
      </c>
      <c r="T712" s="15" t="str">
        <f t="shared" si="57"/>
        <v>Tuesday</v>
      </c>
      <c r="U712" t="str">
        <f t="shared" si="58"/>
        <v>February</v>
      </c>
      <c r="V712" s="16" t="str">
        <f t="shared" si="59"/>
        <v>BAD</v>
      </c>
    </row>
    <row r="713" spans="1:22" x14ac:dyDescent="0.3">
      <c r="A713">
        <v>712</v>
      </c>
      <c r="B713" s="1">
        <v>40576</v>
      </c>
      <c r="C713">
        <v>1</v>
      </c>
      <c r="D713">
        <v>0</v>
      </c>
      <c r="E713">
        <v>2</v>
      </c>
      <c r="F713">
        <v>0</v>
      </c>
      <c r="G713" t="b">
        <f>IF(COUNTIF(AB$4:AB$20,Append1[[#This Row],[dteday]]) &gt; 0, TRUE, FALSE)</f>
        <v>0</v>
      </c>
      <c r="H713">
        <v>3</v>
      </c>
      <c r="I713">
        <v>3</v>
      </c>
      <c r="J713">
        <v>0.22</v>
      </c>
      <c r="K713">
        <f>Append1[[#This Row],[temp]]*100</f>
        <v>22</v>
      </c>
      <c r="L713">
        <v>0.2424</v>
      </c>
      <c r="M713">
        <v>0.93</v>
      </c>
      <c r="N713">
        <v>0.1045</v>
      </c>
      <c r="O713">
        <v>0</v>
      </c>
      <c r="P713">
        <v>2</v>
      </c>
      <c r="Q713">
        <v>2</v>
      </c>
      <c r="R713" s="12" t="str">
        <f t="shared" si="55"/>
        <v>Light Rain/Snow</v>
      </c>
      <c r="S713" s="14" t="str">
        <f t="shared" si="56"/>
        <v>Winter</v>
      </c>
      <c r="T713" s="15" t="str">
        <f t="shared" si="57"/>
        <v>Wednesday</v>
      </c>
      <c r="U713" t="str">
        <f t="shared" si="58"/>
        <v>February</v>
      </c>
      <c r="V713" s="16" t="str">
        <f t="shared" si="59"/>
        <v>BAD</v>
      </c>
    </row>
    <row r="714" spans="1:22" x14ac:dyDescent="0.3">
      <c r="A714">
        <v>713</v>
      </c>
      <c r="B714" s="1">
        <v>40576</v>
      </c>
      <c r="C714">
        <v>1</v>
      </c>
      <c r="D714">
        <v>0</v>
      </c>
      <c r="E714">
        <v>2</v>
      </c>
      <c r="F714">
        <v>1</v>
      </c>
      <c r="G714" t="b">
        <f>IF(COUNTIF(AB$4:AB$20,Append1[[#This Row],[dteday]]) &gt; 0, TRUE, FALSE)</f>
        <v>0</v>
      </c>
      <c r="H714">
        <v>3</v>
      </c>
      <c r="I714">
        <v>3</v>
      </c>
      <c r="J714">
        <v>0.22</v>
      </c>
      <c r="K714">
        <f>Append1[[#This Row],[temp]]*100</f>
        <v>22</v>
      </c>
      <c r="L714">
        <v>0.2273</v>
      </c>
      <c r="M714">
        <v>0.93</v>
      </c>
      <c r="N714">
        <v>0.19400000000000001</v>
      </c>
      <c r="O714">
        <v>0</v>
      </c>
      <c r="P714">
        <v>3</v>
      </c>
      <c r="Q714">
        <v>3</v>
      </c>
      <c r="R714" s="12" t="str">
        <f t="shared" si="55"/>
        <v>Light Rain/Snow</v>
      </c>
      <c r="S714" s="14" t="str">
        <f t="shared" si="56"/>
        <v>Winter</v>
      </c>
      <c r="T714" s="15" t="str">
        <f t="shared" si="57"/>
        <v>Wednesday</v>
      </c>
      <c r="U714" t="str">
        <f t="shared" si="58"/>
        <v>February</v>
      </c>
      <c r="V714" s="16" t="str">
        <f t="shared" si="59"/>
        <v>BAD</v>
      </c>
    </row>
    <row r="715" spans="1:22" x14ac:dyDescent="0.3">
      <c r="A715">
        <v>714</v>
      </c>
      <c r="B715" s="1">
        <v>40576</v>
      </c>
      <c r="C715">
        <v>1</v>
      </c>
      <c r="D715">
        <v>0</v>
      </c>
      <c r="E715">
        <v>2</v>
      </c>
      <c r="F715">
        <v>2</v>
      </c>
      <c r="G715" t="b">
        <f>IF(COUNTIF(AB$4:AB$20,Append1[[#This Row],[dteday]]) &gt; 0, TRUE, FALSE)</f>
        <v>0</v>
      </c>
      <c r="H715">
        <v>3</v>
      </c>
      <c r="I715">
        <v>3</v>
      </c>
      <c r="J715">
        <v>0.22</v>
      </c>
      <c r="K715">
        <f>Append1[[#This Row],[temp]]*100</f>
        <v>22</v>
      </c>
      <c r="L715">
        <v>0.2273</v>
      </c>
      <c r="M715">
        <v>0.93</v>
      </c>
      <c r="N715">
        <v>0.1343</v>
      </c>
      <c r="O715">
        <v>4</v>
      </c>
      <c r="P715">
        <v>0</v>
      </c>
      <c r="Q715">
        <v>4</v>
      </c>
      <c r="R715" s="12" t="str">
        <f t="shared" si="55"/>
        <v>Light Rain/Snow</v>
      </c>
      <c r="S715" s="14" t="str">
        <f t="shared" si="56"/>
        <v>Winter</v>
      </c>
      <c r="T715" s="15" t="str">
        <f t="shared" si="57"/>
        <v>Wednesday</v>
      </c>
      <c r="U715" t="str">
        <f t="shared" si="58"/>
        <v>February</v>
      </c>
      <c r="V715" s="16" t="str">
        <f t="shared" si="59"/>
        <v>BAD</v>
      </c>
    </row>
    <row r="716" spans="1:22" x14ac:dyDescent="0.3">
      <c r="A716">
        <v>715</v>
      </c>
      <c r="B716" s="1">
        <v>40576</v>
      </c>
      <c r="C716">
        <v>1</v>
      </c>
      <c r="D716">
        <v>0</v>
      </c>
      <c r="E716">
        <v>2</v>
      </c>
      <c r="F716">
        <v>3</v>
      </c>
      <c r="G716" t="b">
        <f>IF(COUNTIF(AB$4:AB$20,Append1[[#This Row],[dteday]]) &gt; 0, TRUE, FALSE)</f>
        <v>0</v>
      </c>
      <c r="H716">
        <v>3</v>
      </c>
      <c r="I716">
        <v>3</v>
      </c>
      <c r="J716">
        <v>0.22</v>
      </c>
      <c r="K716">
        <f>Append1[[#This Row],[temp]]*100</f>
        <v>22</v>
      </c>
      <c r="L716">
        <v>0.2273</v>
      </c>
      <c r="M716">
        <v>0.93</v>
      </c>
      <c r="N716">
        <v>0.1343</v>
      </c>
      <c r="O716">
        <v>0</v>
      </c>
      <c r="P716">
        <v>1</v>
      </c>
      <c r="Q716">
        <v>1</v>
      </c>
      <c r="R716" s="12" t="str">
        <f t="shared" si="55"/>
        <v>Light Rain/Snow</v>
      </c>
      <c r="S716" s="14" t="str">
        <f t="shared" si="56"/>
        <v>Winter</v>
      </c>
      <c r="T716" s="15" t="str">
        <f t="shared" si="57"/>
        <v>Wednesday</v>
      </c>
      <c r="U716" t="str">
        <f t="shared" si="58"/>
        <v>February</v>
      </c>
      <c r="V716" s="16" t="str">
        <f t="shared" si="59"/>
        <v>BAD</v>
      </c>
    </row>
    <row r="717" spans="1:22" x14ac:dyDescent="0.3">
      <c r="A717">
        <v>716</v>
      </c>
      <c r="B717" s="1">
        <v>40576</v>
      </c>
      <c r="C717">
        <v>1</v>
      </c>
      <c r="D717">
        <v>0</v>
      </c>
      <c r="E717">
        <v>2</v>
      </c>
      <c r="F717">
        <v>4</v>
      </c>
      <c r="G717" t="b">
        <f>IF(COUNTIF(AB$4:AB$20,Append1[[#This Row],[dteday]]) &gt; 0, TRUE, FALSE)</f>
        <v>0</v>
      </c>
      <c r="H717">
        <v>3</v>
      </c>
      <c r="I717">
        <v>3</v>
      </c>
      <c r="J717">
        <v>0.22</v>
      </c>
      <c r="K717">
        <f>Append1[[#This Row],[temp]]*100</f>
        <v>22</v>
      </c>
      <c r="L717">
        <v>0.21210000000000001</v>
      </c>
      <c r="M717">
        <v>0.93</v>
      </c>
      <c r="N717">
        <v>0.28360000000000002</v>
      </c>
      <c r="O717">
        <v>0</v>
      </c>
      <c r="P717">
        <v>1</v>
      </c>
      <c r="Q717">
        <v>1</v>
      </c>
      <c r="R717" s="12" t="str">
        <f t="shared" si="55"/>
        <v>Light Rain/Snow</v>
      </c>
      <c r="S717" s="14" t="str">
        <f t="shared" si="56"/>
        <v>Winter</v>
      </c>
      <c r="T717" s="15" t="str">
        <f t="shared" si="57"/>
        <v>Wednesday</v>
      </c>
      <c r="U717" t="str">
        <f t="shared" si="58"/>
        <v>February</v>
      </c>
      <c r="V717" s="16" t="str">
        <f t="shared" si="59"/>
        <v>BAD</v>
      </c>
    </row>
    <row r="718" spans="1:22" x14ac:dyDescent="0.3">
      <c r="A718">
        <v>717</v>
      </c>
      <c r="B718" s="1">
        <v>40576</v>
      </c>
      <c r="C718">
        <v>1</v>
      </c>
      <c r="D718">
        <v>0</v>
      </c>
      <c r="E718">
        <v>2</v>
      </c>
      <c r="F718">
        <v>5</v>
      </c>
      <c r="G718" t="b">
        <f>IF(COUNTIF(AB$4:AB$20,Append1[[#This Row],[dteday]]) &gt; 0, TRUE, FALSE)</f>
        <v>0</v>
      </c>
      <c r="H718">
        <v>3</v>
      </c>
      <c r="I718">
        <v>3</v>
      </c>
      <c r="J718">
        <v>0.22</v>
      </c>
      <c r="K718">
        <f>Append1[[#This Row],[temp]]*100</f>
        <v>22</v>
      </c>
      <c r="L718">
        <v>0.2424</v>
      </c>
      <c r="M718">
        <v>0.93</v>
      </c>
      <c r="N718">
        <v>0.1045</v>
      </c>
      <c r="O718">
        <v>0</v>
      </c>
      <c r="P718">
        <v>3</v>
      </c>
      <c r="Q718">
        <v>3</v>
      </c>
      <c r="R718" s="12" t="str">
        <f t="shared" si="55"/>
        <v>Light Rain/Snow</v>
      </c>
      <c r="S718" s="14" t="str">
        <f t="shared" si="56"/>
        <v>Winter</v>
      </c>
      <c r="T718" s="15" t="str">
        <f t="shared" si="57"/>
        <v>Wednesday</v>
      </c>
      <c r="U718" t="str">
        <f t="shared" si="58"/>
        <v>February</v>
      </c>
      <c r="V718" s="16" t="str">
        <f t="shared" si="59"/>
        <v>BAD</v>
      </c>
    </row>
    <row r="719" spans="1:22" x14ac:dyDescent="0.3">
      <c r="A719">
        <v>718</v>
      </c>
      <c r="B719" s="1">
        <v>40576</v>
      </c>
      <c r="C719">
        <v>1</v>
      </c>
      <c r="D719">
        <v>0</v>
      </c>
      <c r="E719">
        <v>2</v>
      </c>
      <c r="F719">
        <v>6</v>
      </c>
      <c r="G719" t="b">
        <f>IF(COUNTIF(AB$4:AB$20,Append1[[#This Row],[dteday]]) &gt; 0, TRUE, FALSE)</f>
        <v>0</v>
      </c>
      <c r="H719">
        <v>3</v>
      </c>
      <c r="I719">
        <v>3</v>
      </c>
      <c r="J719">
        <v>0.22</v>
      </c>
      <c r="K719">
        <f>Append1[[#This Row],[temp]]*100</f>
        <v>22</v>
      </c>
      <c r="L719">
        <v>0.2424</v>
      </c>
      <c r="M719">
        <v>0.93</v>
      </c>
      <c r="N719">
        <v>0.1045</v>
      </c>
      <c r="O719">
        <v>1</v>
      </c>
      <c r="P719">
        <v>17</v>
      </c>
      <c r="Q719">
        <v>18</v>
      </c>
      <c r="R719" s="12" t="str">
        <f t="shared" si="55"/>
        <v>Light Rain/Snow</v>
      </c>
      <c r="S719" s="14" t="str">
        <f t="shared" si="56"/>
        <v>Winter</v>
      </c>
      <c r="T719" s="15" t="str">
        <f t="shared" si="57"/>
        <v>Wednesday</v>
      </c>
      <c r="U719" t="str">
        <f t="shared" si="58"/>
        <v>February</v>
      </c>
      <c r="V719" s="16" t="str">
        <f t="shared" si="59"/>
        <v>BAD</v>
      </c>
    </row>
    <row r="720" spans="1:22" x14ac:dyDescent="0.3">
      <c r="A720">
        <v>719</v>
      </c>
      <c r="B720" s="1">
        <v>40576</v>
      </c>
      <c r="C720">
        <v>1</v>
      </c>
      <c r="D720">
        <v>0</v>
      </c>
      <c r="E720">
        <v>2</v>
      </c>
      <c r="F720">
        <v>7</v>
      </c>
      <c r="G720" t="b">
        <f>IF(COUNTIF(AB$4:AB$20,Append1[[#This Row],[dteday]]) &gt; 0, TRUE, FALSE)</f>
        <v>0</v>
      </c>
      <c r="H720">
        <v>3</v>
      </c>
      <c r="I720">
        <v>3</v>
      </c>
      <c r="J720">
        <v>0.22</v>
      </c>
      <c r="K720">
        <f>Append1[[#This Row],[temp]]*100</f>
        <v>22</v>
      </c>
      <c r="L720">
        <v>0.21210000000000001</v>
      </c>
      <c r="M720">
        <v>0.93</v>
      </c>
      <c r="N720">
        <v>0.22389999999999999</v>
      </c>
      <c r="O720">
        <v>1</v>
      </c>
      <c r="P720">
        <v>48</v>
      </c>
      <c r="Q720">
        <v>49</v>
      </c>
      <c r="R720" s="12" t="str">
        <f t="shared" si="55"/>
        <v>Light Rain/Snow</v>
      </c>
      <c r="S720" s="14" t="str">
        <f t="shared" si="56"/>
        <v>Winter</v>
      </c>
      <c r="T720" s="15" t="str">
        <f t="shared" si="57"/>
        <v>Wednesday</v>
      </c>
      <c r="U720" t="str">
        <f t="shared" si="58"/>
        <v>February</v>
      </c>
      <c r="V720" s="16" t="str">
        <f t="shared" si="59"/>
        <v>BAD</v>
      </c>
    </row>
    <row r="721" spans="1:22" x14ac:dyDescent="0.3">
      <c r="A721">
        <v>720</v>
      </c>
      <c r="B721" s="1">
        <v>40576</v>
      </c>
      <c r="C721">
        <v>1</v>
      </c>
      <c r="D721">
        <v>0</v>
      </c>
      <c r="E721">
        <v>2</v>
      </c>
      <c r="F721">
        <v>8</v>
      </c>
      <c r="G721" t="b">
        <f>IF(COUNTIF(AB$4:AB$20,Append1[[#This Row],[dteday]]) &gt; 0, TRUE, FALSE)</f>
        <v>0</v>
      </c>
      <c r="H721">
        <v>3</v>
      </c>
      <c r="I721">
        <v>3</v>
      </c>
      <c r="J721">
        <v>0.22</v>
      </c>
      <c r="K721">
        <f>Append1[[#This Row],[temp]]*100</f>
        <v>22</v>
      </c>
      <c r="L721">
        <v>0.21210000000000001</v>
      </c>
      <c r="M721">
        <v>0.93</v>
      </c>
      <c r="N721">
        <v>0.22389999999999999</v>
      </c>
      <c r="O721">
        <v>1</v>
      </c>
      <c r="P721">
        <v>154</v>
      </c>
      <c r="Q721">
        <v>155</v>
      </c>
      <c r="R721" s="12" t="str">
        <f t="shared" si="55"/>
        <v>Light Rain/Snow</v>
      </c>
      <c r="S721" s="14" t="str">
        <f t="shared" si="56"/>
        <v>Winter</v>
      </c>
      <c r="T721" s="15" t="str">
        <f t="shared" si="57"/>
        <v>Wednesday</v>
      </c>
      <c r="U721" t="str">
        <f t="shared" si="58"/>
        <v>February</v>
      </c>
      <c r="V721" s="16" t="str">
        <f t="shared" si="59"/>
        <v>BAD</v>
      </c>
    </row>
    <row r="722" spans="1:22" x14ac:dyDescent="0.3">
      <c r="A722">
        <v>721</v>
      </c>
      <c r="B722" s="1">
        <v>40576</v>
      </c>
      <c r="C722">
        <v>1</v>
      </c>
      <c r="D722">
        <v>0</v>
      </c>
      <c r="E722">
        <v>2</v>
      </c>
      <c r="F722">
        <v>9</v>
      </c>
      <c r="G722" t="b">
        <f>IF(COUNTIF(AB$4:AB$20,Append1[[#This Row],[dteday]]) &gt; 0, TRUE, FALSE)</f>
        <v>0</v>
      </c>
      <c r="H722">
        <v>3</v>
      </c>
      <c r="I722">
        <v>2</v>
      </c>
      <c r="J722">
        <v>0.24</v>
      </c>
      <c r="K722">
        <f>Append1[[#This Row],[temp]]*100</f>
        <v>24</v>
      </c>
      <c r="L722">
        <v>0.2576</v>
      </c>
      <c r="M722">
        <v>0.93</v>
      </c>
      <c r="N722">
        <v>8.9599999999999999E-2</v>
      </c>
      <c r="O722">
        <v>4</v>
      </c>
      <c r="P722">
        <v>119</v>
      </c>
      <c r="Q722">
        <v>123</v>
      </c>
      <c r="R722" s="12" t="str">
        <f t="shared" si="55"/>
        <v>Mist/Cloudy</v>
      </c>
      <c r="S722" s="14" t="str">
        <f t="shared" si="56"/>
        <v>Winter</v>
      </c>
      <c r="T722" s="15" t="str">
        <f t="shared" si="57"/>
        <v>Wednesday</v>
      </c>
      <c r="U722" t="str">
        <f t="shared" si="58"/>
        <v>February</v>
      </c>
      <c r="V722" s="16" t="str">
        <f t="shared" si="59"/>
        <v>MODERATE</v>
      </c>
    </row>
    <row r="723" spans="1:22" x14ac:dyDescent="0.3">
      <c r="A723">
        <v>722</v>
      </c>
      <c r="B723" s="1">
        <v>40576</v>
      </c>
      <c r="C723">
        <v>1</v>
      </c>
      <c r="D723">
        <v>0</v>
      </c>
      <c r="E723">
        <v>2</v>
      </c>
      <c r="F723">
        <v>10</v>
      </c>
      <c r="G723" t="b">
        <f>IF(COUNTIF(AB$4:AB$20,Append1[[#This Row],[dteday]]) &gt; 0, TRUE, FALSE)</f>
        <v>0</v>
      </c>
      <c r="H723">
        <v>3</v>
      </c>
      <c r="I723">
        <v>2</v>
      </c>
      <c r="J723">
        <v>0.22</v>
      </c>
      <c r="K723">
        <f>Append1[[#This Row],[temp]]*100</f>
        <v>22</v>
      </c>
      <c r="L723">
        <v>0.2727</v>
      </c>
      <c r="M723">
        <v>1</v>
      </c>
      <c r="N723">
        <v>0</v>
      </c>
      <c r="O723">
        <v>2</v>
      </c>
      <c r="P723">
        <v>59</v>
      </c>
      <c r="Q723">
        <v>61</v>
      </c>
      <c r="R723" s="12" t="str">
        <f t="shared" si="55"/>
        <v>Mist/Cloudy</v>
      </c>
      <c r="S723" s="14" t="str">
        <f t="shared" si="56"/>
        <v>Winter</v>
      </c>
      <c r="T723" s="15" t="str">
        <f t="shared" si="57"/>
        <v>Wednesday</v>
      </c>
      <c r="U723" t="str">
        <f t="shared" si="58"/>
        <v>February</v>
      </c>
      <c r="V723" s="16" t="str">
        <f t="shared" si="59"/>
        <v>MODERATE</v>
      </c>
    </row>
    <row r="724" spans="1:22" x14ac:dyDescent="0.3">
      <c r="A724">
        <v>723</v>
      </c>
      <c r="B724" s="1">
        <v>40576</v>
      </c>
      <c r="C724">
        <v>1</v>
      </c>
      <c r="D724">
        <v>0</v>
      </c>
      <c r="E724">
        <v>2</v>
      </c>
      <c r="F724">
        <v>11</v>
      </c>
      <c r="G724" t="b">
        <f>IF(COUNTIF(AB$4:AB$20,Append1[[#This Row],[dteday]]) &gt; 0, TRUE, FALSE)</f>
        <v>0</v>
      </c>
      <c r="H724">
        <v>3</v>
      </c>
      <c r="I724">
        <v>2</v>
      </c>
      <c r="J724">
        <v>0.24</v>
      </c>
      <c r="K724">
        <f>Append1[[#This Row],[temp]]*100</f>
        <v>24</v>
      </c>
      <c r="L724">
        <v>0.2273</v>
      </c>
      <c r="M724">
        <v>0.93</v>
      </c>
      <c r="N724">
        <v>0.19400000000000001</v>
      </c>
      <c r="O724">
        <v>5</v>
      </c>
      <c r="P724">
        <v>47</v>
      </c>
      <c r="Q724">
        <v>52</v>
      </c>
      <c r="R724" s="12" t="str">
        <f t="shared" si="55"/>
        <v>Mist/Cloudy</v>
      </c>
      <c r="S724" s="14" t="str">
        <f t="shared" si="56"/>
        <v>Winter</v>
      </c>
      <c r="T724" s="15" t="str">
        <f t="shared" si="57"/>
        <v>Wednesday</v>
      </c>
      <c r="U724" t="str">
        <f t="shared" si="58"/>
        <v>February</v>
      </c>
      <c r="V724" s="16" t="str">
        <f t="shared" si="59"/>
        <v>MODERATE</v>
      </c>
    </row>
    <row r="725" spans="1:22" x14ac:dyDescent="0.3">
      <c r="A725">
        <v>724</v>
      </c>
      <c r="B725" s="1">
        <v>40576</v>
      </c>
      <c r="C725">
        <v>1</v>
      </c>
      <c r="D725">
        <v>0</v>
      </c>
      <c r="E725">
        <v>2</v>
      </c>
      <c r="F725">
        <v>12</v>
      </c>
      <c r="G725" t="b">
        <f>IF(COUNTIF(AB$4:AB$20,Append1[[#This Row],[dteday]]) &gt; 0, TRUE, FALSE)</f>
        <v>0</v>
      </c>
      <c r="H725">
        <v>3</v>
      </c>
      <c r="I725">
        <v>2</v>
      </c>
      <c r="J725">
        <v>0.24</v>
      </c>
      <c r="K725">
        <f>Append1[[#This Row],[temp]]*100</f>
        <v>24</v>
      </c>
      <c r="L725">
        <v>0.2273</v>
      </c>
      <c r="M725">
        <v>0.93</v>
      </c>
      <c r="N725">
        <v>0.22389999999999999</v>
      </c>
      <c r="O725">
        <v>3</v>
      </c>
      <c r="P725">
        <v>61</v>
      </c>
      <c r="Q725">
        <v>64</v>
      </c>
      <c r="R725" s="12" t="str">
        <f t="shared" si="55"/>
        <v>Mist/Cloudy</v>
      </c>
      <c r="S725" s="14" t="str">
        <f t="shared" si="56"/>
        <v>Winter</v>
      </c>
      <c r="T725" s="15" t="str">
        <f t="shared" si="57"/>
        <v>Wednesday</v>
      </c>
      <c r="U725" t="str">
        <f t="shared" si="58"/>
        <v>February</v>
      </c>
      <c r="V725" s="16" t="str">
        <f t="shared" si="59"/>
        <v>MODERATE</v>
      </c>
    </row>
    <row r="726" spans="1:22" x14ac:dyDescent="0.3">
      <c r="A726">
        <v>725</v>
      </c>
      <c r="B726" s="1">
        <v>40576</v>
      </c>
      <c r="C726">
        <v>1</v>
      </c>
      <c r="D726">
        <v>0</v>
      </c>
      <c r="E726">
        <v>2</v>
      </c>
      <c r="F726">
        <v>13</v>
      </c>
      <c r="G726" t="b">
        <f>IF(COUNTIF(AB$4:AB$20,Append1[[#This Row],[dteday]]) &gt; 0, TRUE, FALSE)</f>
        <v>0</v>
      </c>
      <c r="H726">
        <v>3</v>
      </c>
      <c r="I726">
        <v>1</v>
      </c>
      <c r="J726">
        <v>0.34</v>
      </c>
      <c r="K726">
        <f>Append1[[#This Row],[temp]]*100</f>
        <v>34</v>
      </c>
      <c r="L726">
        <v>0.33329999999999999</v>
      </c>
      <c r="M726">
        <v>0.93</v>
      </c>
      <c r="N726">
        <v>0.16420000000000001</v>
      </c>
      <c r="O726">
        <v>1</v>
      </c>
      <c r="P726">
        <v>74</v>
      </c>
      <c r="Q726">
        <v>75</v>
      </c>
      <c r="R726" s="12" t="str">
        <f t="shared" si="55"/>
        <v>Clear/Few Clouds</v>
      </c>
      <c r="S726" s="14" t="str">
        <f t="shared" si="56"/>
        <v>Winter</v>
      </c>
      <c r="T726" s="15" t="str">
        <f t="shared" si="57"/>
        <v>Wednesday</v>
      </c>
      <c r="U726" t="str">
        <f t="shared" si="58"/>
        <v>February</v>
      </c>
      <c r="V726" s="16" t="str">
        <f t="shared" si="59"/>
        <v>GOOD</v>
      </c>
    </row>
    <row r="727" spans="1:22" x14ac:dyDescent="0.3">
      <c r="A727">
        <v>726</v>
      </c>
      <c r="B727" s="1">
        <v>40576</v>
      </c>
      <c r="C727">
        <v>1</v>
      </c>
      <c r="D727">
        <v>0</v>
      </c>
      <c r="E727">
        <v>2</v>
      </c>
      <c r="F727">
        <v>14</v>
      </c>
      <c r="G727" t="b">
        <f>IF(COUNTIF(AB$4:AB$20,Append1[[#This Row],[dteday]]) &gt; 0, TRUE, FALSE)</f>
        <v>0</v>
      </c>
      <c r="H727">
        <v>3</v>
      </c>
      <c r="I727">
        <v>1</v>
      </c>
      <c r="J727">
        <v>0.38</v>
      </c>
      <c r="K727">
        <f>Append1[[#This Row],[temp]]*100</f>
        <v>38</v>
      </c>
      <c r="L727">
        <v>0.39389999999999997</v>
      </c>
      <c r="M727">
        <v>0.82</v>
      </c>
      <c r="N727">
        <v>0.3881</v>
      </c>
      <c r="O727">
        <v>2</v>
      </c>
      <c r="P727">
        <v>61</v>
      </c>
      <c r="Q727">
        <v>63</v>
      </c>
      <c r="R727" s="12" t="str">
        <f t="shared" si="55"/>
        <v>Clear/Few Clouds</v>
      </c>
      <c r="S727" s="14" t="str">
        <f t="shared" si="56"/>
        <v>Winter</v>
      </c>
      <c r="T727" s="15" t="str">
        <f t="shared" si="57"/>
        <v>Wednesday</v>
      </c>
      <c r="U727" t="str">
        <f t="shared" si="58"/>
        <v>February</v>
      </c>
      <c r="V727" s="16" t="str">
        <f t="shared" si="59"/>
        <v>GOOD</v>
      </c>
    </row>
    <row r="728" spans="1:22" x14ac:dyDescent="0.3">
      <c r="A728">
        <v>727</v>
      </c>
      <c r="B728" s="1">
        <v>40576</v>
      </c>
      <c r="C728">
        <v>1</v>
      </c>
      <c r="D728">
        <v>0</v>
      </c>
      <c r="E728">
        <v>2</v>
      </c>
      <c r="F728">
        <v>15</v>
      </c>
      <c r="G728" t="b">
        <f>IF(COUNTIF(AB$4:AB$20,Append1[[#This Row],[dteday]]) &gt; 0, TRUE, FALSE)</f>
        <v>0</v>
      </c>
      <c r="H728">
        <v>3</v>
      </c>
      <c r="I728">
        <v>1</v>
      </c>
      <c r="J728">
        <v>0.38</v>
      </c>
      <c r="K728">
        <f>Append1[[#This Row],[temp]]*100</f>
        <v>38</v>
      </c>
      <c r="L728">
        <v>0.39389999999999997</v>
      </c>
      <c r="M728">
        <v>0.76</v>
      </c>
      <c r="N728">
        <v>0.32840000000000003</v>
      </c>
      <c r="O728">
        <v>10</v>
      </c>
      <c r="P728">
        <v>66</v>
      </c>
      <c r="Q728">
        <v>76</v>
      </c>
      <c r="R728" s="12" t="str">
        <f t="shared" si="55"/>
        <v>Clear/Few Clouds</v>
      </c>
      <c r="S728" s="14" t="str">
        <f t="shared" si="56"/>
        <v>Winter</v>
      </c>
      <c r="T728" s="15" t="str">
        <f t="shared" si="57"/>
        <v>Wednesday</v>
      </c>
      <c r="U728" t="str">
        <f t="shared" si="58"/>
        <v>February</v>
      </c>
      <c r="V728" s="16" t="str">
        <f t="shared" si="59"/>
        <v>GOOD</v>
      </c>
    </row>
    <row r="729" spans="1:22" x14ac:dyDescent="0.3">
      <c r="A729">
        <v>728</v>
      </c>
      <c r="B729" s="1">
        <v>40576</v>
      </c>
      <c r="C729">
        <v>1</v>
      </c>
      <c r="D729">
        <v>0</v>
      </c>
      <c r="E729">
        <v>2</v>
      </c>
      <c r="F729">
        <v>16</v>
      </c>
      <c r="G729" t="b">
        <f>IF(COUNTIF(AB$4:AB$20,Append1[[#This Row],[dteday]]) &gt; 0, TRUE, FALSE)</f>
        <v>0</v>
      </c>
      <c r="H729">
        <v>3</v>
      </c>
      <c r="I729">
        <v>1</v>
      </c>
      <c r="J729">
        <v>0.36</v>
      </c>
      <c r="K729">
        <f>Append1[[#This Row],[temp]]*100</f>
        <v>36</v>
      </c>
      <c r="L729">
        <v>0.33329999999999999</v>
      </c>
      <c r="M729">
        <v>0.71</v>
      </c>
      <c r="N729">
        <v>0.29849999999999999</v>
      </c>
      <c r="O729">
        <v>8</v>
      </c>
      <c r="P729">
        <v>95</v>
      </c>
      <c r="Q729">
        <v>103</v>
      </c>
      <c r="R729" s="12" t="str">
        <f t="shared" si="55"/>
        <v>Clear/Few Clouds</v>
      </c>
      <c r="S729" s="14" t="str">
        <f t="shared" si="56"/>
        <v>Winter</v>
      </c>
      <c r="T729" s="15" t="str">
        <f t="shared" si="57"/>
        <v>Wednesday</v>
      </c>
      <c r="U729" t="str">
        <f t="shared" si="58"/>
        <v>February</v>
      </c>
      <c r="V729" s="16" t="str">
        <f t="shared" si="59"/>
        <v>GOOD</v>
      </c>
    </row>
    <row r="730" spans="1:22" x14ac:dyDescent="0.3">
      <c r="A730">
        <v>729</v>
      </c>
      <c r="B730" s="1">
        <v>40576</v>
      </c>
      <c r="C730">
        <v>1</v>
      </c>
      <c r="D730">
        <v>0</v>
      </c>
      <c r="E730">
        <v>2</v>
      </c>
      <c r="F730">
        <v>17</v>
      </c>
      <c r="G730" t="b">
        <f>IF(COUNTIF(AB$4:AB$20,Append1[[#This Row],[dteday]]) &gt; 0, TRUE, FALSE)</f>
        <v>0</v>
      </c>
      <c r="H730">
        <v>3</v>
      </c>
      <c r="I730">
        <v>1</v>
      </c>
      <c r="J730">
        <v>0.36</v>
      </c>
      <c r="K730">
        <f>Append1[[#This Row],[temp]]*100</f>
        <v>36</v>
      </c>
      <c r="L730">
        <v>0.31819999999999998</v>
      </c>
      <c r="M730">
        <v>0.53</v>
      </c>
      <c r="N730">
        <v>0.52239999999999998</v>
      </c>
      <c r="O730">
        <v>7</v>
      </c>
      <c r="P730">
        <v>183</v>
      </c>
      <c r="Q730">
        <v>190</v>
      </c>
      <c r="R730" s="12" t="str">
        <f t="shared" si="55"/>
        <v>Clear/Few Clouds</v>
      </c>
      <c r="S730" s="14" t="str">
        <f t="shared" si="56"/>
        <v>Winter</v>
      </c>
      <c r="T730" s="15" t="str">
        <f t="shared" si="57"/>
        <v>Wednesday</v>
      </c>
      <c r="U730" t="str">
        <f t="shared" si="58"/>
        <v>February</v>
      </c>
      <c r="V730" s="16" t="str">
        <f t="shared" si="59"/>
        <v>GOOD</v>
      </c>
    </row>
    <row r="731" spans="1:22" x14ac:dyDescent="0.3">
      <c r="A731">
        <v>730</v>
      </c>
      <c r="B731" s="1">
        <v>40576</v>
      </c>
      <c r="C731">
        <v>1</v>
      </c>
      <c r="D731">
        <v>0</v>
      </c>
      <c r="E731">
        <v>2</v>
      </c>
      <c r="F731">
        <v>18</v>
      </c>
      <c r="G731" t="b">
        <f>IF(COUNTIF(AB$4:AB$20,Append1[[#This Row],[dteday]]) &gt; 0, TRUE, FALSE)</f>
        <v>0</v>
      </c>
      <c r="H731">
        <v>3</v>
      </c>
      <c r="I731">
        <v>1</v>
      </c>
      <c r="J731">
        <v>0.34</v>
      </c>
      <c r="K731">
        <f>Append1[[#This Row],[temp]]*100</f>
        <v>34</v>
      </c>
      <c r="L731">
        <v>0.28789999999999999</v>
      </c>
      <c r="M731">
        <v>0.42</v>
      </c>
      <c r="N731">
        <v>0.55220000000000002</v>
      </c>
      <c r="O731">
        <v>7</v>
      </c>
      <c r="P731">
        <v>175</v>
      </c>
      <c r="Q731">
        <v>182</v>
      </c>
      <c r="R731" s="12" t="str">
        <f t="shared" si="55"/>
        <v>Clear/Few Clouds</v>
      </c>
      <c r="S731" s="14" t="str">
        <f t="shared" si="56"/>
        <v>Winter</v>
      </c>
      <c r="T731" s="15" t="str">
        <f t="shared" si="57"/>
        <v>Wednesday</v>
      </c>
      <c r="U731" t="str">
        <f t="shared" si="58"/>
        <v>February</v>
      </c>
      <c r="V731" s="16" t="str">
        <f t="shared" si="59"/>
        <v>GOOD</v>
      </c>
    </row>
    <row r="732" spans="1:22" x14ac:dyDescent="0.3">
      <c r="A732">
        <v>731</v>
      </c>
      <c r="B732" s="1">
        <v>40576</v>
      </c>
      <c r="C732">
        <v>1</v>
      </c>
      <c r="D732">
        <v>0</v>
      </c>
      <c r="E732">
        <v>2</v>
      </c>
      <c r="F732">
        <v>19</v>
      </c>
      <c r="G732" t="b">
        <f>IF(COUNTIF(AB$4:AB$20,Append1[[#This Row],[dteday]]) &gt; 0, TRUE, FALSE)</f>
        <v>0</v>
      </c>
      <c r="H732">
        <v>3</v>
      </c>
      <c r="I732">
        <v>1</v>
      </c>
      <c r="J732">
        <v>0.28000000000000003</v>
      </c>
      <c r="K732">
        <f>Append1[[#This Row],[temp]]*100</f>
        <v>28.000000000000004</v>
      </c>
      <c r="L732">
        <v>0.2424</v>
      </c>
      <c r="M732">
        <v>0.45</v>
      </c>
      <c r="N732">
        <v>0.49249999999999999</v>
      </c>
      <c r="O732">
        <v>3</v>
      </c>
      <c r="P732">
        <v>88</v>
      </c>
      <c r="Q732">
        <v>91</v>
      </c>
      <c r="R732" s="12" t="str">
        <f t="shared" si="55"/>
        <v>Clear/Few Clouds</v>
      </c>
      <c r="S732" s="14" t="str">
        <f t="shared" si="56"/>
        <v>Winter</v>
      </c>
      <c r="T732" s="15" t="str">
        <f t="shared" si="57"/>
        <v>Wednesday</v>
      </c>
      <c r="U732" t="str">
        <f t="shared" si="58"/>
        <v>February</v>
      </c>
      <c r="V732" s="16" t="str">
        <f t="shared" si="59"/>
        <v>GOOD</v>
      </c>
    </row>
    <row r="733" spans="1:22" x14ac:dyDescent="0.3">
      <c r="A733">
        <v>732</v>
      </c>
      <c r="B733" s="1">
        <v>40576</v>
      </c>
      <c r="C733">
        <v>1</v>
      </c>
      <c r="D733">
        <v>0</v>
      </c>
      <c r="E733">
        <v>2</v>
      </c>
      <c r="F733">
        <v>20</v>
      </c>
      <c r="G733" t="b">
        <f>IF(COUNTIF(AB$4:AB$20,Append1[[#This Row],[dteday]]) &gt; 0, TRUE, FALSE)</f>
        <v>0</v>
      </c>
      <c r="H733">
        <v>3</v>
      </c>
      <c r="I733">
        <v>1</v>
      </c>
      <c r="J733">
        <v>0.24</v>
      </c>
      <c r="K733">
        <f>Append1[[#This Row],[temp]]*100</f>
        <v>24</v>
      </c>
      <c r="L733">
        <v>0.19700000000000001</v>
      </c>
      <c r="M733">
        <v>0.48</v>
      </c>
      <c r="N733">
        <v>0.55220000000000002</v>
      </c>
      <c r="O733">
        <v>4</v>
      </c>
      <c r="P733">
        <v>71</v>
      </c>
      <c r="Q733">
        <v>75</v>
      </c>
      <c r="R733" s="12" t="str">
        <f t="shared" si="55"/>
        <v>Clear/Few Clouds</v>
      </c>
      <c r="S733" s="14" t="str">
        <f t="shared" si="56"/>
        <v>Winter</v>
      </c>
      <c r="T733" s="15" t="str">
        <f t="shared" si="57"/>
        <v>Wednesday</v>
      </c>
      <c r="U733" t="str">
        <f t="shared" si="58"/>
        <v>February</v>
      </c>
      <c r="V733" s="16" t="str">
        <f t="shared" si="59"/>
        <v>GOOD</v>
      </c>
    </row>
    <row r="734" spans="1:22" x14ac:dyDescent="0.3">
      <c r="A734">
        <v>733</v>
      </c>
      <c r="B734" s="1">
        <v>40576</v>
      </c>
      <c r="C734">
        <v>1</v>
      </c>
      <c r="D734">
        <v>0</v>
      </c>
      <c r="E734">
        <v>2</v>
      </c>
      <c r="F734">
        <v>21</v>
      </c>
      <c r="G734" t="b">
        <f>IF(COUNTIF(AB$4:AB$20,Append1[[#This Row],[dteday]]) &gt; 0, TRUE, FALSE)</f>
        <v>0</v>
      </c>
      <c r="H734">
        <v>3</v>
      </c>
      <c r="I734">
        <v>1</v>
      </c>
      <c r="J734">
        <v>0.22</v>
      </c>
      <c r="K734">
        <f>Append1[[#This Row],[temp]]*100</f>
        <v>22</v>
      </c>
      <c r="L734">
        <v>0.19700000000000001</v>
      </c>
      <c r="M734">
        <v>0.47</v>
      </c>
      <c r="N734">
        <v>0.32840000000000003</v>
      </c>
      <c r="O734">
        <v>1</v>
      </c>
      <c r="P734">
        <v>62</v>
      </c>
      <c r="Q734">
        <v>63</v>
      </c>
      <c r="R734" s="12" t="str">
        <f t="shared" si="55"/>
        <v>Clear/Few Clouds</v>
      </c>
      <c r="S734" s="14" t="str">
        <f t="shared" si="56"/>
        <v>Winter</v>
      </c>
      <c r="T734" s="15" t="str">
        <f t="shared" si="57"/>
        <v>Wednesday</v>
      </c>
      <c r="U734" t="str">
        <f t="shared" si="58"/>
        <v>February</v>
      </c>
      <c r="V734" s="16" t="str">
        <f t="shared" si="59"/>
        <v>GOOD</v>
      </c>
    </row>
    <row r="735" spans="1:22" x14ac:dyDescent="0.3">
      <c r="A735">
        <v>734</v>
      </c>
      <c r="B735" s="1">
        <v>40576</v>
      </c>
      <c r="C735">
        <v>1</v>
      </c>
      <c r="D735">
        <v>0</v>
      </c>
      <c r="E735">
        <v>2</v>
      </c>
      <c r="F735">
        <v>22</v>
      </c>
      <c r="G735" t="b">
        <f>IF(COUNTIF(AB$4:AB$20,Append1[[#This Row],[dteday]]) &gt; 0, TRUE, FALSE)</f>
        <v>0</v>
      </c>
      <c r="H735">
        <v>3</v>
      </c>
      <c r="I735">
        <v>1</v>
      </c>
      <c r="J735">
        <v>0.22</v>
      </c>
      <c r="K735">
        <f>Append1[[#This Row],[temp]]*100</f>
        <v>22</v>
      </c>
      <c r="L735">
        <v>0.21210000000000001</v>
      </c>
      <c r="M735">
        <v>0.44</v>
      </c>
      <c r="N735">
        <v>0.25369999999999998</v>
      </c>
      <c r="O735">
        <v>5</v>
      </c>
      <c r="P735">
        <v>35</v>
      </c>
      <c r="Q735">
        <v>40</v>
      </c>
      <c r="R735" s="12" t="str">
        <f t="shared" si="55"/>
        <v>Clear/Few Clouds</v>
      </c>
      <c r="S735" s="14" t="str">
        <f t="shared" si="56"/>
        <v>Winter</v>
      </c>
      <c r="T735" s="15" t="str">
        <f t="shared" si="57"/>
        <v>Wednesday</v>
      </c>
      <c r="U735" t="str">
        <f t="shared" si="58"/>
        <v>February</v>
      </c>
      <c r="V735" s="16" t="str">
        <f t="shared" si="59"/>
        <v>GOOD</v>
      </c>
    </row>
    <row r="736" spans="1:22" x14ac:dyDescent="0.3">
      <c r="A736">
        <v>735</v>
      </c>
      <c r="B736" s="1">
        <v>40576</v>
      </c>
      <c r="C736">
        <v>1</v>
      </c>
      <c r="D736">
        <v>0</v>
      </c>
      <c r="E736">
        <v>2</v>
      </c>
      <c r="F736">
        <v>23</v>
      </c>
      <c r="G736" t="b">
        <f>IF(COUNTIF(AB$4:AB$20,Append1[[#This Row],[dteday]]) &gt; 0, TRUE, FALSE)</f>
        <v>0</v>
      </c>
      <c r="H736">
        <v>3</v>
      </c>
      <c r="I736">
        <v>1</v>
      </c>
      <c r="J736">
        <v>0.2</v>
      </c>
      <c r="K736">
        <f>Append1[[#This Row],[temp]]*100</f>
        <v>20</v>
      </c>
      <c r="L736">
        <v>0.16669999999999999</v>
      </c>
      <c r="M736">
        <v>0.44</v>
      </c>
      <c r="N736">
        <v>0.44779999999999998</v>
      </c>
      <c r="O736">
        <v>3</v>
      </c>
      <c r="P736">
        <v>29</v>
      </c>
      <c r="Q736">
        <v>32</v>
      </c>
      <c r="R736" s="12" t="str">
        <f t="shared" si="55"/>
        <v>Clear/Few Clouds</v>
      </c>
      <c r="S736" s="14" t="str">
        <f t="shared" si="56"/>
        <v>Winter</v>
      </c>
      <c r="T736" s="15" t="str">
        <f t="shared" si="57"/>
        <v>Wednesday</v>
      </c>
      <c r="U736" t="str">
        <f t="shared" si="58"/>
        <v>February</v>
      </c>
      <c r="V736" s="16" t="str">
        <f t="shared" si="59"/>
        <v>GOOD</v>
      </c>
    </row>
    <row r="737" spans="1:22" x14ac:dyDescent="0.3">
      <c r="A737">
        <v>736</v>
      </c>
      <c r="B737" s="1">
        <v>40577</v>
      </c>
      <c r="C737">
        <v>1</v>
      </c>
      <c r="D737">
        <v>0</v>
      </c>
      <c r="E737">
        <v>2</v>
      </c>
      <c r="F737">
        <v>0</v>
      </c>
      <c r="G737" t="b">
        <f>IF(COUNTIF(AB$4:AB$20,Append1[[#This Row],[dteday]]) &gt; 0, TRUE, FALSE)</f>
        <v>0</v>
      </c>
      <c r="H737">
        <v>4</v>
      </c>
      <c r="I737">
        <v>1</v>
      </c>
      <c r="J737">
        <v>0.2</v>
      </c>
      <c r="K737">
        <f>Append1[[#This Row],[temp]]*100</f>
        <v>20</v>
      </c>
      <c r="L737">
        <v>0.16669999999999999</v>
      </c>
      <c r="M737">
        <v>0.4</v>
      </c>
      <c r="N737">
        <v>0.44779999999999998</v>
      </c>
      <c r="O737">
        <v>1</v>
      </c>
      <c r="P737">
        <v>11</v>
      </c>
      <c r="Q737">
        <v>12</v>
      </c>
      <c r="R737" s="12" t="str">
        <f t="shared" si="55"/>
        <v>Clear/Few Clouds</v>
      </c>
      <c r="S737" s="14" t="str">
        <f t="shared" si="56"/>
        <v>Winter</v>
      </c>
      <c r="T737" s="15" t="str">
        <f t="shared" si="57"/>
        <v>Thursday</v>
      </c>
      <c r="U737" t="str">
        <f t="shared" si="58"/>
        <v>February</v>
      </c>
      <c r="V737" s="16" t="str">
        <f t="shared" si="59"/>
        <v>GOOD</v>
      </c>
    </row>
    <row r="738" spans="1:22" x14ac:dyDescent="0.3">
      <c r="A738">
        <v>737</v>
      </c>
      <c r="B738" s="1">
        <v>40577</v>
      </c>
      <c r="C738">
        <v>1</v>
      </c>
      <c r="D738">
        <v>0</v>
      </c>
      <c r="E738">
        <v>2</v>
      </c>
      <c r="F738">
        <v>1</v>
      </c>
      <c r="G738" t="b">
        <f>IF(COUNTIF(AB$4:AB$20,Append1[[#This Row],[dteday]]) &gt; 0, TRUE, FALSE)</f>
        <v>0</v>
      </c>
      <c r="H738">
        <v>4</v>
      </c>
      <c r="I738">
        <v>1</v>
      </c>
      <c r="J738">
        <v>0.2</v>
      </c>
      <c r="K738">
        <f>Append1[[#This Row],[temp]]*100</f>
        <v>20</v>
      </c>
      <c r="L738">
        <v>0.1515</v>
      </c>
      <c r="M738">
        <v>0.44</v>
      </c>
      <c r="N738">
        <v>0.52239999999999998</v>
      </c>
      <c r="O738">
        <v>0</v>
      </c>
      <c r="P738">
        <v>5</v>
      </c>
      <c r="Q738">
        <v>5</v>
      </c>
      <c r="R738" s="12" t="str">
        <f t="shared" si="55"/>
        <v>Clear/Few Clouds</v>
      </c>
      <c r="S738" s="14" t="str">
        <f t="shared" si="56"/>
        <v>Winter</v>
      </c>
      <c r="T738" s="15" t="str">
        <f t="shared" si="57"/>
        <v>Thursday</v>
      </c>
      <c r="U738" t="str">
        <f t="shared" si="58"/>
        <v>February</v>
      </c>
      <c r="V738" s="16" t="str">
        <f t="shared" si="59"/>
        <v>GOOD</v>
      </c>
    </row>
    <row r="739" spans="1:22" x14ac:dyDescent="0.3">
      <c r="A739">
        <v>738</v>
      </c>
      <c r="B739" s="1">
        <v>40577</v>
      </c>
      <c r="C739">
        <v>1</v>
      </c>
      <c r="D739">
        <v>0</v>
      </c>
      <c r="E739">
        <v>2</v>
      </c>
      <c r="F739">
        <v>2</v>
      </c>
      <c r="G739" t="b">
        <f>IF(COUNTIF(AB$4:AB$20,Append1[[#This Row],[dteday]]) &gt; 0, TRUE, FALSE)</f>
        <v>0</v>
      </c>
      <c r="H739">
        <v>4</v>
      </c>
      <c r="I739">
        <v>1</v>
      </c>
      <c r="J739">
        <v>0.18</v>
      </c>
      <c r="K739">
        <f>Append1[[#This Row],[temp]]*100</f>
        <v>18</v>
      </c>
      <c r="L739">
        <v>0.16669999999999999</v>
      </c>
      <c r="M739">
        <v>0.43</v>
      </c>
      <c r="N739">
        <v>0.25369999999999998</v>
      </c>
      <c r="O739">
        <v>0</v>
      </c>
      <c r="P739">
        <v>2</v>
      </c>
      <c r="Q739">
        <v>2</v>
      </c>
      <c r="R739" s="12" t="str">
        <f t="shared" si="55"/>
        <v>Clear/Few Clouds</v>
      </c>
      <c r="S739" s="14" t="str">
        <f t="shared" si="56"/>
        <v>Winter</v>
      </c>
      <c r="T739" s="15" t="str">
        <f t="shared" si="57"/>
        <v>Thursday</v>
      </c>
      <c r="U739" t="str">
        <f t="shared" si="58"/>
        <v>February</v>
      </c>
      <c r="V739" s="16" t="str">
        <f t="shared" si="59"/>
        <v>GOOD</v>
      </c>
    </row>
    <row r="740" spans="1:22" x14ac:dyDescent="0.3">
      <c r="A740">
        <v>739</v>
      </c>
      <c r="B740" s="1">
        <v>40577</v>
      </c>
      <c r="C740">
        <v>1</v>
      </c>
      <c r="D740">
        <v>0</v>
      </c>
      <c r="E740">
        <v>2</v>
      </c>
      <c r="F740">
        <v>3</v>
      </c>
      <c r="G740" t="b">
        <f>IF(COUNTIF(AB$4:AB$20,Append1[[#This Row],[dteday]]) &gt; 0, TRUE, FALSE)</f>
        <v>0</v>
      </c>
      <c r="H740">
        <v>4</v>
      </c>
      <c r="I740">
        <v>1</v>
      </c>
      <c r="J740">
        <v>0.18</v>
      </c>
      <c r="K740">
        <f>Append1[[#This Row],[temp]]*100</f>
        <v>18</v>
      </c>
      <c r="L740">
        <v>0.16669999999999999</v>
      </c>
      <c r="M740">
        <v>0.43</v>
      </c>
      <c r="N740">
        <v>0.25369999999999998</v>
      </c>
      <c r="O740">
        <v>0</v>
      </c>
      <c r="P740">
        <v>1</v>
      </c>
      <c r="Q740">
        <v>1</v>
      </c>
      <c r="R740" s="12" t="str">
        <f t="shared" si="55"/>
        <v>Clear/Few Clouds</v>
      </c>
      <c r="S740" s="14" t="str">
        <f t="shared" si="56"/>
        <v>Winter</v>
      </c>
      <c r="T740" s="15" t="str">
        <f t="shared" si="57"/>
        <v>Thursday</v>
      </c>
      <c r="U740" t="str">
        <f t="shared" si="58"/>
        <v>February</v>
      </c>
      <c r="V740" s="16" t="str">
        <f t="shared" si="59"/>
        <v>GOOD</v>
      </c>
    </row>
    <row r="741" spans="1:22" x14ac:dyDescent="0.3">
      <c r="A741">
        <v>740</v>
      </c>
      <c r="B741" s="1">
        <v>40577</v>
      </c>
      <c r="C741">
        <v>1</v>
      </c>
      <c r="D741">
        <v>0</v>
      </c>
      <c r="E741">
        <v>2</v>
      </c>
      <c r="F741">
        <v>5</v>
      </c>
      <c r="G741" t="b">
        <f>IF(COUNTIF(AB$4:AB$20,Append1[[#This Row],[dteday]]) &gt; 0, TRUE, FALSE)</f>
        <v>0</v>
      </c>
      <c r="H741">
        <v>4</v>
      </c>
      <c r="I741">
        <v>1</v>
      </c>
      <c r="J741">
        <v>0.16</v>
      </c>
      <c r="K741">
        <f>Append1[[#This Row],[temp]]*100</f>
        <v>16</v>
      </c>
      <c r="L741">
        <v>0.13639999999999999</v>
      </c>
      <c r="M741">
        <v>0.5</v>
      </c>
      <c r="N741">
        <v>0.29849999999999999</v>
      </c>
      <c r="O741">
        <v>0</v>
      </c>
      <c r="P741">
        <v>2</v>
      </c>
      <c r="Q741">
        <v>2</v>
      </c>
      <c r="R741" s="12" t="str">
        <f t="shared" si="55"/>
        <v>Clear/Few Clouds</v>
      </c>
      <c r="S741" s="14" t="str">
        <f t="shared" si="56"/>
        <v>Winter</v>
      </c>
      <c r="T741" s="15" t="str">
        <f t="shared" si="57"/>
        <v>Thursday</v>
      </c>
      <c r="U741" t="str">
        <f t="shared" si="58"/>
        <v>February</v>
      </c>
      <c r="V741" s="16" t="str">
        <f t="shared" si="59"/>
        <v>GOOD</v>
      </c>
    </row>
    <row r="742" spans="1:22" x14ac:dyDescent="0.3">
      <c r="A742">
        <v>741</v>
      </c>
      <c r="B742" s="1">
        <v>40577</v>
      </c>
      <c r="C742">
        <v>1</v>
      </c>
      <c r="D742">
        <v>0</v>
      </c>
      <c r="E742">
        <v>2</v>
      </c>
      <c r="F742">
        <v>6</v>
      </c>
      <c r="G742" t="b">
        <f>IF(COUNTIF(AB$4:AB$20,Append1[[#This Row],[dteday]]) &gt; 0, TRUE, FALSE)</f>
        <v>0</v>
      </c>
      <c r="H742">
        <v>4</v>
      </c>
      <c r="I742">
        <v>1</v>
      </c>
      <c r="J742">
        <v>0.16</v>
      </c>
      <c r="K742">
        <f>Append1[[#This Row],[temp]]*100</f>
        <v>16</v>
      </c>
      <c r="L742">
        <v>0.13639999999999999</v>
      </c>
      <c r="M742">
        <v>0.43</v>
      </c>
      <c r="N742">
        <v>0.35820000000000002</v>
      </c>
      <c r="O742">
        <v>0</v>
      </c>
      <c r="P742">
        <v>39</v>
      </c>
      <c r="Q742">
        <v>39</v>
      </c>
      <c r="R742" s="12" t="str">
        <f t="shared" si="55"/>
        <v>Clear/Few Clouds</v>
      </c>
      <c r="S742" s="14" t="str">
        <f t="shared" si="56"/>
        <v>Winter</v>
      </c>
      <c r="T742" s="15" t="str">
        <f t="shared" si="57"/>
        <v>Thursday</v>
      </c>
      <c r="U742" t="str">
        <f t="shared" si="58"/>
        <v>February</v>
      </c>
      <c r="V742" s="16" t="str">
        <f t="shared" si="59"/>
        <v>GOOD</v>
      </c>
    </row>
    <row r="743" spans="1:22" x14ac:dyDescent="0.3">
      <c r="A743">
        <v>742</v>
      </c>
      <c r="B743" s="1">
        <v>40577</v>
      </c>
      <c r="C743">
        <v>1</v>
      </c>
      <c r="D743">
        <v>0</v>
      </c>
      <c r="E743">
        <v>2</v>
      </c>
      <c r="F743">
        <v>7</v>
      </c>
      <c r="G743" t="b">
        <f>IF(COUNTIF(AB$4:AB$20,Append1[[#This Row],[dteday]]) &gt; 0, TRUE, FALSE)</f>
        <v>0</v>
      </c>
      <c r="H743">
        <v>4</v>
      </c>
      <c r="I743">
        <v>1</v>
      </c>
      <c r="J743">
        <v>0.14000000000000001</v>
      </c>
      <c r="K743">
        <f>Append1[[#This Row],[temp]]*100</f>
        <v>14.000000000000002</v>
      </c>
      <c r="L743">
        <v>0.1212</v>
      </c>
      <c r="M743">
        <v>0.5</v>
      </c>
      <c r="N743">
        <v>0.32840000000000003</v>
      </c>
      <c r="O743">
        <v>1</v>
      </c>
      <c r="P743">
        <v>86</v>
      </c>
      <c r="Q743">
        <v>87</v>
      </c>
      <c r="R743" s="12" t="str">
        <f t="shared" si="55"/>
        <v>Clear/Few Clouds</v>
      </c>
      <c r="S743" s="14" t="str">
        <f t="shared" si="56"/>
        <v>Winter</v>
      </c>
      <c r="T743" s="15" t="str">
        <f t="shared" si="57"/>
        <v>Thursday</v>
      </c>
      <c r="U743" t="str">
        <f t="shared" si="58"/>
        <v>February</v>
      </c>
      <c r="V743" s="16" t="str">
        <f t="shared" si="59"/>
        <v>GOOD</v>
      </c>
    </row>
    <row r="744" spans="1:22" x14ac:dyDescent="0.3">
      <c r="A744">
        <v>743</v>
      </c>
      <c r="B744" s="1">
        <v>40577</v>
      </c>
      <c r="C744">
        <v>1</v>
      </c>
      <c r="D744">
        <v>0</v>
      </c>
      <c r="E744">
        <v>2</v>
      </c>
      <c r="F744">
        <v>8</v>
      </c>
      <c r="G744" t="b">
        <f>IF(COUNTIF(AB$4:AB$20,Append1[[#This Row],[dteday]]) &gt; 0, TRUE, FALSE)</f>
        <v>0</v>
      </c>
      <c r="H744">
        <v>4</v>
      </c>
      <c r="I744">
        <v>1</v>
      </c>
      <c r="J744">
        <v>0.14000000000000001</v>
      </c>
      <c r="K744">
        <f>Append1[[#This Row],[temp]]*100</f>
        <v>14.000000000000002</v>
      </c>
      <c r="L744">
        <v>0.1212</v>
      </c>
      <c r="M744">
        <v>0.5</v>
      </c>
      <c r="N744">
        <v>0.35820000000000002</v>
      </c>
      <c r="O744">
        <v>4</v>
      </c>
      <c r="P744">
        <v>184</v>
      </c>
      <c r="Q744">
        <v>188</v>
      </c>
      <c r="R744" s="12" t="str">
        <f t="shared" si="55"/>
        <v>Clear/Few Clouds</v>
      </c>
      <c r="S744" s="14" t="str">
        <f t="shared" si="56"/>
        <v>Winter</v>
      </c>
      <c r="T744" s="15" t="str">
        <f t="shared" si="57"/>
        <v>Thursday</v>
      </c>
      <c r="U744" t="str">
        <f t="shared" si="58"/>
        <v>February</v>
      </c>
      <c r="V744" s="16" t="str">
        <f t="shared" si="59"/>
        <v>GOOD</v>
      </c>
    </row>
    <row r="745" spans="1:22" x14ac:dyDescent="0.3">
      <c r="A745">
        <v>744</v>
      </c>
      <c r="B745" s="1">
        <v>40577</v>
      </c>
      <c r="C745">
        <v>1</v>
      </c>
      <c r="D745">
        <v>0</v>
      </c>
      <c r="E745">
        <v>2</v>
      </c>
      <c r="F745">
        <v>9</v>
      </c>
      <c r="G745" t="b">
        <f>IF(COUNTIF(AB$4:AB$20,Append1[[#This Row],[dteday]]) &gt; 0, TRUE, FALSE)</f>
        <v>0</v>
      </c>
      <c r="H745">
        <v>4</v>
      </c>
      <c r="I745">
        <v>1</v>
      </c>
      <c r="J745">
        <v>0.16</v>
      </c>
      <c r="K745">
        <f>Append1[[#This Row],[temp]]*100</f>
        <v>16</v>
      </c>
      <c r="L745">
        <v>0.13639999999999999</v>
      </c>
      <c r="M745">
        <v>0.47</v>
      </c>
      <c r="N745">
        <v>0.29849999999999999</v>
      </c>
      <c r="O745">
        <v>6</v>
      </c>
      <c r="P745">
        <v>127</v>
      </c>
      <c r="Q745">
        <v>133</v>
      </c>
      <c r="R745" s="12" t="str">
        <f t="shared" si="55"/>
        <v>Clear/Few Clouds</v>
      </c>
      <c r="S745" s="14" t="str">
        <f t="shared" si="56"/>
        <v>Winter</v>
      </c>
      <c r="T745" s="15" t="str">
        <f t="shared" si="57"/>
        <v>Thursday</v>
      </c>
      <c r="U745" t="str">
        <f t="shared" si="58"/>
        <v>February</v>
      </c>
      <c r="V745" s="16" t="str">
        <f t="shared" si="59"/>
        <v>GOOD</v>
      </c>
    </row>
    <row r="746" spans="1:22" x14ac:dyDescent="0.3">
      <c r="A746">
        <v>745</v>
      </c>
      <c r="B746" s="1">
        <v>40577</v>
      </c>
      <c r="C746">
        <v>1</v>
      </c>
      <c r="D746">
        <v>0</v>
      </c>
      <c r="E746">
        <v>2</v>
      </c>
      <c r="F746">
        <v>10</v>
      </c>
      <c r="G746" t="b">
        <f>IF(COUNTIF(AB$4:AB$20,Append1[[#This Row],[dteday]]) &gt; 0, TRUE, FALSE)</f>
        <v>0</v>
      </c>
      <c r="H746">
        <v>4</v>
      </c>
      <c r="I746">
        <v>1</v>
      </c>
      <c r="J746">
        <v>0.18</v>
      </c>
      <c r="K746">
        <f>Append1[[#This Row],[temp]]*100</f>
        <v>18</v>
      </c>
      <c r="L746">
        <v>0.1515</v>
      </c>
      <c r="M746">
        <v>0.43</v>
      </c>
      <c r="N746">
        <v>0.32840000000000003</v>
      </c>
      <c r="O746">
        <v>2</v>
      </c>
      <c r="P746">
        <v>50</v>
      </c>
      <c r="Q746">
        <v>52</v>
      </c>
      <c r="R746" s="12" t="str">
        <f t="shared" si="55"/>
        <v>Clear/Few Clouds</v>
      </c>
      <c r="S746" s="14" t="str">
        <f t="shared" si="56"/>
        <v>Winter</v>
      </c>
      <c r="T746" s="15" t="str">
        <f t="shared" si="57"/>
        <v>Thursday</v>
      </c>
      <c r="U746" t="str">
        <f t="shared" si="58"/>
        <v>February</v>
      </c>
      <c r="V746" s="16" t="str">
        <f t="shared" si="59"/>
        <v>GOOD</v>
      </c>
    </row>
    <row r="747" spans="1:22" x14ac:dyDescent="0.3">
      <c r="A747">
        <v>746</v>
      </c>
      <c r="B747" s="1">
        <v>40577</v>
      </c>
      <c r="C747">
        <v>1</v>
      </c>
      <c r="D747">
        <v>0</v>
      </c>
      <c r="E747">
        <v>2</v>
      </c>
      <c r="F747">
        <v>11</v>
      </c>
      <c r="G747" t="b">
        <f>IF(COUNTIF(AB$4:AB$20,Append1[[#This Row],[dteday]]) &gt; 0, TRUE, FALSE)</f>
        <v>0</v>
      </c>
      <c r="H747">
        <v>4</v>
      </c>
      <c r="I747">
        <v>1</v>
      </c>
      <c r="J747">
        <v>0.18</v>
      </c>
      <c r="K747">
        <f>Append1[[#This Row],[temp]]*100</f>
        <v>18</v>
      </c>
      <c r="L747">
        <v>0.13639999999999999</v>
      </c>
      <c r="M747">
        <v>0.43</v>
      </c>
      <c r="N747">
        <v>0.44779999999999998</v>
      </c>
      <c r="O747">
        <v>9</v>
      </c>
      <c r="P747">
        <v>55</v>
      </c>
      <c r="Q747">
        <v>64</v>
      </c>
      <c r="R747" s="12" t="str">
        <f t="shared" si="55"/>
        <v>Clear/Few Clouds</v>
      </c>
      <c r="S747" s="14" t="str">
        <f t="shared" si="56"/>
        <v>Winter</v>
      </c>
      <c r="T747" s="15" t="str">
        <f t="shared" si="57"/>
        <v>Thursday</v>
      </c>
      <c r="U747" t="str">
        <f t="shared" si="58"/>
        <v>February</v>
      </c>
      <c r="V747" s="16" t="str">
        <f t="shared" si="59"/>
        <v>GOOD</v>
      </c>
    </row>
    <row r="748" spans="1:22" x14ac:dyDescent="0.3">
      <c r="A748">
        <v>747</v>
      </c>
      <c r="B748" s="1">
        <v>40577</v>
      </c>
      <c r="C748">
        <v>1</v>
      </c>
      <c r="D748">
        <v>0</v>
      </c>
      <c r="E748">
        <v>2</v>
      </c>
      <c r="F748">
        <v>12</v>
      </c>
      <c r="G748" t="b">
        <f>IF(COUNTIF(AB$4:AB$20,Append1[[#This Row],[dteday]]) &gt; 0, TRUE, FALSE)</f>
        <v>0</v>
      </c>
      <c r="H748">
        <v>4</v>
      </c>
      <c r="I748">
        <v>1</v>
      </c>
      <c r="J748">
        <v>0.2</v>
      </c>
      <c r="K748">
        <f>Append1[[#This Row],[temp]]*100</f>
        <v>20</v>
      </c>
      <c r="L748">
        <v>0.18179999999999999</v>
      </c>
      <c r="M748">
        <v>0.4</v>
      </c>
      <c r="N748">
        <v>0.35820000000000002</v>
      </c>
      <c r="O748">
        <v>2</v>
      </c>
      <c r="P748">
        <v>67</v>
      </c>
      <c r="Q748">
        <v>69</v>
      </c>
      <c r="R748" s="12" t="str">
        <f t="shared" si="55"/>
        <v>Clear/Few Clouds</v>
      </c>
      <c r="S748" s="14" t="str">
        <f t="shared" si="56"/>
        <v>Winter</v>
      </c>
      <c r="T748" s="15" t="str">
        <f t="shared" si="57"/>
        <v>Thursday</v>
      </c>
      <c r="U748" t="str">
        <f t="shared" si="58"/>
        <v>February</v>
      </c>
      <c r="V748" s="16" t="str">
        <f t="shared" si="59"/>
        <v>GOOD</v>
      </c>
    </row>
    <row r="749" spans="1:22" x14ac:dyDescent="0.3">
      <c r="A749">
        <v>748</v>
      </c>
      <c r="B749" s="1">
        <v>40577</v>
      </c>
      <c r="C749">
        <v>1</v>
      </c>
      <c r="D749">
        <v>0</v>
      </c>
      <c r="E749">
        <v>2</v>
      </c>
      <c r="F749">
        <v>13</v>
      </c>
      <c r="G749" t="b">
        <f>IF(COUNTIF(AB$4:AB$20,Append1[[#This Row],[dteday]]) &gt; 0, TRUE, FALSE)</f>
        <v>0</v>
      </c>
      <c r="H749">
        <v>4</v>
      </c>
      <c r="I749">
        <v>1</v>
      </c>
      <c r="J749">
        <v>0.2</v>
      </c>
      <c r="K749">
        <f>Append1[[#This Row],[temp]]*100</f>
        <v>20</v>
      </c>
      <c r="L749">
        <v>0.16669999999999999</v>
      </c>
      <c r="M749">
        <v>0.4</v>
      </c>
      <c r="N749">
        <v>0.41789999999999999</v>
      </c>
      <c r="O749">
        <v>4</v>
      </c>
      <c r="P749">
        <v>47</v>
      </c>
      <c r="Q749">
        <v>51</v>
      </c>
      <c r="R749" s="12" t="str">
        <f t="shared" si="55"/>
        <v>Clear/Few Clouds</v>
      </c>
      <c r="S749" s="14" t="str">
        <f t="shared" si="56"/>
        <v>Winter</v>
      </c>
      <c r="T749" s="15" t="str">
        <f t="shared" si="57"/>
        <v>Thursday</v>
      </c>
      <c r="U749" t="str">
        <f t="shared" si="58"/>
        <v>February</v>
      </c>
      <c r="V749" s="16" t="str">
        <f t="shared" si="59"/>
        <v>GOOD</v>
      </c>
    </row>
    <row r="750" spans="1:22" x14ac:dyDescent="0.3">
      <c r="A750">
        <v>749</v>
      </c>
      <c r="B750" s="1">
        <v>40577</v>
      </c>
      <c r="C750">
        <v>1</v>
      </c>
      <c r="D750">
        <v>0</v>
      </c>
      <c r="E750">
        <v>2</v>
      </c>
      <c r="F750">
        <v>14</v>
      </c>
      <c r="G750" t="b">
        <f>IF(COUNTIF(AB$4:AB$20,Append1[[#This Row],[dteday]]) &gt; 0, TRUE, FALSE)</f>
        <v>0</v>
      </c>
      <c r="H750">
        <v>4</v>
      </c>
      <c r="I750">
        <v>1</v>
      </c>
      <c r="J750">
        <v>0.22</v>
      </c>
      <c r="K750">
        <f>Append1[[#This Row],[temp]]*100</f>
        <v>22</v>
      </c>
      <c r="L750">
        <v>0.19700000000000001</v>
      </c>
      <c r="M750">
        <v>0.37</v>
      </c>
      <c r="N750">
        <v>0.3881</v>
      </c>
      <c r="O750">
        <v>4</v>
      </c>
      <c r="P750">
        <v>43</v>
      </c>
      <c r="Q750">
        <v>47</v>
      </c>
      <c r="R750" s="12" t="str">
        <f t="shared" si="55"/>
        <v>Clear/Few Clouds</v>
      </c>
      <c r="S750" s="14" t="str">
        <f t="shared" si="56"/>
        <v>Winter</v>
      </c>
      <c r="T750" s="15" t="str">
        <f t="shared" si="57"/>
        <v>Thursday</v>
      </c>
      <c r="U750" t="str">
        <f t="shared" si="58"/>
        <v>February</v>
      </c>
      <c r="V750" s="16" t="str">
        <f t="shared" si="59"/>
        <v>GOOD</v>
      </c>
    </row>
    <row r="751" spans="1:22" x14ac:dyDescent="0.3">
      <c r="A751">
        <v>750</v>
      </c>
      <c r="B751" s="1">
        <v>40577</v>
      </c>
      <c r="C751">
        <v>1</v>
      </c>
      <c r="D751">
        <v>0</v>
      </c>
      <c r="E751">
        <v>2</v>
      </c>
      <c r="F751">
        <v>15</v>
      </c>
      <c r="G751" t="b">
        <f>IF(COUNTIF(AB$4:AB$20,Append1[[#This Row],[dteday]]) &gt; 0, TRUE, FALSE)</f>
        <v>0</v>
      </c>
      <c r="H751">
        <v>4</v>
      </c>
      <c r="I751">
        <v>1</v>
      </c>
      <c r="J751">
        <v>0.22</v>
      </c>
      <c r="K751">
        <f>Append1[[#This Row],[temp]]*100</f>
        <v>22</v>
      </c>
      <c r="L751">
        <v>0.19700000000000001</v>
      </c>
      <c r="M751">
        <v>0.37</v>
      </c>
      <c r="N751">
        <v>0.32840000000000003</v>
      </c>
      <c r="O751">
        <v>4</v>
      </c>
      <c r="P751">
        <v>56</v>
      </c>
      <c r="Q751">
        <v>60</v>
      </c>
      <c r="R751" s="12" t="str">
        <f t="shared" si="55"/>
        <v>Clear/Few Clouds</v>
      </c>
      <c r="S751" s="14" t="str">
        <f t="shared" si="56"/>
        <v>Winter</v>
      </c>
      <c r="T751" s="15" t="str">
        <f t="shared" si="57"/>
        <v>Thursday</v>
      </c>
      <c r="U751" t="str">
        <f t="shared" si="58"/>
        <v>February</v>
      </c>
      <c r="V751" s="16" t="str">
        <f t="shared" si="59"/>
        <v>GOOD</v>
      </c>
    </row>
    <row r="752" spans="1:22" x14ac:dyDescent="0.3">
      <c r="A752">
        <v>751</v>
      </c>
      <c r="B752" s="1">
        <v>40577</v>
      </c>
      <c r="C752">
        <v>1</v>
      </c>
      <c r="D752">
        <v>0</v>
      </c>
      <c r="E752">
        <v>2</v>
      </c>
      <c r="F752">
        <v>16</v>
      </c>
      <c r="G752" t="b">
        <f>IF(COUNTIF(AB$4:AB$20,Append1[[#This Row],[dteday]]) &gt; 0, TRUE, FALSE)</f>
        <v>0</v>
      </c>
      <c r="H752">
        <v>4</v>
      </c>
      <c r="I752">
        <v>1</v>
      </c>
      <c r="J752">
        <v>0.22</v>
      </c>
      <c r="K752">
        <f>Append1[[#This Row],[temp]]*100</f>
        <v>22</v>
      </c>
      <c r="L752">
        <v>0.21210000000000001</v>
      </c>
      <c r="M752">
        <v>0.37</v>
      </c>
      <c r="N752">
        <v>0.25369999999999998</v>
      </c>
      <c r="O752">
        <v>5</v>
      </c>
      <c r="P752">
        <v>73</v>
      </c>
      <c r="Q752">
        <v>78</v>
      </c>
      <c r="R752" s="12" t="str">
        <f t="shared" si="55"/>
        <v>Clear/Few Clouds</v>
      </c>
      <c r="S752" s="14" t="str">
        <f t="shared" si="56"/>
        <v>Winter</v>
      </c>
      <c r="T752" s="15" t="str">
        <f t="shared" si="57"/>
        <v>Thursday</v>
      </c>
      <c r="U752" t="str">
        <f t="shared" si="58"/>
        <v>February</v>
      </c>
      <c r="V752" s="16" t="str">
        <f t="shared" si="59"/>
        <v>GOOD</v>
      </c>
    </row>
    <row r="753" spans="1:22" x14ac:dyDescent="0.3">
      <c r="A753">
        <v>752</v>
      </c>
      <c r="B753" s="1">
        <v>40577</v>
      </c>
      <c r="C753">
        <v>1</v>
      </c>
      <c r="D753">
        <v>0</v>
      </c>
      <c r="E753">
        <v>2</v>
      </c>
      <c r="F753">
        <v>17</v>
      </c>
      <c r="G753" t="b">
        <f>IF(COUNTIF(AB$4:AB$20,Append1[[#This Row],[dteday]]) &gt; 0, TRUE, FALSE)</f>
        <v>0</v>
      </c>
      <c r="H753">
        <v>4</v>
      </c>
      <c r="I753">
        <v>1</v>
      </c>
      <c r="J753">
        <v>0.2</v>
      </c>
      <c r="K753">
        <f>Append1[[#This Row],[temp]]*100</f>
        <v>20</v>
      </c>
      <c r="L753">
        <v>0.19700000000000001</v>
      </c>
      <c r="M753">
        <v>0.4</v>
      </c>
      <c r="N753">
        <v>0.19400000000000001</v>
      </c>
      <c r="O753">
        <v>5</v>
      </c>
      <c r="P753">
        <v>170</v>
      </c>
      <c r="Q753">
        <v>175</v>
      </c>
      <c r="R753" s="12" t="str">
        <f t="shared" si="55"/>
        <v>Clear/Few Clouds</v>
      </c>
      <c r="S753" s="14" t="str">
        <f t="shared" si="56"/>
        <v>Winter</v>
      </c>
      <c r="T753" s="15" t="str">
        <f t="shared" si="57"/>
        <v>Thursday</v>
      </c>
      <c r="U753" t="str">
        <f t="shared" si="58"/>
        <v>February</v>
      </c>
      <c r="V753" s="16" t="str">
        <f t="shared" si="59"/>
        <v>GOOD</v>
      </c>
    </row>
    <row r="754" spans="1:22" x14ac:dyDescent="0.3">
      <c r="A754">
        <v>753</v>
      </c>
      <c r="B754" s="1">
        <v>40577</v>
      </c>
      <c r="C754">
        <v>1</v>
      </c>
      <c r="D754">
        <v>0</v>
      </c>
      <c r="E754">
        <v>2</v>
      </c>
      <c r="F754">
        <v>18</v>
      </c>
      <c r="G754" t="b">
        <f>IF(COUNTIF(AB$4:AB$20,Append1[[#This Row],[dteday]]) &gt; 0, TRUE, FALSE)</f>
        <v>0</v>
      </c>
      <c r="H754">
        <v>4</v>
      </c>
      <c r="I754">
        <v>1</v>
      </c>
      <c r="J754">
        <v>0.2</v>
      </c>
      <c r="K754">
        <f>Append1[[#This Row],[temp]]*100</f>
        <v>20</v>
      </c>
      <c r="L754">
        <v>0.21210000000000001</v>
      </c>
      <c r="M754">
        <v>0.4</v>
      </c>
      <c r="N754">
        <v>0.16420000000000001</v>
      </c>
      <c r="O754">
        <v>2</v>
      </c>
      <c r="P754">
        <v>145</v>
      </c>
      <c r="Q754">
        <v>147</v>
      </c>
      <c r="R754" s="12" t="str">
        <f t="shared" si="55"/>
        <v>Clear/Few Clouds</v>
      </c>
      <c r="S754" s="14" t="str">
        <f t="shared" si="56"/>
        <v>Winter</v>
      </c>
      <c r="T754" s="15" t="str">
        <f t="shared" si="57"/>
        <v>Thursday</v>
      </c>
      <c r="U754" t="str">
        <f t="shared" si="58"/>
        <v>February</v>
      </c>
      <c r="V754" s="16" t="str">
        <f t="shared" si="59"/>
        <v>GOOD</v>
      </c>
    </row>
    <row r="755" spans="1:22" x14ac:dyDescent="0.3">
      <c r="A755">
        <v>754</v>
      </c>
      <c r="B755" s="1">
        <v>40577</v>
      </c>
      <c r="C755">
        <v>1</v>
      </c>
      <c r="D755">
        <v>0</v>
      </c>
      <c r="E755">
        <v>2</v>
      </c>
      <c r="F755">
        <v>19</v>
      </c>
      <c r="G755" t="b">
        <f>IF(COUNTIF(AB$4:AB$20,Append1[[#This Row],[dteday]]) &gt; 0, TRUE, FALSE)</f>
        <v>0</v>
      </c>
      <c r="H755">
        <v>4</v>
      </c>
      <c r="I755">
        <v>1</v>
      </c>
      <c r="J755">
        <v>0.2</v>
      </c>
      <c r="K755">
        <f>Append1[[#This Row],[temp]]*100</f>
        <v>20</v>
      </c>
      <c r="L755">
        <v>0.2576</v>
      </c>
      <c r="M755">
        <v>0.4</v>
      </c>
      <c r="N755">
        <v>0</v>
      </c>
      <c r="O755">
        <v>4</v>
      </c>
      <c r="P755">
        <v>92</v>
      </c>
      <c r="Q755">
        <v>96</v>
      </c>
      <c r="R755" s="12" t="str">
        <f t="shared" si="55"/>
        <v>Clear/Few Clouds</v>
      </c>
      <c r="S755" s="14" t="str">
        <f t="shared" si="56"/>
        <v>Winter</v>
      </c>
      <c r="T755" s="15" t="str">
        <f t="shared" si="57"/>
        <v>Thursday</v>
      </c>
      <c r="U755" t="str">
        <f t="shared" si="58"/>
        <v>February</v>
      </c>
      <c r="V755" s="16" t="str">
        <f t="shared" si="59"/>
        <v>GOOD</v>
      </c>
    </row>
    <row r="756" spans="1:22" x14ac:dyDescent="0.3">
      <c r="A756">
        <v>755</v>
      </c>
      <c r="B756" s="1">
        <v>40577</v>
      </c>
      <c r="C756">
        <v>1</v>
      </c>
      <c r="D756">
        <v>0</v>
      </c>
      <c r="E756">
        <v>2</v>
      </c>
      <c r="F756">
        <v>20</v>
      </c>
      <c r="G756" t="b">
        <f>IF(COUNTIF(AB$4:AB$20,Append1[[#This Row],[dteday]]) &gt; 0, TRUE, FALSE)</f>
        <v>0</v>
      </c>
      <c r="H756">
        <v>4</v>
      </c>
      <c r="I756">
        <v>1</v>
      </c>
      <c r="J756">
        <v>0.2</v>
      </c>
      <c r="K756">
        <f>Append1[[#This Row],[temp]]*100</f>
        <v>20</v>
      </c>
      <c r="L756">
        <v>0.2273</v>
      </c>
      <c r="M756">
        <v>0.47</v>
      </c>
      <c r="N756">
        <v>8.9599999999999999E-2</v>
      </c>
      <c r="O756">
        <v>1</v>
      </c>
      <c r="P756">
        <v>108</v>
      </c>
      <c r="Q756">
        <v>109</v>
      </c>
      <c r="R756" s="12" t="str">
        <f t="shared" si="55"/>
        <v>Clear/Few Clouds</v>
      </c>
      <c r="S756" s="14" t="str">
        <f t="shared" si="56"/>
        <v>Winter</v>
      </c>
      <c r="T756" s="15" t="str">
        <f t="shared" si="57"/>
        <v>Thursday</v>
      </c>
      <c r="U756" t="str">
        <f t="shared" si="58"/>
        <v>February</v>
      </c>
      <c r="V756" s="16" t="str">
        <f t="shared" si="59"/>
        <v>GOOD</v>
      </c>
    </row>
    <row r="757" spans="1:22" x14ac:dyDescent="0.3">
      <c r="A757">
        <v>756</v>
      </c>
      <c r="B757" s="1">
        <v>40577</v>
      </c>
      <c r="C757">
        <v>1</v>
      </c>
      <c r="D757">
        <v>0</v>
      </c>
      <c r="E757">
        <v>2</v>
      </c>
      <c r="F757">
        <v>21</v>
      </c>
      <c r="G757" t="b">
        <f>IF(COUNTIF(AB$4:AB$20,Append1[[#This Row],[dteday]]) &gt; 0, TRUE, FALSE)</f>
        <v>0</v>
      </c>
      <c r="H757">
        <v>4</v>
      </c>
      <c r="I757">
        <v>1</v>
      </c>
      <c r="J757">
        <v>0.18</v>
      </c>
      <c r="K757">
        <f>Append1[[#This Row],[temp]]*100</f>
        <v>18</v>
      </c>
      <c r="L757">
        <v>0.21210000000000001</v>
      </c>
      <c r="M757">
        <v>0.55000000000000004</v>
      </c>
      <c r="N757">
        <v>0.1045</v>
      </c>
      <c r="O757">
        <v>1</v>
      </c>
      <c r="P757">
        <v>53</v>
      </c>
      <c r="Q757">
        <v>54</v>
      </c>
      <c r="R757" s="12" t="str">
        <f t="shared" si="55"/>
        <v>Clear/Few Clouds</v>
      </c>
      <c r="S757" s="14" t="str">
        <f t="shared" si="56"/>
        <v>Winter</v>
      </c>
      <c r="T757" s="15" t="str">
        <f t="shared" si="57"/>
        <v>Thursday</v>
      </c>
      <c r="U757" t="str">
        <f t="shared" si="58"/>
        <v>February</v>
      </c>
      <c r="V757" s="16" t="str">
        <f t="shared" si="59"/>
        <v>GOOD</v>
      </c>
    </row>
    <row r="758" spans="1:22" x14ac:dyDescent="0.3">
      <c r="A758">
        <v>757</v>
      </c>
      <c r="B758" s="1">
        <v>40577</v>
      </c>
      <c r="C758">
        <v>1</v>
      </c>
      <c r="D758">
        <v>0</v>
      </c>
      <c r="E758">
        <v>2</v>
      </c>
      <c r="F758">
        <v>22</v>
      </c>
      <c r="G758" t="b">
        <f>IF(COUNTIF(AB$4:AB$20,Append1[[#This Row],[dteday]]) &gt; 0, TRUE, FALSE)</f>
        <v>0</v>
      </c>
      <c r="H758">
        <v>4</v>
      </c>
      <c r="I758">
        <v>1</v>
      </c>
      <c r="J758">
        <v>0.18</v>
      </c>
      <c r="K758">
        <f>Append1[[#This Row],[temp]]*100</f>
        <v>18</v>
      </c>
      <c r="L758">
        <v>0.21210000000000001</v>
      </c>
      <c r="M758">
        <v>0.51</v>
      </c>
      <c r="N758">
        <v>8.9599999999999999E-2</v>
      </c>
      <c r="O758">
        <v>2</v>
      </c>
      <c r="P758">
        <v>39</v>
      </c>
      <c r="Q758">
        <v>41</v>
      </c>
      <c r="R758" s="12" t="str">
        <f t="shared" si="55"/>
        <v>Clear/Few Clouds</v>
      </c>
      <c r="S758" s="14" t="str">
        <f t="shared" si="56"/>
        <v>Winter</v>
      </c>
      <c r="T758" s="15" t="str">
        <f t="shared" si="57"/>
        <v>Thursday</v>
      </c>
      <c r="U758" t="str">
        <f t="shared" si="58"/>
        <v>February</v>
      </c>
      <c r="V758" s="16" t="str">
        <f t="shared" si="59"/>
        <v>GOOD</v>
      </c>
    </row>
    <row r="759" spans="1:22" x14ac:dyDescent="0.3">
      <c r="A759">
        <v>758</v>
      </c>
      <c r="B759" s="1">
        <v>40577</v>
      </c>
      <c r="C759">
        <v>1</v>
      </c>
      <c r="D759">
        <v>0</v>
      </c>
      <c r="E759">
        <v>2</v>
      </c>
      <c r="F759">
        <v>23</v>
      </c>
      <c r="G759" t="b">
        <f>IF(COUNTIF(AB$4:AB$20,Append1[[#This Row],[dteday]]) &gt; 0, TRUE, FALSE)</f>
        <v>0</v>
      </c>
      <c r="H759">
        <v>4</v>
      </c>
      <c r="I759">
        <v>1</v>
      </c>
      <c r="J759">
        <v>0.2</v>
      </c>
      <c r="K759">
        <f>Append1[[#This Row],[temp]]*100</f>
        <v>20</v>
      </c>
      <c r="L759">
        <v>0.2273</v>
      </c>
      <c r="M759">
        <v>0.47</v>
      </c>
      <c r="N759">
        <v>0.1045</v>
      </c>
      <c r="O759">
        <v>4</v>
      </c>
      <c r="P759">
        <v>34</v>
      </c>
      <c r="Q759">
        <v>38</v>
      </c>
      <c r="R759" s="12" t="str">
        <f t="shared" si="55"/>
        <v>Clear/Few Clouds</v>
      </c>
      <c r="S759" s="14" t="str">
        <f t="shared" si="56"/>
        <v>Winter</v>
      </c>
      <c r="T759" s="15" t="str">
        <f t="shared" si="57"/>
        <v>Thursday</v>
      </c>
      <c r="U759" t="str">
        <f t="shared" si="58"/>
        <v>February</v>
      </c>
      <c r="V759" s="16" t="str">
        <f t="shared" si="59"/>
        <v>GOOD</v>
      </c>
    </row>
    <row r="760" spans="1:22" x14ac:dyDescent="0.3">
      <c r="A760">
        <v>759</v>
      </c>
      <c r="B760" s="1">
        <v>40578</v>
      </c>
      <c r="C760">
        <v>1</v>
      </c>
      <c r="D760">
        <v>0</v>
      </c>
      <c r="E760">
        <v>2</v>
      </c>
      <c r="F760">
        <v>0</v>
      </c>
      <c r="G760" t="b">
        <f>IF(COUNTIF(AB$4:AB$20,Append1[[#This Row],[dteday]]) &gt; 0, TRUE, FALSE)</f>
        <v>0</v>
      </c>
      <c r="H760">
        <v>5</v>
      </c>
      <c r="I760">
        <v>2</v>
      </c>
      <c r="J760">
        <v>0.2</v>
      </c>
      <c r="K760">
        <f>Append1[[#This Row],[temp]]*100</f>
        <v>20</v>
      </c>
      <c r="L760">
        <v>0.2576</v>
      </c>
      <c r="M760">
        <v>0.44</v>
      </c>
      <c r="N760">
        <v>0</v>
      </c>
      <c r="O760">
        <v>3</v>
      </c>
      <c r="P760">
        <v>10</v>
      </c>
      <c r="Q760">
        <v>13</v>
      </c>
      <c r="R760" s="12" t="str">
        <f t="shared" si="55"/>
        <v>Mist/Cloudy</v>
      </c>
      <c r="S760" s="14" t="str">
        <f t="shared" si="56"/>
        <v>Winter</v>
      </c>
      <c r="T760" s="15" t="str">
        <f t="shared" si="57"/>
        <v>Friday</v>
      </c>
      <c r="U760" t="str">
        <f t="shared" si="58"/>
        <v>February</v>
      </c>
      <c r="V760" s="16" t="str">
        <f t="shared" si="59"/>
        <v>MODERATE</v>
      </c>
    </row>
    <row r="761" spans="1:22" x14ac:dyDescent="0.3">
      <c r="A761">
        <v>760</v>
      </c>
      <c r="B761" s="1">
        <v>40578</v>
      </c>
      <c r="C761">
        <v>1</v>
      </c>
      <c r="D761">
        <v>0</v>
      </c>
      <c r="E761">
        <v>2</v>
      </c>
      <c r="F761">
        <v>1</v>
      </c>
      <c r="G761" t="b">
        <f>IF(COUNTIF(AB$4:AB$20,Append1[[#This Row],[dteday]]) &gt; 0, TRUE, FALSE)</f>
        <v>0</v>
      </c>
      <c r="H761">
        <v>5</v>
      </c>
      <c r="I761">
        <v>2</v>
      </c>
      <c r="J761">
        <v>0.16</v>
      </c>
      <c r="K761">
        <f>Append1[[#This Row],[temp]]*100</f>
        <v>16</v>
      </c>
      <c r="L761">
        <v>0.2273</v>
      </c>
      <c r="M761">
        <v>0.59</v>
      </c>
      <c r="N761">
        <v>0</v>
      </c>
      <c r="O761">
        <v>0</v>
      </c>
      <c r="P761">
        <v>7</v>
      </c>
      <c r="Q761">
        <v>7</v>
      </c>
      <c r="R761" s="12" t="str">
        <f t="shared" si="55"/>
        <v>Mist/Cloudy</v>
      </c>
      <c r="S761" s="14" t="str">
        <f t="shared" si="56"/>
        <v>Winter</v>
      </c>
      <c r="T761" s="15" t="str">
        <f t="shared" si="57"/>
        <v>Friday</v>
      </c>
      <c r="U761" t="str">
        <f t="shared" si="58"/>
        <v>February</v>
      </c>
      <c r="V761" s="16" t="str">
        <f t="shared" si="59"/>
        <v>MODERATE</v>
      </c>
    </row>
    <row r="762" spans="1:22" x14ac:dyDescent="0.3">
      <c r="A762">
        <v>761</v>
      </c>
      <c r="B762" s="1">
        <v>40578</v>
      </c>
      <c r="C762">
        <v>1</v>
      </c>
      <c r="D762">
        <v>0</v>
      </c>
      <c r="E762">
        <v>2</v>
      </c>
      <c r="F762">
        <v>2</v>
      </c>
      <c r="G762" t="b">
        <f>IF(COUNTIF(AB$4:AB$20,Append1[[#This Row],[dteday]]) &gt; 0, TRUE, FALSE)</f>
        <v>0</v>
      </c>
      <c r="H762">
        <v>5</v>
      </c>
      <c r="I762">
        <v>2</v>
      </c>
      <c r="J762">
        <v>0.14000000000000001</v>
      </c>
      <c r="K762">
        <f>Append1[[#This Row],[temp]]*100</f>
        <v>14.000000000000002</v>
      </c>
      <c r="L762">
        <v>0.16669999999999999</v>
      </c>
      <c r="M762">
        <v>0.63</v>
      </c>
      <c r="N762">
        <v>0.1045</v>
      </c>
      <c r="O762">
        <v>0</v>
      </c>
      <c r="P762">
        <v>1</v>
      </c>
      <c r="Q762">
        <v>1</v>
      </c>
      <c r="R762" s="12" t="str">
        <f t="shared" si="55"/>
        <v>Mist/Cloudy</v>
      </c>
      <c r="S762" s="14" t="str">
        <f t="shared" si="56"/>
        <v>Winter</v>
      </c>
      <c r="T762" s="15" t="str">
        <f t="shared" si="57"/>
        <v>Friday</v>
      </c>
      <c r="U762" t="str">
        <f t="shared" si="58"/>
        <v>February</v>
      </c>
      <c r="V762" s="16" t="str">
        <f t="shared" si="59"/>
        <v>MODERATE</v>
      </c>
    </row>
    <row r="763" spans="1:22" x14ac:dyDescent="0.3">
      <c r="A763">
        <v>762</v>
      </c>
      <c r="B763" s="1">
        <v>40578</v>
      </c>
      <c r="C763">
        <v>1</v>
      </c>
      <c r="D763">
        <v>0</v>
      </c>
      <c r="E763">
        <v>2</v>
      </c>
      <c r="F763">
        <v>3</v>
      </c>
      <c r="G763" t="b">
        <f>IF(COUNTIF(AB$4:AB$20,Append1[[#This Row],[dteday]]) &gt; 0, TRUE, FALSE)</f>
        <v>0</v>
      </c>
      <c r="H763">
        <v>5</v>
      </c>
      <c r="I763">
        <v>2</v>
      </c>
      <c r="J763">
        <v>0.14000000000000001</v>
      </c>
      <c r="K763">
        <f>Append1[[#This Row],[temp]]*100</f>
        <v>14.000000000000002</v>
      </c>
      <c r="L763">
        <v>0.16669999999999999</v>
      </c>
      <c r="M763">
        <v>0.63</v>
      </c>
      <c r="N763">
        <v>0.1045</v>
      </c>
      <c r="O763">
        <v>0</v>
      </c>
      <c r="P763">
        <v>1</v>
      </c>
      <c r="Q763">
        <v>1</v>
      </c>
      <c r="R763" s="12" t="str">
        <f t="shared" si="55"/>
        <v>Mist/Cloudy</v>
      </c>
      <c r="S763" s="14" t="str">
        <f t="shared" si="56"/>
        <v>Winter</v>
      </c>
      <c r="T763" s="15" t="str">
        <f t="shared" si="57"/>
        <v>Friday</v>
      </c>
      <c r="U763" t="str">
        <f t="shared" si="58"/>
        <v>February</v>
      </c>
      <c r="V763" s="16" t="str">
        <f t="shared" si="59"/>
        <v>MODERATE</v>
      </c>
    </row>
    <row r="764" spans="1:22" x14ac:dyDescent="0.3">
      <c r="A764">
        <v>763</v>
      </c>
      <c r="B764" s="1">
        <v>40578</v>
      </c>
      <c r="C764">
        <v>1</v>
      </c>
      <c r="D764">
        <v>0</v>
      </c>
      <c r="E764">
        <v>2</v>
      </c>
      <c r="F764">
        <v>5</v>
      </c>
      <c r="G764" t="b">
        <f>IF(COUNTIF(AB$4:AB$20,Append1[[#This Row],[dteday]]) &gt; 0, TRUE, FALSE)</f>
        <v>0</v>
      </c>
      <c r="H764">
        <v>5</v>
      </c>
      <c r="I764">
        <v>2</v>
      </c>
      <c r="J764">
        <v>0.14000000000000001</v>
      </c>
      <c r="K764">
        <f>Append1[[#This Row],[temp]]*100</f>
        <v>14.000000000000002</v>
      </c>
      <c r="L764">
        <v>0.1515</v>
      </c>
      <c r="M764">
        <v>0.63</v>
      </c>
      <c r="N764">
        <v>0.1343</v>
      </c>
      <c r="O764">
        <v>0</v>
      </c>
      <c r="P764">
        <v>7</v>
      </c>
      <c r="Q764">
        <v>7</v>
      </c>
      <c r="R764" s="12" t="str">
        <f t="shared" si="55"/>
        <v>Mist/Cloudy</v>
      </c>
      <c r="S764" s="14" t="str">
        <f t="shared" si="56"/>
        <v>Winter</v>
      </c>
      <c r="T764" s="15" t="str">
        <f t="shared" si="57"/>
        <v>Friday</v>
      </c>
      <c r="U764" t="str">
        <f t="shared" si="58"/>
        <v>February</v>
      </c>
      <c r="V764" s="16" t="str">
        <f t="shared" si="59"/>
        <v>MODERATE</v>
      </c>
    </row>
    <row r="765" spans="1:22" x14ac:dyDescent="0.3">
      <c r="A765">
        <v>764</v>
      </c>
      <c r="B765" s="1">
        <v>40578</v>
      </c>
      <c r="C765">
        <v>1</v>
      </c>
      <c r="D765">
        <v>0</v>
      </c>
      <c r="E765">
        <v>2</v>
      </c>
      <c r="F765">
        <v>6</v>
      </c>
      <c r="G765" t="b">
        <f>IF(COUNTIF(AB$4:AB$20,Append1[[#This Row],[dteday]]) &gt; 0, TRUE, FALSE)</f>
        <v>0</v>
      </c>
      <c r="H765">
        <v>5</v>
      </c>
      <c r="I765">
        <v>2</v>
      </c>
      <c r="J765">
        <v>0.16</v>
      </c>
      <c r="K765">
        <f>Append1[[#This Row],[temp]]*100</f>
        <v>16</v>
      </c>
      <c r="L765">
        <v>0.2273</v>
      </c>
      <c r="M765">
        <v>0.55000000000000004</v>
      </c>
      <c r="N765">
        <v>0</v>
      </c>
      <c r="O765">
        <v>2</v>
      </c>
      <c r="P765">
        <v>26</v>
      </c>
      <c r="Q765">
        <v>28</v>
      </c>
      <c r="R765" s="12" t="str">
        <f t="shared" si="55"/>
        <v>Mist/Cloudy</v>
      </c>
      <c r="S765" s="14" t="str">
        <f t="shared" si="56"/>
        <v>Winter</v>
      </c>
      <c r="T765" s="15" t="str">
        <f t="shared" si="57"/>
        <v>Friday</v>
      </c>
      <c r="U765" t="str">
        <f t="shared" si="58"/>
        <v>February</v>
      </c>
      <c r="V765" s="16" t="str">
        <f t="shared" si="59"/>
        <v>MODERATE</v>
      </c>
    </row>
    <row r="766" spans="1:22" x14ac:dyDescent="0.3">
      <c r="A766">
        <v>765</v>
      </c>
      <c r="B766" s="1">
        <v>40578</v>
      </c>
      <c r="C766">
        <v>1</v>
      </c>
      <c r="D766">
        <v>0</v>
      </c>
      <c r="E766">
        <v>2</v>
      </c>
      <c r="F766">
        <v>7</v>
      </c>
      <c r="G766" t="b">
        <f>IF(COUNTIF(AB$4:AB$20,Append1[[#This Row],[dteday]]) &gt; 0, TRUE, FALSE)</f>
        <v>0</v>
      </c>
      <c r="H766">
        <v>5</v>
      </c>
      <c r="I766">
        <v>1</v>
      </c>
      <c r="J766">
        <v>0.14000000000000001</v>
      </c>
      <c r="K766">
        <f>Append1[[#This Row],[temp]]*100</f>
        <v>14.000000000000002</v>
      </c>
      <c r="L766">
        <v>0.21210000000000001</v>
      </c>
      <c r="M766">
        <v>0.59</v>
      </c>
      <c r="N766">
        <v>0</v>
      </c>
      <c r="O766">
        <v>0</v>
      </c>
      <c r="P766">
        <v>87</v>
      </c>
      <c r="Q766">
        <v>87</v>
      </c>
      <c r="R766" s="12" t="str">
        <f t="shared" si="55"/>
        <v>Clear/Few Clouds</v>
      </c>
      <c r="S766" s="14" t="str">
        <f t="shared" si="56"/>
        <v>Winter</v>
      </c>
      <c r="T766" s="15" t="str">
        <f t="shared" si="57"/>
        <v>Friday</v>
      </c>
      <c r="U766" t="str">
        <f t="shared" si="58"/>
        <v>February</v>
      </c>
      <c r="V766" s="16" t="str">
        <f t="shared" si="59"/>
        <v>GOOD</v>
      </c>
    </row>
    <row r="767" spans="1:22" x14ac:dyDescent="0.3">
      <c r="A767">
        <v>766</v>
      </c>
      <c r="B767" s="1">
        <v>40578</v>
      </c>
      <c r="C767">
        <v>1</v>
      </c>
      <c r="D767">
        <v>0</v>
      </c>
      <c r="E767">
        <v>2</v>
      </c>
      <c r="F767">
        <v>8</v>
      </c>
      <c r="G767" t="b">
        <f>IF(COUNTIF(AB$4:AB$20,Append1[[#This Row],[dteday]]) &gt; 0, TRUE, FALSE)</f>
        <v>0</v>
      </c>
      <c r="H767">
        <v>5</v>
      </c>
      <c r="I767">
        <v>1</v>
      </c>
      <c r="J767">
        <v>0.14000000000000001</v>
      </c>
      <c r="K767">
        <f>Append1[[#This Row],[temp]]*100</f>
        <v>14.000000000000002</v>
      </c>
      <c r="L767">
        <v>0.1515</v>
      </c>
      <c r="M767">
        <v>0.74</v>
      </c>
      <c r="N767">
        <v>0.1343</v>
      </c>
      <c r="O767">
        <v>3</v>
      </c>
      <c r="P767">
        <v>217</v>
      </c>
      <c r="Q767">
        <v>220</v>
      </c>
      <c r="R767" s="12" t="str">
        <f t="shared" si="55"/>
        <v>Clear/Few Clouds</v>
      </c>
      <c r="S767" s="14" t="str">
        <f t="shared" si="56"/>
        <v>Winter</v>
      </c>
      <c r="T767" s="15" t="str">
        <f t="shared" si="57"/>
        <v>Friday</v>
      </c>
      <c r="U767" t="str">
        <f t="shared" si="58"/>
        <v>February</v>
      </c>
      <c r="V767" s="16" t="str">
        <f t="shared" si="59"/>
        <v>GOOD</v>
      </c>
    </row>
    <row r="768" spans="1:22" x14ac:dyDescent="0.3">
      <c r="A768">
        <v>767</v>
      </c>
      <c r="B768" s="1">
        <v>40578</v>
      </c>
      <c r="C768">
        <v>1</v>
      </c>
      <c r="D768">
        <v>0</v>
      </c>
      <c r="E768">
        <v>2</v>
      </c>
      <c r="F768">
        <v>9</v>
      </c>
      <c r="G768" t="b">
        <f>IF(COUNTIF(AB$4:AB$20,Append1[[#This Row],[dteday]]) &gt; 0, TRUE, FALSE)</f>
        <v>0</v>
      </c>
      <c r="H768">
        <v>5</v>
      </c>
      <c r="I768">
        <v>2</v>
      </c>
      <c r="J768">
        <v>0.16</v>
      </c>
      <c r="K768">
        <f>Append1[[#This Row],[temp]]*100</f>
        <v>16</v>
      </c>
      <c r="L768">
        <v>0.18179999999999999</v>
      </c>
      <c r="M768">
        <v>0.8</v>
      </c>
      <c r="N768">
        <v>0.1343</v>
      </c>
      <c r="O768">
        <v>3</v>
      </c>
      <c r="P768">
        <v>124</v>
      </c>
      <c r="Q768">
        <v>127</v>
      </c>
      <c r="R768" s="12" t="str">
        <f t="shared" si="55"/>
        <v>Mist/Cloudy</v>
      </c>
      <c r="S768" s="14" t="str">
        <f t="shared" si="56"/>
        <v>Winter</v>
      </c>
      <c r="T768" s="15" t="str">
        <f t="shared" si="57"/>
        <v>Friday</v>
      </c>
      <c r="U768" t="str">
        <f t="shared" si="58"/>
        <v>February</v>
      </c>
      <c r="V768" s="16" t="str">
        <f t="shared" si="59"/>
        <v>MODERATE</v>
      </c>
    </row>
    <row r="769" spans="1:22" x14ac:dyDescent="0.3">
      <c r="A769">
        <v>768</v>
      </c>
      <c r="B769" s="1">
        <v>40578</v>
      </c>
      <c r="C769">
        <v>1</v>
      </c>
      <c r="D769">
        <v>0</v>
      </c>
      <c r="E769">
        <v>2</v>
      </c>
      <c r="F769">
        <v>10</v>
      </c>
      <c r="G769" t="b">
        <f>IF(COUNTIF(AB$4:AB$20,Append1[[#This Row],[dteday]]) &gt; 0, TRUE, FALSE)</f>
        <v>0</v>
      </c>
      <c r="H769">
        <v>5</v>
      </c>
      <c r="I769">
        <v>2</v>
      </c>
      <c r="J769">
        <v>0.2</v>
      </c>
      <c r="K769">
        <f>Append1[[#This Row],[temp]]*100</f>
        <v>20</v>
      </c>
      <c r="L769">
        <v>0.21210000000000001</v>
      </c>
      <c r="M769">
        <v>0.51</v>
      </c>
      <c r="N769">
        <v>0.1343</v>
      </c>
      <c r="O769">
        <v>5</v>
      </c>
      <c r="P769">
        <v>46</v>
      </c>
      <c r="Q769">
        <v>51</v>
      </c>
      <c r="R769" s="12" t="str">
        <f t="shared" si="55"/>
        <v>Mist/Cloudy</v>
      </c>
      <c r="S769" s="14" t="str">
        <f t="shared" si="56"/>
        <v>Winter</v>
      </c>
      <c r="T769" s="15" t="str">
        <f t="shared" si="57"/>
        <v>Friday</v>
      </c>
      <c r="U769" t="str">
        <f t="shared" si="58"/>
        <v>February</v>
      </c>
      <c r="V769" s="16" t="str">
        <f t="shared" si="59"/>
        <v>MODERATE</v>
      </c>
    </row>
    <row r="770" spans="1:22" x14ac:dyDescent="0.3">
      <c r="A770">
        <v>769</v>
      </c>
      <c r="B770" s="1">
        <v>40578</v>
      </c>
      <c r="C770">
        <v>1</v>
      </c>
      <c r="D770">
        <v>0</v>
      </c>
      <c r="E770">
        <v>2</v>
      </c>
      <c r="F770">
        <v>11</v>
      </c>
      <c r="G770" t="b">
        <f>IF(COUNTIF(AB$4:AB$20,Append1[[#This Row],[dteday]]) &gt; 0, TRUE, FALSE)</f>
        <v>0</v>
      </c>
      <c r="H770">
        <v>5</v>
      </c>
      <c r="I770">
        <v>1</v>
      </c>
      <c r="J770">
        <v>0.22</v>
      </c>
      <c r="K770">
        <f>Append1[[#This Row],[temp]]*100</f>
        <v>22</v>
      </c>
      <c r="L770">
        <v>0.2273</v>
      </c>
      <c r="M770">
        <v>0.51</v>
      </c>
      <c r="N770">
        <v>0.16420000000000001</v>
      </c>
      <c r="O770">
        <v>3</v>
      </c>
      <c r="P770">
        <v>61</v>
      </c>
      <c r="Q770">
        <v>64</v>
      </c>
      <c r="R770" s="12" t="str">
        <f t="shared" ref="R770:R833" si="60">_xlfn.IFS(I770=1,"Clear/Few Clouds",I770=2,"Mist/Cloudy",I770=3,"Light Rain/Snow",I770=4,"Heavy Rain/Snow")</f>
        <v>Clear/Few Clouds</v>
      </c>
      <c r="S770" s="14" t="str">
        <f t="shared" ref="S770:S833" si="61">_xlfn.IFS(C770=1,"Winter",C770=2,"Spring",C770=3,"Summer",C770=4,"Autumn")</f>
        <v>Winter</v>
      </c>
      <c r="T770" s="15" t="str">
        <f t="shared" ref="T770:T833" si="62">TEXT(B770,"dddd")</f>
        <v>Friday</v>
      </c>
      <c r="U770" t="str">
        <f t="shared" ref="U770:U833" si="63">TEXT(B770,"mmmm")</f>
        <v>February</v>
      </c>
      <c r="V770" s="16" t="str">
        <f t="shared" ref="V770:V833" si="64">_xlfn.IFS(I770=1,"GOOD",I770=2,"MODERATE",I770=3,"BAD",I770=4,"WORSE")</f>
        <v>GOOD</v>
      </c>
    </row>
    <row r="771" spans="1:22" x14ac:dyDescent="0.3">
      <c r="A771">
        <v>770</v>
      </c>
      <c r="B771" s="1">
        <v>40578</v>
      </c>
      <c r="C771">
        <v>1</v>
      </c>
      <c r="D771">
        <v>0</v>
      </c>
      <c r="E771">
        <v>2</v>
      </c>
      <c r="F771">
        <v>12</v>
      </c>
      <c r="G771" t="b">
        <f>IF(COUNTIF(AB$4:AB$20,Append1[[#This Row],[dteday]]) &gt; 0, TRUE, FALSE)</f>
        <v>0</v>
      </c>
      <c r="H771">
        <v>5</v>
      </c>
      <c r="I771">
        <v>2</v>
      </c>
      <c r="J771">
        <v>0.24</v>
      </c>
      <c r="K771">
        <f>Append1[[#This Row],[temp]]*100</f>
        <v>24</v>
      </c>
      <c r="L771">
        <v>0.2424</v>
      </c>
      <c r="M771">
        <v>0.48</v>
      </c>
      <c r="N771">
        <v>0.16420000000000001</v>
      </c>
      <c r="O771">
        <v>8</v>
      </c>
      <c r="P771">
        <v>78</v>
      </c>
      <c r="Q771">
        <v>86</v>
      </c>
      <c r="R771" s="12" t="str">
        <f t="shared" si="60"/>
        <v>Mist/Cloudy</v>
      </c>
      <c r="S771" s="14" t="str">
        <f t="shared" si="61"/>
        <v>Winter</v>
      </c>
      <c r="T771" s="15" t="str">
        <f t="shared" si="62"/>
        <v>Friday</v>
      </c>
      <c r="U771" t="str">
        <f t="shared" si="63"/>
        <v>February</v>
      </c>
      <c r="V771" s="16" t="str">
        <f t="shared" si="64"/>
        <v>MODERATE</v>
      </c>
    </row>
    <row r="772" spans="1:22" x14ac:dyDescent="0.3">
      <c r="A772">
        <v>771</v>
      </c>
      <c r="B772" s="1">
        <v>40578</v>
      </c>
      <c r="C772">
        <v>1</v>
      </c>
      <c r="D772">
        <v>0</v>
      </c>
      <c r="E772">
        <v>2</v>
      </c>
      <c r="F772">
        <v>13</v>
      </c>
      <c r="G772" t="b">
        <f>IF(COUNTIF(AB$4:AB$20,Append1[[#This Row],[dteday]]) &gt; 0, TRUE, FALSE)</f>
        <v>0</v>
      </c>
      <c r="H772">
        <v>5</v>
      </c>
      <c r="I772">
        <v>2</v>
      </c>
      <c r="J772">
        <v>0.26</v>
      </c>
      <c r="K772">
        <f>Append1[[#This Row],[temp]]*100</f>
        <v>26</v>
      </c>
      <c r="L772">
        <v>0.2576</v>
      </c>
      <c r="M772">
        <v>0.5</v>
      </c>
      <c r="N772">
        <v>0.22389999999999999</v>
      </c>
      <c r="O772">
        <v>9</v>
      </c>
      <c r="P772">
        <v>73</v>
      </c>
      <c r="Q772">
        <v>82</v>
      </c>
      <c r="R772" s="12" t="str">
        <f t="shared" si="60"/>
        <v>Mist/Cloudy</v>
      </c>
      <c r="S772" s="14" t="str">
        <f t="shared" si="61"/>
        <v>Winter</v>
      </c>
      <c r="T772" s="15" t="str">
        <f t="shared" si="62"/>
        <v>Friday</v>
      </c>
      <c r="U772" t="str">
        <f t="shared" si="63"/>
        <v>February</v>
      </c>
      <c r="V772" s="16" t="str">
        <f t="shared" si="64"/>
        <v>MODERATE</v>
      </c>
    </row>
    <row r="773" spans="1:22" x14ac:dyDescent="0.3">
      <c r="A773">
        <v>772</v>
      </c>
      <c r="B773" s="1">
        <v>40578</v>
      </c>
      <c r="C773">
        <v>1</v>
      </c>
      <c r="D773">
        <v>0</v>
      </c>
      <c r="E773">
        <v>2</v>
      </c>
      <c r="F773">
        <v>14</v>
      </c>
      <c r="G773" t="b">
        <f>IF(COUNTIF(AB$4:AB$20,Append1[[#This Row],[dteday]]) &gt; 0, TRUE, FALSE)</f>
        <v>0</v>
      </c>
      <c r="H773">
        <v>5</v>
      </c>
      <c r="I773">
        <v>2</v>
      </c>
      <c r="J773">
        <v>0.28000000000000003</v>
      </c>
      <c r="K773">
        <f>Append1[[#This Row],[temp]]*100</f>
        <v>28.000000000000004</v>
      </c>
      <c r="L773">
        <v>0.2727</v>
      </c>
      <c r="M773">
        <v>0.45</v>
      </c>
      <c r="N773">
        <v>0.16420000000000001</v>
      </c>
      <c r="O773">
        <v>15</v>
      </c>
      <c r="P773">
        <v>76</v>
      </c>
      <c r="Q773">
        <v>91</v>
      </c>
      <c r="R773" s="12" t="str">
        <f t="shared" si="60"/>
        <v>Mist/Cloudy</v>
      </c>
      <c r="S773" s="14" t="str">
        <f t="shared" si="61"/>
        <v>Winter</v>
      </c>
      <c r="T773" s="15" t="str">
        <f t="shared" si="62"/>
        <v>Friday</v>
      </c>
      <c r="U773" t="str">
        <f t="shared" si="63"/>
        <v>February</v>
      </c>
      <c r="V773" s="16" t="str">
        <f t="shared" si="64"/>
        <v>MODERATE</v>
      </c>
    </row>
    <row r="774" spans="1:22" x14ac:dyDescent="0.3">
      <c r="A774">
        <v>773</v>
      </c>
      <c r="B774" s="1">
        <v>40578</v>
      </c>
      <c r="C774">
        <v>1</v>
      </c>
      <c r="D774">
        <v>0</v>
      </c>
      <c r="E774">
        <v>2</v>
      </c>
      <c r="F774">
        <v>15</v>
      </c>
      <c r="G774" t="b">
        <f>IF(COUNTIF(AB$4:AB$20,Append1[[#This Row],[dteday]]) &gt; 0, TRUE, FALSE)</f>
        <v>0</v>
      </c>
      <c r="H774">
        <v>5</v>
      </c>
      <c r="I774">
        <v>2</v>
      </c>
      <c r="J774">
        <v>0.28000000000000003</v>
      </c>
      <c r="K774">
        <f>Append1[[#This Row],[temp]]*100</f>
        <v>28.000000000000004</v>
      </c>
      <c r="L774">
        <v>0.2727</v>
      </c>
      <c r="M774">
        <v>0.48</v>
      </c>
      <c r="N774">
        <v>0.25369999999999998</v>
      </c>
      <c r="O774">
        <v>9</v>
      </c>
      <c r="P774">
        <v>81</v>
      </c>
      <c r="Q774">
        <v>90</v>
      </c>
      <c r="R774" s="12" t="str">
        <f t="shared" si="60"/>
        <v>Mist/Cloudy</v>
      </c>
      <c r="S774" s="14" t="str">
        <f t="shared" si="61"/>
        <v>Winter</v>
      </c>
      <c r="T774" s="15" t="str">
        <f t="shared" si="62"/>
        <v>Friday</v>
      </c>
      <c r="U774" t="str">
        <f t="shared" si="63"/>
        <v>February</v>
      </c>
      <c r="V774" s="16" t="str">
        <f t="shared" si="64"/>
        <v>MODERATE</v>
      </c>
    </row>
    <row r="775" spans="1:22" x14ac:dyDescent="0.3">
      <c r="A775">
        <v>774</v>
      </c>
      <c r="B775" s="1">
        <v>40578</v>
      </c>
      <c r="C775">
        <v>1</v>
      </c>
      <c r="D775">
        <v>0</v>
      </c>
      <c r="E775">
        <v>2</v>
      </c>
      <c r="F775">
        <v>16</v>
      </c>
      <c r="G775" t="b">
        <f>IF(COUNTIF(AB$4:AB$20,Append1[[#This Row],[dteday]]) &gt; 0, TRUE, FALSE)</f>
        <v>0</v>
      </c>
      <c r="H775">
        <v>5</v>
      </c>
      <c r="I775">
        <v>2</v>
      </c>
      <c r="J775">
        <v>0.3</v>
      </c>
      <c r="K775">
        <f>Append1[[#This Row],[temp]]*100</f>
        <v>30</v>
      </c>
      <c r="L775">
        <v>0.28789999999999999</v>
      </c>
      <c r="M775">
        <v>0.42</v>
      </c>
      <c r="N775">
        <v>0.22389999999999999</v>
      </c>
      <c r="O775">
        <v>8</v>
      </c>
      <c r="P775">
        <v>91</v>
      </c>
      <c r="Q775">
        <v>99</v>
      </c>
      <c r="R775" s="12" t="str">
        <f t="shared" si="60"/>
        <v>Mist/Cloudy</v>
      </c>
      <c r="S775" s="14" t="str">
        <f t="shared" si="61"/>
        <v>Winter</v>
      </c>
      <c r="T775" s="15" t="str">
        <f t="shared" si="62"/>
        <v>Friday</v>
      </c>
      <c r="U775" t="str">
        <f t="shared" si="63"/>
        <v>February</v>
      </c>
      <c r="V775" s="16" t="str">
        <f t="shared" si="64"/>
        <v>MODERATE</v>
      </c>
    </row>
    <row r="776" spans="1:22" x14ac:dyDescent="0.3">
      <c r="A776">
        <v>775</v>
      </c>
      <c r="B776" s="1">
        <v>40578</v>
      </c>
      <c r="C776">
        <v>1</v>
      </c>
      <c r="D776">
        <v>0</v>
      </c>
      <c r="E776">
        <v>2</v>
      </c>
      <c r="F776">
        <v>17</v>
      </c>
      <c r="G776" t="b">
        <f>IF(COUNTIF(AB$4:AB$20,Append1[[#This Row],[dteday]]) &gt; 0, TRUE, FALSE)</f>
        <v>0</v>
      </c>
      <c r="H776">
        <v>5</v>
      </c>
      <c r="I776">
        <v>2</v>
      </c>
      <c r="J776">
        <v>0.26</v>
      </c>
      <c r="K776">
        <f>Append1[[#This Row],[temp]]*100</f>
        <v>26</v>
      </c>
      <c r="L776">
        <v>0.2727</v>
      </c>
      <c r="M776">
        <v>0.56000000000000005</v>
      </c>
      <c r="N776">
        <v>0.1343</v>
      </c>
      <c r="O776">
        <v>10</v>
      </c>
      <c r="P776">
        <v>195</v>
      </c>
      <c r="Q776">
        <v>205</v>
      </c>
      <c r="R776" s="12" t="str">
        <f t="shared" si="60"/>
        <v>Mist/Cloudy</v>
      </c>
      <c r="S776" s="14" t="str">
        <f t="shared" si="61"/>
        <v>Winter</v>
      </c>
      <c r="T776" s="15" t="str">
        <f t="shared" si="62"/>
        <v>Friday</v>
      </c>
      <c r="U776" t="str">
        <f t="shared" si="63"/>
        <v>February</v>
      </c>
      <c r="V776" s="16" t="str">
        <f t="shared" si="64"/>
        <v>MODERATE</v>
      </c>
    </row>
    <row r="777" spans="1:22" x14ac:dyDescent="0.3">
      <c r="A777">
        <v>776</v>
      </c>
      <c r="B777" s="1">
        <v>40578</v>
      </c>
      <c r="C777">
        <v>1</v>
      </c>
      <c r="D777">
        <v>0</v>
      </c>
      <c r="E777">
        <v>2</v>
      </c>
      <c r="F777">
        <v>18</v>
      </c>
      <c r="G777" t="b">
        <f>IF(COUNTIF(AB$4:AB$20,Append1[[#This Row],[dteday]]) &gt; 0, TRUE, FALSE)</f>
        <v>0</v>
      </c>
      <c r="H777">
        <v>5</v>
      </c>
      <c r="I777">
        <v>2</v>
      </c>
      <c r="J777">
        <v>0.24</v>
      </c>
      <c r="K777">
        <f>Append1[[#This Row],[temp]]*100</f>
        <v>24</v>
      </c>
      <c r="L777">
        <v>0.2576</v>
      </c>
      <c r="M777">
        <v>0.6</v>
      </c>
      <c r="N777">
        <v>0.1045</v>
      </c>
      <c r="O777">
        <v>3</v>
      </c>
      <c r="P777">
        <v>152</v>
      </c>
      <c r="Q777">
        <v>155</v>
      </c>
      <c r="R777" s="12" t="str">
        <f t="shared" si="60"/>
        <v>Mist/Cloudy</v>
      </c>
      <c r="S777" s="14" t="str">
        <f t="shared" si="61"/>
        <v>Winter</v>
      </c>
      <c r="T777" s="15" t="str">
        <f t="shared" si="62"/>
        <v>Friday</v>
      </c>
      <c r="U777" t="str">
        <f t="shared" si="63"/>
        <v>February</v>
      </c>
      <c r="V777" s="16" t="str">
        <f t="shared" si="64"/>
        <v>MODERATE</v>
      </c>
    </row>
    <row r="778" spans="1:22" x14ac:dyDescent="0.3">
      <c r="A778">
        <v>777</v>
      </c>
      <c r="B778" s="1">
        <v>40578</v>
      </c>
      <c r="C778">
        <v>1</v>
      </c>
      <c r="D778">
        <v>0</v>
      </c>
      <c r="E778">
        <v>2</v>
      </c>
      <c r="F778">
        <v>19</v>
      </c>
      <c r="G778" t="b">
        <f>IF(COUNTIF(AB$4:AB$20,Append1[[#This Row],[dteday]]) &gt; 0, TRUE, FALSE)</f>
        <v>0</v>
      </c>
      <c r="H778">
        <v>5</v>
      </c>
      <c r="I778">
        <v>2</v>
      </c>
      <c r="J778">
        <v>0.24</v>
      </c>
      <c r="K778">
        <f>Append1[[#This Row],[temp]]*100</f>
        <v>24</v>
      </c>
      <c r="L778">
        <v>0.2424</v>
      </c>
      <c r="M778">
        <v>0.65</v>
      </c>
      <c r="N778">
        <v>0.1343</v>
      </c>
      <c r="O778">
        <v>1</v>
      </c>
      <c r="P778">
        <v>102</v>
      </c>
      <c r="Q778">
        <v>103</v>
      </c>
      <c r="R778" s="12" t="str">
        <f t="shared" si="60"/>
        <v>Mist/Cloudy</v>
      </c>
      <c r="S778" s="14" t="str">
        <f t="shared" si="61"/>
        <v>Winter</v>
      </c>
      <c r="T778" s="15" t="str">
        <f t="shared" si="62"/>
        <v>Friday</v>
      </c>
      <c r="U778" t="str">
        <f t="shared" si="63"/>
        <v>February</v>
      </c>
      <c r="V778" s="16" t="str">
        <f t="shared" si="64"/>
        <v>MODERATE</v>
      </c>
    </row>
    <row r="779" spans="1:22" x14ac:dyDescent="0.3">
      <c r="A779">
        <v>778</v>
      </c>
      <c r="B779" s="1">
        <v>40578</v>
      </c>
      <c r="C779">
        <v>1</v>
      </c>
      <c r="D779">
        <v>0</v>
      </c>
      <c r="E779">
        <v>2</v>
      </c>
      <c r="F779">
        <v>20</v>
      </c>
      <c r="G779" t="b">
        <f>IF(COUNTIF(AB$4:AB$20,Append1[[#This Row],[dteday]]) &gt; 0, TRUE, FALSE)</f>
        <v>0</v>
      </c>
      <c r="H779">
        <v>5</v>
      </c>
      <c r="I779">
        <v>2</v>
      </c>
      <c r="J779">
        <v>0.24</v>
      </c>
      <c r="K779">
        <f>Append1[[#This Row],[temp]]*100</f>
        <v>24</v>
      </c>
      <c r="L779">
        <v>0.2424</v>
      </c>
      <c r="M779">
        <v>0.65</v>
      </c>
      <c r="N779">
        <v>0.16420000000000001</v>
      </c>
      <c r="O779">
        <v>2</v>
      </c>
      <c r="P779">
        <v>69</v>
      </c>
      <c r="Q779">
        <v>71</v>
      </c>
      <c r="R779" s="12" t="str">
        <f t="shared" si="60"/>
        <v>Mist/Cloudy</v>
      </c>
      <c r="S779" s="14" t="str">
        <f t="shared" si="61"/>
        <v>Winter</v>
      </c>
      <c r="T779" s="15" t="str">
        <f t="shared" si="62"/>
        <v>Friday</v>
      </c>
      <c r="U779" t="str">
        <f t="shared" si="63"/>
        <v>February</v>
      </c>
      <c r="V779" s="16" t="str">
        <f t="shared" si="64"/>
        <v>MODERATE</v>
      </c>
    </row>
    <row r="780" spans="1:22" x14ac:dyDescent="0.3">
      <c r="A780">
        <v>779</v>
      </c>
      <c r="B780" s="1">
        <v>40578</v>
      </c>
      <c r="C780">
        <v>1</v>
      </c>
      <c r="D780">
        <v>0</v>
      </c>
      <c r="E780">
        <v>2</v>
      </c>
      <c r="F780">
        <v>21</v>
      </c>
      <c r="G780" t="b">
        <f>IF(COUNTIF(AB$4:AB$20,Append1[[#This Row],[dteday]]) &gt; 0, TRUE, FALSE)</f>
        <v>0</v>
      </c>
      <c r="H780">
        <v>5</v>
      </c>
      <c r="I780">
        <v>2</v>
      </c>
      <c r="J780">
        <v>0.24</v>
      </c>
      <c r="K780">
        <f>Append1[[#This Row],[temp]]*100</f>
        <v>24</v>
      </c>
      <c r="L780">
        <v>0.2424</v>
      </c>
      <c r="M780">
        <v>0.7</v>
      </c>
      <c r="N780">
        <v>0.16420000000000001</v>
      </c>
      <c r="O780">
        <v>2</v>
      </c>
      <c r="P780">
        <v>41</v>
      </c>
      <c r="Q780">
        <v>43</v>
      </c>
      <c r="R780" s="12" t="str">
        <f t="shared" si="60"/>
        <v>Mist/Cloudy</v>
      </c>
      <c r="S780" s="14" t="str">
        <f t="shared" si="61"/>
        <v>Winter</v>
      </c>
      <c r="T780" s="15" t="str">
        <f t="shared" si="62"/>
        <v>Friday</v>
      </c>
      <c r="U780" t="str">
        <f t="shared" si="63"/>
        <v>February</v>
      </c>
      <c r="V780" s="16" t="str">
        <f t="shared" si="64"/>
        <v>MODERATE</v>
      </c>
    </row>
    <row r="781" spans="1:22" x14ac:dyDescent="0.3">
      <c r="A781">
        <v>780</v>
      </c>
      <c r="B781" s="1">
        <v>40578</v>
      </c>
      <c r="C781">
        <v>1</v>
      </c>
      <c r="D781">
        <v>0</v>
      </c>
      <c r="E781">
        <v>2</v>
      </c>
      <c r="F781">
        <v>22</v>
      </c>
      <c r="G781" t="b">
        <f>IF(COUNTIF(AB$4:AB$20,Append1[[#This Row],[dteday]]) &gt; 0, TRUE, FALSE)</f>
        <v>0</v>
      </c>
      <c r="H781">
        <v>5</v>
      </c>
      <c r="I781">
        <v>2</v>
      </c>
      <c r="J781">
        <v>0.24</v>
      </c>
      <c r="K781">
        <f>Append1[[#This Row],[temp]]*100</f>
        <v>24</v>
      </c>
      <c r="L781">
        <v>0.2424</v>
      </c>
      <c r="M781">
        <v>0.65</v>
      </c>
      <c r="N781">
        <v>0.16420000000000001</v>
      </c>
      <c r="O781">
        <v>1</v>
      </c>
      <c r="P781">
        <v>45</v>
      </c>
      <c r="Q781">
        <v>46</v>
      </c>
      <c r="R781" s="12" t="str">
        <f t="shared" si="60"/>
        <v>Mist/Cloudy</v>
      </c>
      <c r="S781" s="14" t="str">
        <f t="shared" si="61"/>
        <v>Winter</v>
      </c>
      <c r="T781" s="15" t="str">
        <f t="shared" si="62"/>
        <v>Friday</v>
      </c>
      <c r="U781" t="str">
        <f t="shared" si="63"/>
        <v>February</v>
      </c>
      <c r="V781" s="16" t="str">
        <f t="shared" si="64"/>
        <v>MODERATE</v>
      </c>
    </row>
    <row r="782" spans="1:22" x14ac:dyDescent="0.3">
      <c r="A782">
        <v>781</v>
      </c>
      <c r="B782" s="1">
        <v>40578</v>
      </c>
      <c r="C782">
        <v>1</v>
      </c>
      <c r="D782">
        <v>0</v>
      </c>
      <c r="E782">
        <v>2</v>
      </c>
      <c r="F782">
        <v>23</v>
      </c>
      <c r="G782" t="b">
        <f>IF(COUNTIF(AB$4:AB$20,Append1[[#This Row],[dteday]]) &gt; 0, TRUE, FALSE)</f>
        <v>0</v>
      </c>
      <c r="H782">
        <v>5</v>
      </c>
      <c r="I782">
        <v>2</v>
      </c>
      <c r="J782">
        <v>0.24</v>
      </c>
      <c r="K782">
        <f>Append1[[#This Row],[temp]]*100</f>
        <v>24</v>
      </c>
      <c r="L782">
        <v>0.2424</v>
      </c>
      <c r="M782">
        <v>0.7</v>
      </c>
      <c r="N782">
        <v>0.1343</v>
      </c>
      <c r="O782">
        <v>1</v>
      </c>
      <c r="P782">
        <v>30</v>
      </c>
      <c r="Q782">
        <v>31</v>
      </c>
      <c r="R782" s="12" t="str">
        <f t="shared" si="60"/>
        <v>Mist/Cloudy</v>
      </c>
      <c r="S782" s="14" t="str">
        <f t="shared" si="61"/>
        <v>Winter</v>
      </c>
      <c r="T782" s="15" t="str">
        <f t="shared" si="62"/>
        <v>Friday</v>
      </c>
      <c r="U782" t="str">
        <f t="shared" si="63"/>
        <v>February</v>
      </c>
      <c r="V782" s="16" t="str">
        <f t="shared" si="64"/>
        <v>MODERATE</v>
      </c>
    </row>
    <row r="783" spans="1:22" x14ac:dyDescent="0.3">
      <c r="A783">
        <v>782</v>
      </c>
      <c r="B783" s="1">
        <v>40579</v>
      </c>
      <c r="C783">
        <v>1</v>
      </c>
      <c r="D783">
        <v>0</v>
      </c>
      <c r="E783">
        <v>2</v>
      </c>
      <c r="F783">
        <v>0</v>
      </c>
      <c r="G783" t="b">
        <f>IF(COUNTIF(AB$4:AB$20,Append1[[#This Row],[dteday]]) &gt; 0, TRUE, FALSE)</f>
        <v>0</v>
      </c>
      <c r="H783">
        <v>6</v>
      </c>
      <c r="I783">
        <v>2</v>
      </c>
      <c r="J783">
        <v>0.24</v>
      </c>
      <c r="K783">
        <f>Append1[[#This Row],[temp]]*100</f>
        <v>24</v>
      </c>
      <c r="L783">
        <v>0.2424</v>
      </c>
      <c r="M783">
        <v>0.7</v>
      </c>
      <c r="N783">
        <v>0.16420000000000001</v>
      </c>
      <c r="O783">
        <v>3</v>
      </c>
      <c r="P783">
        <v>36</v>
      </c>
      <c r="Q783">
        <v>39</v>
      </c>
      <c r="R783" s="12" t="str">
        <f t="shared" si="60"/>
        <v>Mist/Cloudy</v>
      </c>
      <c r="S783" s="14" t="str">
        <f t="shared" si="61"/>
        <v>Winter</v>
      </c>
      <c r="T783" s="15" t="str">
        <f t="shared" si="62"/>
        <v>Saturday</v>
      </c>
      <c r="U783" t="str">
        <f t="shared" si="63"/>
        <v>February</v>
      </c>
      <c r="V783" s="16" t="str">
        <f t="shared" si="64"/>
        <v>MODERATE</v>
      </c>
    </row>
    <row r="784" spans="1:22" x14ac:dyDescent="0.3">
      <c r="A784">
        <v>783</v>
      </c>
      <c r="B784" s="1">
        <v>40579</v>
      </c>
      <c r="C784">
        <v>1</v>
      </c>
      <c r="D784">
        <v>0</v>
      </c>
      <c r="E784">
        <v>2</v>
      </c>
      <c r="F784">
        <v>1</v>
      </c>
      <c r="G784" t="b">
        <f>IF(COUNTIF(AB$4:AB$20,Append1[[#This Row],[dteday]]) &gt; 0, TRUE, FALSE)</f>
        <v>0</v>
      </c>
      <c r="H784">
        <v>6</v>
      </c>
      <c r="I784">
        <v>2</v>
      </c>
      <c r="J784">
        <v>0.24</v>
      </c>
      <c r="K784">
        <f>Append1[[#This Row],[temp]]*100</f>
        <v>24</v>
      </c>
      <c r="L784">
        <v>0.2424</v>
      </c>
      <c r="M784">
        <v>0.65</v>
      </c>
      <c r="N784">
        <v>0.16420000000000001</v>
      </c>
      <c r="O784">
        <v>1</v>
      </c>
      <c r="P784">
        <v>17</v>
      </c>
      <c r="Q784">
        <v>18</v>
      </c>
      <c r="R784" s="12" t="str">
        <f t="shared" si="60"/>
        <v>Mist/Cloudy</v>
      </c>
      <c r="S784" s="14" t="str">
        <f t="shared" si="61"/>
        <v>Winter</v>
      </c>
      <c r="T784" s="15" t="str">
        <f t="shared" si="62"/>
        <v>Saturday</v>
      </c>
      <c r="U784" t="str">
        <f t="shared" si="63"/>
        <v>February</v>
      </c>
      <c r="V784" s="16" t="str">
        <f t="shared" si="64"/>
        <v>MODERATE</v>
      </c>
    </row>
    <row r="785" spans="1:22" x14ac:dyDescent="0.3">
      <c r="A785">
        <v>784</v>
      </c>
      <c r="B785" s="1">
        <v>40579</v>
      </c>
      <c r="C785">
        <v>1</v>
      </c>
      <c r="D785">
        <v>0</v>
      </c>
      <c r="E785">
        <v>2</v>
      </c>
      <c r="F785">
        <v>2</v>
      </c>
      <c r="G785" t="b">
        <f>IF(COUNTIF(AB$4:AB$20,Append1[[#This Row],[dteday]]) &gt; 0, TRUE, FALSE)</f>
        <v>0</v>
      </c>
      <c r="H785">
        <v>6</v>
      </c>
      <c r="I785">
        <v>2</v>
      </c>
      <c r="J785">
        <v>0.24</v>
      </c>
      <c r="K785">
        <f>Append1[[#This Row],[temp]]*100</f>
        <v>24</v>
      </c>
      <c r="L785">
        <v>0.2424</v>
      </c>
      <c r="M785">
        <v>0.75</v>
      </c>
      <c r="N785">
        <v>0.16420000000000001</v>
      </c>
      <c r="O785">
        <v>5</v>
      </c>
      <c r="P785">
        <v>12</v>
      </c>
      <c r="Q785">
        <v>17</v>
      </c>
      <c r="R785" s="12" t="str">
        <f t="shared" si="60"/>
        <v>Mist/Cloudy</v>
      </c>
      <c r="S785" s="14" t="str">
        <f t="shared" si="61"/>
        <v>Winter</v>
      </c>
      <c r="T785" s="15" t="str">
        <f t="shared" si="62"/>
        <v>Saturday</v>
      </c>
      <c r="U785" t="str">
        <f t="shared" si="63"/>
        <v>February</v>
      </c>
      <c r="V785" s="16" t="str">
        <f t="shared" si="64"/>
        <v>MODERATE</v>
      </c>
    </row>
    <row r="786" spans="1:22" x14ac:dyDescent="0.3">
      <c r="A786">
        <v>785</v>
      </c>
      <c r="B786" s="1">
        <v>40579</v>
      </c>
      <c r="C786">
        <v>1</v>
      </c>
      <c r="D786">
        <v>0</v>
      </c>
      <c r="E786">
        <v>2</v>
      </c>
      <c r="F786">
        <v>3</v>
      </c>
      <c r="G786" t="b">
        <f>IF(COUNTIF(AB$4:AB$20,Append1[[#This Row],[dteday]]) &gt; 0, TRUE, FALSE)</f>
        <v>0</v>
      </c>
      <c r="H786">
        <v>6</v>
      </c>
      <c r="I786">
        <v>2</v>
      </c>
      <c r="J786">
        <v>0.24</v>
      </c>
      <c r="K786">
        <f>Append1[[#This Row],[temp]]*100</f>
        <v>24</v>
      </c>
      <c r="L786">
        <v>0.2424</v>
      </c>
      <c r="M786">
        <v>0.75</v>
      </c>
      <c r="N786">
        <v>0.16420000000000001</v>
      </c>
      <c r="O786">
        <v>1</v>
      </c>
      <c r="P786">
        <v>10</v>
      </c>
      <c r="Q786">
        <v>11</v>
      </c>
      <c r="R786" s="12" t="str">
        <f t="shared" si="60"/>
        <v>Mist/Cloudy</v>
      </c>
      <c r="S786" s="14" t="str">
        <f t="shared" si="61"/>
        <v>Winter</v>
      </c>
      <c r="T786" s="15" t="str">
        <f t="shared" si="62"/>
        <v>Saturday</v>
      </c>
      <c r="U786" t="str">
        <f t="shared" si="63"/>
        <v>February</v>
      </c>
      <c r="V786" s="16" t="str">
        <f t="shared" si="64"/>
        <v>MODERATE</v>
      </c>
    </row>
    <row r="787" spans="1:22" x14ac:dyDescent="0.3">
      <c r="A787">
        <v>786</v>
      </c>
      <c r="B787" s="1">
        <v>40579</v>
      </c>
      <c r="C787">
        <v>1</v>
      </c>
      <c r="D787">
        <v>0</v>
      </c>
      <c r="E787">
        <v>2</v>
      </c>
      <c r="F787">
        <v>4</v>
      </c>
      <c r="G787" t="b">
        <f>IF(COUNTIF(AB$4:AB$20,Append1[[#This Row],[dteday]]) &gt; 0, TRUE, FALSE)</f>
        <v>0</v>
      </c>
      <c r="H787">
        <v>6</v>
      </c>
      <c r="I787">
        <v>3</v>
      </c>
      <c r="J787">
        <v>0.22</v>
      </c>
      <c r="K787">
        <f>Append1[[#This Row],[temp]]*100</f>
        <v>22</v>
      </c>
      <c r="L787">
        <v>0.2273</v>
      </c>
      <c r="M787">
        <v>0.93</v>
      </c>
      <c r="N787">
        <v>0.1343</v>
      </c>
      <c r="O787">
        <v>0</v>
      </c>
      <c r="P787">
        <v>8</v>
      </c>
      <c r="Q787">
        <v>8</v>
      </c>
      <c r="R787" s="12" t="str">
        <f t="shared" si="60"/>
        <v>Light Rain/Snow</v>
      </c>
      <c r="S787" s="14" t="str">
        <f t="shared" si="61"/>
        <v>Winter</v>
      </c>
      <c r="T787" s="15" t="str">
        <f t="shared" si="62"/>
        <v>Saturday</v>
      </c>
      <c r="U787" t="str">
        <f t="shared" si="63"/>
        <v>February</v>
      </c>
      <c r="V787" s="16" t="str">
        <f t="shared" si="64"/>
        <v>BAD</v>
      </c>
    </row>
    <row r="788" spans="1:22" x14ac:dyDescent="0.3">
      <c r="A788">
        <v>787</v>
      </c>
      <c r="B788" s="1">
        <v>40579</v>
      </c>
      <c r="C788">
        <v>1</v>
      </c>
      <c r="D788">
        <v>0</v>
      </c>
      <c r="E788">
        <v>2</v>
      </c>
      <c r="F788">
        <v>5</v>
      </c>
      <c r="G788" t="b">
        <f>IF(COUNTIF(AB$4:AB$20,Append1[[#This Row],[dteday]]) &gt; 0, TRUE, FALSE)</f>
        <v>0</v>
      </c>
      <c r="H788">
        <v>6</v>
      </c>
      <c r="I788">
        <v>3</v>
      </c>
      <c r="J788">
        <v>0.2</v>
      </c>
      <c r="K788">
        <f>Append1[[#This Row],[temp]]*100</f>
        <v>20</v>
      </c>
      <c r="L788">
        <v>0.2273</v>
      </c>
      <c r="M788">
        <v>1</v>
      </c>
      <c r="N788">
        <v>8.9599999999999999E-2</v>
      </c>
      <c r="O788">
        <v>0</v>
      </c>
      <c r="P788">
        <v>9</v>
      </c>
      <c r="Q788">
        <v>9</v>
      </c>
      <c r="R788" s="12" t="str">
        <f t="shared" si="60"/>
        <v>Light Rain/Snow</v>
      </c>
      <c r="S788" s="14" t="str">
        <f t="shared" si="61"/>
        <v>Winter</v>
      </c>
      <c r="T788" s="15" t="str">
        <f t="shared" si="62"/>
        <v>Saturday</v>
      </c>
      <c r="U788" t="str">
        <f t="shared" si="63"/>
        <v>February</v>
      </c>
      <c r="V788" s="16" t="str">
        <f t="shared" si="64"/>
        <v>BAD</v>
      </c>
    </row>
    <row r="789" spans="1:22" x14ac:dyDescent="0.3">
      <c r="A789">
        <v>788</v>
      </c>
      <c r="B789" s="1">
        <v>40579</v>
      </c>
      <c r="C789">
        <v>1</v>
      </c>
      <c r="D789">
        <v>0</v>
      </c>
      <c r="E789">
        <v>2</v>
      </c>
      <c r="F789">
        <v>6</v>
      </c>
      <c r="G789" t="b">
        <f>IF(COUNTIF(AB$4:AB$20,Append1[[#This Row],[dteday]]) &gt; 0, TRUE, FALSE)</f>
        <v>0</v>
      </c>
      <c r="H789">
        <v>6</v>
      </c>
      <c r="I789">
        <v>3</v>
      </c>
      <c r="J789">
        <v>0.2</v>
      </c>
      <c r="K789">
        <f>Append1[[#This Row],[temp]]*100</f>
        <v>20</v>
      </c>
      <c r="L789">
        <v>0.2576</v>
      </c>
      <c r="M789">
        <v>1</v>
      </c>
      <c r="N789">
        <v>0</v>
      </c>
      <c r="O789">
        <v>0</v>
      </c>
      <c r="P789">
        <v>4</v>
      </c>
      <c r="Q789">
        <v>4</v>
      </c>
      <c r="R789" s="12" t="str">
        <f t="shared" si="60"/>
        <v>Light Rain/Snow</v>
      </c>
      <c r="S789" s="14" t="str">
        <f t="shared" si="61"/>
        <v>Winter</v>
      </c>
      <c r="T789" s="15" t="str">
        <f t="shared" si="62"/>
        <v>Saturday</v>
      </c>
      <c r="U789" t="str">
        <f t="shared" si="63"/>
        <v>February</v>
      </c>
      <c r="V789" s="16" t="str">
        <f t="shared" si="64"/>
        <v>BAD</v>
      </c>
    </row>
    <row r="790" spans="1:22" x14ac:dyDescent="0.3">
      <c r="A790">
        <v>789</v>
      </c>
      <c r="B790" s="1">
        <v>40579</v>
      </c>
      <c r="C790">
        <v>1</v>
      </c>
      <c r="D790">
        <v>0</v>
      </c>
      <c r="E790">
        <v>2</v>
      </c>
      <c r="F790">
        <v>7</v>
      </c>
      <c r="G790" t="b">
        <f>IF(COUNTIF(AB$4:AB$20,Append1[[#This Row],[dteday]]) &gt; 0, TRUE, FALSE)</f>
        <v>0</v>
      </c>
      <c r="H790">
        <v>6</v>
      </c>
      <c r="I790">
        <v>3</v>
      </c>
      <c r="J790">
        <v>0.22</v>
      </c>
      <c r="K790">
        <f>Append1[[#This Row],[temp]]*100</f>
        <v>22</v>
      </c>
      <c r="L790">
        <v>0.2576</v>
      </c>
      <c r="M790">
        <v>0.93</v>
      </c>
      <c r="N790">
        <v>8.9599999999999999E-2</v>
      </c>
      <c r="O790">
        <v>0</v>
      </c>
      <c r="P790">
        <v>4</v>
      </c>
      <c r="Q790">
        <v>4</v>
      </c>
      <c r="R790" s="12" t="str">
        <f t="shared" si="60"/>
        <v>Light Rain/Snow</v>
      </c>
      <c r="S790" s="14" t="str">
        <f t="shared" si="61"/>
        <v>Winter</v>
      </c>
      <c r="T790" s="15" t="str">
        <f t="shared" si="62"/>
        <v>Saturday</v>
      </c>
      <c r="U790" t="str">
        <f t="shared" si="63"/>
        <v>February</v>
      </c>
      <c r="V790" s="16" t="str">
        <f t="shared" si="64"/>
        <v>BAD</v>
      </c>
    </row>
    <row r="791" spans="1:22" x14ac:dyDescent="0.3">
      <c r="A791">
        <v>790</v>
      </c>
      <c r="B791" s="1">
        <v>40579</v>
      </c>
      <c r="C791">
        <v>1</v>
      </c>
      <c r="D791">
        <v>0</v>
      </c>
      <c r="E791">
        <v>2</v>
      </c>
      <c r="F791">
        <v>8</v>
      </c>
      <c r="G791" t="b">
        <f>IF(COUNTIF(AB$4:AB$20,Append1[[#This Row],[dteday]]) &gt; 0, TRUE, FALSE)</f>
        <v>0</v>
      </c>
      <c r="H791">
        <v>6</v>
      </c>
      <c r="I791">
        <v>3</v>
      </c>
      <c r="J791">
        <v>0.2</v>
      </c>
      <c r="K791">
        <f>Append1[[#This Row],[temp]]*100</f>
        <v>20</v>
      </c>
      <c r="L791">
        <v>0.2273</v>
      </c>
      <c r="M791">
        <v>1</v>
      </c>
      <c r="N791">
        <v>8.9599999999999999E-2</v>
      </c>
      <c r="O791">
        <v>0</v>
      </c>
      <c r="P791">
        <v>10</v>
      </c>
      <c r="Q791">
        <v>10</v>
      </c>
      <c r="R791" s="12" t="str">
        <f t="shared" si="60"/>
        <v>Light Rain/Snow</v>
      </c>
      <c r="S791" s="14" t="str">
        <f t="shared" si="61"/>
        <v>Winter</v>
      </c>
      <c r="T791" s="15" t="str">
        <f t="shared" si="62"/>
        <v>Saturday</v>
      </c>
      <c r="U791" t="str">
        <f t="shared" si="63"/>
        <v>February</v>
      </c>
      <c r="V791" s="16" t="str">
        <f t="shared" si="64"/>
        <v>BAD</v>
      </c>
    </row>
    <row r="792" spans="1:22" x14ac:dyDescent="0.3">
      <c r="A792">
        <v>791</v>
      </c>
      <c r="B792" s="1">
        <v>40579</v>
      </c>
      <c r="C792">
        <v>1</v>
      </c>
      <c r="D792">
        <v>0</v>
      </c>
      <c r="E792">
        <v>2</v>
      </c>
      <c r="F792">
        <v>9</v>
      </c>
      <c r="G792" t="b">
        <f>IF(COUNTIF(AB$4:AB$20,Append1[[#This Row],[dteday]]) &gt; 0, TRUE, FALSE)</f>
        <v>0</v>
      </c>
      <c r="H792">
        <v>6</v>
      </c>
      <c r="I792">
        <v>3</v>
      </c>
      <c r="J792">
        <v>0.2</v>
      </c>
      <c r="K792">
        <f>Append1[[#This Row],[temp]]*100</f>
        <v>20</v>
      </c>
      <c r="L792">
        <v>0.2273</v>
      </c>
      <c r="M792">
        <v>1</v>
      </c>
      <c r="N792">
        <v>8.9599999999999999E-2</v>
      </c>
      <c r="O792">
        <v>3</v>
      </c>
      <c r="P792">
        <v>17</v>
      </c>
      <c r="Q792">
        <v>20</v>
      </c>
      <c r="R792" s="12" t="str">
        <f t="shared" si="60"/>
        <v>Light Rain/Snow</v>
      </c>
      <c r="S792" s="14" t="str">
        <f t="shared" si="61"/>
        <v>Winter</v>
      </c>
      <c r="T792" s="15" t="str">
        <f t="shared" si="62"/>
        <v>Saturday</v>
      </c>
      <c r="U792" t="str">
        <f t="shared" si="63"/>
        <v>February</v>
      </c>
      <c r="V792" s="16" t="str">
        <f t="shared" si="64"/>
        <v>BAD</v>
      </c>
    </row>
    <row r="793" spans="1:22" x14ac:dyDescent="0.3">
      <c r="A793">
        <v>792</v>
      </c>
      <c r="B793" s="1">
        <v>40579</v>
      </c>
      <c r="C793">
        <v>1</v>
      </c>
      <c r="D793">
        <v>0</v>
      </c>
      <c r="E793">
        <v>2</v>
      </c>
      <c r="F793">
        <v>10</v>
      </c>
      <c r="G793" t="b">
        <f>IF(COUNTIF(AB$4:AB$20,Append1[[#This Row],[dteday]]) &gt; 0, TRUE, FALSE)</f>
        <v>0</v>
      </c>
      <c r="H793">
        <v>6</v>
      </c>
      <c r="I793">
        <v>3</v>
      </c>
      <c r="J793">
        <v>0.2</v>
      </c>
      <c r="K793">
        <f>Append1[[#This Row],[temp]]*100</f>
        <v>20</v>
      </c>
      <c r="L793">
        <v>0.21210000000000001</v>
      </c>
      <c r="M793">
        <v>1</v>
      </c>
      <c r="N793">
        <v>0.1343</v>
      </c>
      <c r="O793">
        <v>3</v>
      </c>
      <c r="P793">
        <v>31</v>
      </c>
      <c r="Q793">
        <v>34</v>
      </c>
      <c r="R793" s="12" t="str">
        <f t="shared" si="60"/>
        <v>Light Rain/Snow</v>
      </c>
      <c r="S793" s="14" t="str">
        <f t="shared" si="61"/>
        <v>Winter</v>
      </c>
      <c r="T793" s="15" t="str">
        <f t="shared" si="62"/>
        <v>Saturday</v>
      </c>
      <c r="U793" t="str">
        <f t="shared" si="63"/>
        <v>February</v>
      </c>
      <c r="V793" s="16" t="str">
        <f t="shared" si="64"/>
        <v>BAD</v>
      </c>
    </row>
    <row r="794" spans="1:22" x14ac:dyDescent="0.3">
      <c r="A794">
        <v>793</v>
      </c>
      <c r="B794" s="1">
        <v>40579</v>
      </c>
      <c r="C794">
        <v>1</v>
      </c>
      <c r="D794">
        <v>0</v>
      </c>
      <c r="E794">
        <v>2</v>
      </c>
      <c r="F794">
        <v>11</v>
      </c>
      <c r="G794" t="b">
        <f>IF(COUNTIF(AB$4:AB$20,Append1[[#This Row],[dteday]]) &gt; 0, TRUE, FALSE)</f>
        <v>0</v>
      </c>
      <c r="H794">
        <v>6</v>
      </c>
      <c r="I794">
        <v>3</v>
      </c>
      <c r="J794">
        <v>0.22</v>
      </c>
      <c r="K794">
        <f>Append1[[#This Row],[temp]]*100</f>
        <v>22</v>
      </c>
      <c r="L794">
        <v>0.2273</v>
      </c>
      <c r="M794">
        <v>1</v>
      </c>
      <c r="N794">
        <v>0.1343</v>
      </c>
      <c r="O794">
        <v>1</v>
      </c>
      <c r="P794">
        <v>46</v>
      </c>
      <c r="Q794">
        <v>47</v>
      </c>
      <c r="R794" s="12" t="str">
        <f t="shared" si="60"/>
        <v>Light Rain/Snow</v>
      </c>
      <c r="S794" s="14" t="str">
        <f t="shared" si="61"/>
        <v>Winter</v>
      </c>
      <c r="T794" s="15" t="str">
        <f t="shared" si="62"/>
        <v>Saturday</v>
      </c>
      <c r="U794" t="str">
        <f t="shared" si="63"/>
        <v>February</v>
      </c>
      <c r="V794" s="16" t="str">
        <f t="shared" si="64"/>
        <v>BAD</v>
      </c>
    </row>
    <row r="795" spans="1:22" x14ac:dyDescent="0.3">
      <c r="A795">
        <v>794</v>
      </c>
      <c r="B795" s="1">
        <v>40579</v>
      </c>
      <c r="C795">
        <v>1</v>
      </c>
      <c r="D795">
        <v>0</v>
      </c>
      <c r="E795">
        <v>2</v>
      </c>
      <c r="F795">
        <v>12</v>
      </c>
      <c r="G795" t="b">
        <f>IF(COUNTIF(AB$4:AB$20,Append1[[#This Row],[dteday]]) &gt; 0, TRUE, FALSE)</f>
        <v>0</v>
      </c>
      <c r="H795">
        <v>6</v>
      </c>
      <c r="I795">
        <v>3</v>
      </c>
      <c r="J795">
        <v>0.22</v>
      </c>
      <c r="K795">
        <f>Append1[[#This Row],[temp]]*100</f>
        <v>22</v>
      </c>
      <c r="L795">
        <v>0.2273</v>
      </c>
      <c r="M795">
        <v>1</v>
      </c>
      <c r="N795">
        <v>0.16420000000000001</v>
      </c>
      <c r="O795">
        <v>10</v>
      </c>
      <c r="P795">
        <v>42</v>
      </c>
      <c r="Q795">
        <v>52</v>
      </c>
      <c r="R795" s="12" t="str">
        <f t="shared" si="60"/>
        <v>Light Rain/Snow</v>
      </c>
      <c r="S795" s="14" t="str">
        <f t="shared" si="61"/>
        <v>Winter</v>
      </c>
      <c r="T795" s="15" t="str">
        <f t="shared" si="62"/>
        <v>Saturday</v>
      </c>
      <c r="U795" t="str">
        <f t="shared" si="63"/>
        <v>February</v>
      </c>
      <c r="V795" s="16" t="str">
        <f t="shared" si="64"/>
        <v>BAD</v>
      </c>
    </row>
    <row r="796" spans="1:22" x14ac:dyDescent="0.3">
      <c r="A796">
        <v>795</v>
      </c>
      <c r="B796" s="1">
        <v>40579</v>
      </c>
      <c r="C796">
        <v>1</v>
      </c>
      <c r="D796">
        <v>0</v>
      </c>
      <c r="E796">
        <v>2</v>
      </c>
      <c r="F796">
        <v>13</v>
      </c>
      <c r="G796" t="b">
        <f>IF(COUNTIF(AB$4:AB$20,Append1[[#This Row],[dteday]]) &gt; 0, TRUE, FALSE)</f>
        <v>0</v>
      </c>
      <c r="H796">
        <v>6</v>
      </c>
      <c r="I796">
        <v>3</v>
      </c>
      <c r="J796">
        <v>0.22</v>
      </c>
      <c r="K796">
        <f>Append1[[#This Row],[temp]]*100</f>
        <v>22</v>
      </c>
      <c r="L796">
        <v>0.2273</v>
      </c>
      <c r="M796">
        <v>1</v>
      </c>
      <c r="N796">
        <v>0.16420000000000001</v>
      </c>
      <c r="O796">
        <v>10</v>
      </c>
      <c r="P796">
        <v>62</v>
      </c>
      <c r="Q796">
        <v>72</v>
      </c>
      <c r="R796" s="12" t="str">
        <f t="shared" si="60"/>
        <v>Light Rain/Snow</v>
      </c>
      <c r="S796" s="14" t="str">
        <f t="shared" si="61"/>
        <v>Winter</v>
      </c>
      <c r="T796" s="15" t="str">
        <f t="shared" si="62"/>
        <v>Saturday</v>
      </c>
      <c r="U796" t="str">
        <f t="shared" si="63"/>
        <v>February</v>
      </c>
      <c r="V796" s="16" t="str">
        <f t="shared" si="64"/>
        <v>BAD</v>
      </c>
    </row>
    <row r="797" spans="1:22" x14ac:dyDescent="0.3">
      <c r="A797">
        <v>796</v>
      </c>
      <c r="B797" s="1">
        <v>40579</v>
      </c>
      <c r="C797">
        <v>1</v>
      </c>
      <c r="D797">
        <v>0</v>
      </c>
      <c r="E797">
        <v>2</v>
      </c>
      <c r="F797">
        <v>14</v>
      </c>
      <c r="G797" t="b">
        <f>IF(COUNTIF(AB$4:AB$20,Append1[[#This Row],[dteday]]) &gt; 0, TRUE, FALSE)</f>
        <v>0</v>
      </c>
      <c r="H797">
        <v>6</v>
      </c>
      <c r="I797">
        <v>3</v>
      </c>
      <c r="J797">
        <v>0.22</v>
      </c>
      <c r="K797">
        <f>Append1[[#This Row],[temp]]*100</f>
        <v>22</v>
      </c>
      <c r="L797">
        <v>0.2727</v>
      </c>
      <c r="M797">
        <v>1</v>
      </c>
      <c r="N797">
        <v>0</v>
      </c>
      <c r="O797">
        <v>5</v>
      </c>
      <c r="P797">
        <v>50</v>
      </c>
      <c r="Q797">
        <v>55</v>
      </c>
      <c r="R797" s="12" t="str">
        <f t="shared" si="60"/>
        <v>Light Rain/Snow</v>
      </c>
      <c r="S797" s="14" t="str">
        <f t="shared" si="61"/>
        <v>Winter</v>
      </c>
      <c r="T797" s="15" t="str">
        <f t="shared" si="62"/>
        <v>Saturday</v>
      </c>
      <c r="U797" t="str">
        <f t="shared" si="63"/>
        <v>February</v>
      </c>
      <c r="V797" s="16" t="str">
        <f t="shared" si="64"/>
        <v>BAD</v>
      </c>
    </row>
    <row r="798" spans="1:22" x14ac:dyDescent="0.3">
      <c r="A798">
        <v>797</v>
      </c>
      <c r="B798" s="1">
        <v>40579</v>
      </c>
      <c r="C798">
        <v>1</v>
      </c>
      <c r="D798">
        <v>0</v>
      </c>
      <c r="E798">
        <v>2</v>
      </c>
      <c r="F798">
        <v>15</v>
      </c>
      <c r="G798" t="b">
        <f>IF(COUNTIF(AB$4:AB$20,Append1[[#This Row],[dteday]]) &gt; 0, TRUE, FALSE)</f>
        <v>0</v>
      </c>
      <c r="H798">
        <v>6</v>
      </c>
      <c r="I798">
        <v>3</v>
      </c>
      <c r="J798">
        <v>0.22</v>
      </c>
      <c r="K798">
        <f>Append1[[#This Row],[temp]]*100</f>
        <v>22</v>
      </c>
      <c r="L798">
        <v>0.2727</v>
      </c>
      <c r="M798">
        <v>1</v>
      </c>
      <c r="N798">
        <v>0</v>
      </c>
      <c r="O798">
        <v>11</v>
      </c>
      <c r="P798">
        <v>49</v>
      </c>
      <c r="Q798">
        <v>60</v>
      </c>
      <c r="R798" s="12" t="str">
        <f t="shared" si="60"/>
        <v>Light Rain/Snow</v>
      </c>
      <c r="S798" s="14" t="str">
        <f t="shared" si="61"/>
        <v>Winter</v>
      </c>
      <c r="T798" s="15" t="str">
        <f t="shared" si="62"/>
        <v>Saturday</v>
      </c>
      <c r="U798" t="str">
        <f t="shared" si="63"/>
        <v>February</v>
      </c>
      <c r="V798" s="16" t="str">
        <f t="shared" si="64"/>
        <v>BAD</v>
      </c>
    </row>
    <row r="799" spans="1:22" x14ac:dyDescent="0.3">
      <c r="A799">
        <v>798</v>
      </c>
      <c r="B799" s="1">
        <v>40579</v>
      </c>
      <c r="C799">
        <v>1</v>
      </c>
      <c r="D799">
        <v>0</v>
      </c>
      <c r="E799">
        <v>2</v>
      </c>
      <c r="F799">
        <v>16</v>
      </c>
      <c r="G799" t="b">
        <f>IF(COUNTIF(AB$4:AB$20,Append1[[#This Row],[dteday]]) &gt; 0, TRUE, FALSE)</f>
        <v>0</v>
      </c>
      <c r="H799">
        <v>6</v>
      </c>
      <c r="I799">
        <v>3</v>
      </c>
      <c r="J799">
        <v>0.22</v>
      </c>
      <c r="K799">
        <f>Append1[[#This Row],[temp]]*100</f>
        <v>22</v>
      </c>
      <c r="L799">
        <v>0.2273</v>
      </c>
      <c r="M799">
        <v>1</v>
      </c>
      <c r="N799">
        <v>0.1343</v>
      </c>
      <c r="O799">
        <v>8</v>
      </c>
      <c r="P799">
        <v>63</v>
      </c>
      <c r="Q799">
        <v>71</v>
      </c>
      <c r="R799" s="12" t="str">
        <f t="shared" si="60"/>
        <v>Light Rain/Snow</v>
      </c>
      <c r="S799" s="14" t="str">
        <f t="shared" si="61"/>
        <v>Winter</v>
      </c>
      <c r="T799" s="15" t="str">
        <f t="shared" si="62"/>
        <v>Saturday</v>
      </c>
      <c r="U799" t="str">
        <f t="shared" si="63"/>
        <v>February</v>
      </c>
      <c r="V799" s="16" t="str">
        <f t="shared" si="64"/>
        <v>BAD</v>
      </c>
    </row>
    <row r="800" spans="1:22" x14ac:dyDescent="0.3">
      <c r="A800">
        <v>799</v>
      </c>
      <c r="B800" s="1">
        <v>40579</v>
      </c>
      <c r="C800">
        <v>1</v>
      </c>
      <c r="D800">
        <v>0</v>
      </c>
      <c r="E800">
        <v>2</v>
      </c>
      <c r="F800">
        <v>17</v>
      </c>
      <c r="G800" t="b">
        <f>IF(COUNTIF(AB$4:AB$20,Append1[[#This Row],[dteday]]) &gt; 0, TRUE, FALSE)</f>
        <v>0</v>
      </c>
      <c r="H800">
        <v>6</v>
      </c>
      <c r="I800">
        <v>2</v>
      </c>
      <c r="J800">
        <v>0.24</v>
      </c>
      <c r="K800">
        <f>Append1[[#This Row],[temp]]*100</f>
        <v>24</v>
      </c>
      <c r="L800">
        <v>0.21210000000000001</v>
      </c>
      <c r="M800">
        <v>1</v>
      </c>
      <c r="N800">
        <v>0.28360000000000002</v>
      </c>
      <c r="O800">
        <v>14</v>
      </c>
      <c r="P800">
        <v>64</v>
      </c>
      <c r="Q800">
        <v>78</v>
      </c>
      <c r="R800" s="12" t="str">
        <f t="shared" si="60"/>
        <v>Mist/Cloudy</v>
      </c>
      <c r="S800" s="14" t="str">
        <f t="shared" si="61"/>
        <v>Winter</v>
      </c>
      <c r="T800" s="15" t="str">
        <f t="shared" si="62"/>
        <v>Saturday</v>
      </c>
      <c r="U800" t="str">
        <f t="shared" si="63"/>
        <v>February</v>
      </c>
      <c r="V800" s="16" t="str">
        <f t="shared" si="64"/>
        <v>MODERATE</v>
      </c>
    </row>
    <row r="801" spans="1:22" x14ac:dyDescent="0.3">
      <c r="A801">
        <v>800</v>
      </c>
      <c r="B801" s="1">
        <v>40579</v>
      </c>
      <c r="C801">
        <v>1</v>
      </c>
      <c r="D801">
        <v>0</v>
      </c>
      <c r="E801">
        <v>2</v>
      </c>
      <c r="F801">
        <v>18</v>
      </c>
      <c r="G801" t="b">
        <f>IF(COUNTIF(AB$4:AB$20,Append1[[#This Row],[dteday]]) &gt; 0, TRUE, FALSE)</f>
        <v>0</v>
      </c>
      <c r="H801">
        <v>6</v>
      </c>
      <c r="I801">
        <v>2</v>
      </c>
      <c r="J801">
        <v>0.28000000000000003</v>
      </c>
      <c r="K801">
        <f>Append1[[#This Row],[temp]]*100</f>
        <v>28.000000000000004</v>
      </c>
      <c r="L801">
        <v>0.2424</v>
      </c>
      <c r="M801">
        <v>0.93</v>
      </c>
      <c r="N801">
        <v>0.44779999999999998</v>
      </c>
      <c r="O801">
        <v>2</v>
      </c>
      <c r="P801">
        <v>81</v>
      </c>
      <c r="Q801">
        <v>83</v>
      </c>
      <c r="R801" s="12" t="str">
        <f t="shared" si="60"/>
        <v>Mist/Cloudy</v>
      </c>
      <c r="S801" s="14" t="str">
        <f t="shared" si="61"/>
        <v>Winter</v>
      </c>
      <c r="T801" s="15" t="str">
        <f t="shared" si="62"/>
        <v>Saturday</v>
      </c>
      <c r="U801" t="str">
        <f t="shared" si="63"/>
        <v>February</v>
      </c>
      <c r="V801" s="16" t="str">
        <f t="shared" si="64"/>
        <v>MODERATE</v>
      </c>
    </row>
    <row r="802" spans="1:22" x14ac:dyDescent="0.3">
      <c r="A802">
        <v>801</v>
      </c>
      <c r="B802" s="1">
        <v>40579</v>
      </c>
      <c r="C802">
        <v>1</v>
      </c>
      <c r="D802">
        <v>0</v>
      </c>
      <c r="E802">
        <v>2</v>
      </c>
      <c r="F802">
        <v>19</v>
      </c>
      <c r="G802" t="b">
        <f>IF(COUNTIF(AB$4:AB$20,Append1[[#This Row],[dteday]]) &gt; 0, TRUE, FALSE)</f>
        <v>0</v>
      </c>
      <c r="H802">
        <v>6</v>
      </c>
      <c r="I802">
        <v>2</v>
      </c>
      <c r="J802">
        <v>0.28000000000000003</v>
      </c>
      <c r="K802">
        <f>Append1[[#This Row],[temp]]*100</f>
        <v>28.000000000000004</v>
      </c>
      <c r="L802">
        <v>0.2424</v>
      </c>
      <c r="M802">
        <v>0.93</v>
      </c>
      <c r="N802">
        <v>0.44779999999999998</v>
      </c>
      <c r="O802">
        <v>6</v>
      </c>
      <c r="P802">
        <v>78</v>
      </c>
      <c r="Q802">
        <v>84</v>
      </c>
      <c r="R802" s="12" t="str">
        <f t="shared" si="60"/>
        <v>Mist/Cloudy</v>
      </c>
      <c r="S802" s="14" t="str">
        <f t="shared" si="61"/>
        <v>Winter</v>
      </c>
      <c r="T802" s="15" t="str">
        <f t="shared" si="62"/>
        <v>Saturday</v>
      </c>
      <c r="U802" t="str">
        <f t="shared" si="63"/>
        <v>February</v>
      </c>
      <c r="V802" s="16" t="str">
        <f t="shared" si="64"/>
        <v>MODERATE</v>
      </c>
    </row>
    <row r="803" spans="1:22" x14ac:dyDescent="0.3">
      <c r="A803">
        <v>802</v>
      </c>
      <c r="B803" s="1">
        <v>40579</v>
      </c>
      <c r="C803">
        <v>1</v>
      </c>
      <c r="D803">
        <v>0</v>
      </c>
      <c r="E803">
        <v>2</v>
      </c>
      <c r="F803">
        <v>20</v>
      </c>
      <c r="G803" t="b">
        <f>IF(COUNTIF(AB$4:AB$20,Append1[[#This Row],[dteday]]) &gt; 0, TRUE, FALSE)</f>
        <v>0</v>
      </c>
      <c r="H803">
        <v>6</v>
      </c>
      <c r="I803">
        <v>1</v>
      </c>
      <c r="J803">
        <v>0.3</v>
      </c>
      <c r="K803">
        <f>Append1[[#This Row],[temp]]*100</f>
        <v>30</v>
      </c>
      <c r="L803">
        <v>0.28789999999999999</v>
      </c>
      <c r="M803">
        <v>0.87</v>
      </c>
      <c r="N803">
        <v>0.25369999999999998</v>
      </c>
      <c r="O803">
        <v>5</v>
      </c>
      <c r="P803">
        <v>64</v>
      </c>
      <c r="Q803">
        <v>69</v>
      </c>
      <c r="R803" s="12" t="str">
        <f t="shared" si="60"/>
        <v>Clear/Few Clouds</v>
      </c>
      <c r="S803" s="14" t="str">
        <f t="shared" si="61"/>
        <v>Winter</v>
      </c>
      <c r="T803" s="15" t="str">
        <f t="shared" si="62"/>
        <v>Saturday</v>
      </c>
      <c r="U803" t="str">
        <f t="shared" si="63"/>
        <v>February</v>
      </c>
      <c r="V803" s="16" t="str">
        <f t="shared" si="64"/>
        <v>GOOD</v>
      </c>
    </row>
    <row r="804" spans="1:22" x14ac:dyDescent="0.3">
      <c r="A804">
        <v>803</v>
      </c>
      <c r="B804" s="1">
        <v>40579</v>
      </c>
      <c r="C804">
        <v>1</v>
      </c>
      <c r="D804">
        <v>0</v>
      </c>
      <c r="E804">
        <v>2</v>
      </c>
      <c r="F804">
        <v>21</v>
      </c>
      <c r="G804" t="b">
        <f>IF(COUNTIF(AB$4:AB$20,Append1[[#This Row],[dteday]]) &gt; 0, TRUE, FALSE)</f>
        <v>0</v>
      </c>
      <c r="H804">
        <v>6</v>
      </c>
      <c r="I804">
        <v>1</v>
      </c>
      <c r="J804">
        <v>0.26</v>
      </c>
      <c r="K804">
        <f>Append1[[#This Row],[temp]]*100</f>
        <v>26</v>
      </c>
      <c r="L804">
        <v>0.2576</v>
      </c>
      <c r="M804">
        <v>1</v>
      </c>
      <c r="N804">
        <v>0.19400000000000001</v>
      </c>
      <c r="O804">
        <v>3</v>
      </c>
      <c r="P804">
        <v>53</v>
      </c>
      <c r="Q804">
        <v>56</v>
      </c>
      <c r="R804" s="12" t="str">
        <f t="shared" si="60"/>
        <v>Clear/Few Clouds</v>
      </c>
      <c r="S804" s="14" t="str">
        <f t="shared" si="61"/>
        <v>Winter</v>
      </c>
      <c r="T804" s="15" t="str">
        <f t="shared" si="62"/>
        <v>Saturday</v>
      </c>
      <c r="U804" t="str">
        <f t="shared" si="63"/>
        <v>February</v>
      </c>
      <c r="V804" s="16" t="str">
        <f t="shared" si="64"/>
        <v>GOOD</v>
      </c>
    </row>
    <row r="805" spans="1:22" x14ac:dyDescent="0.3">
      <c r="A805">
        <v>804</v>
      </c>
      <c r="B805" s="1">
        <v>40579</v>
      </c>
      <c r="C805">
        <v>1</v>
      </c>
      <c r="D805">
        <v>0</v>
      </c>
      <c r="E805">
        <v>2</v>
      </c>
      <c r="F805">
        <v>22</v>
      </c>
      <c r="G805" t="b">
        <f>IF(COUNTIF(AB$4:AB$20,Append1[[#This Row],[dteday]]) &gt; 0, TRUE, FALSE)</f>
        <v>0</v>
      </c>
      <c r="H805">
        <v>6</v>
      </c>
      <c r="I805">
        <v>1</v>
      </c>
      <c r="J805">
        <v>0.26</v>
      </c>
      <c r="K805">
        <f>Append1[[#This Row],[temp]]*100</f>
        <v>26</v>
      </c>
      <c r="L805">
        <v>0.2727</v>
      </c>
      <c r="M805">
        <v>0.93</v>
      </c>
      <c r="N805">
        <v>0.1343</v>
      </c>
      <c r="O805">
        <v>2</v>
      </c>
      <c r="P805">
        <v>43</v>
      </c>
      <c r="Q805">
        <v>45</v>
      </c>
      <c r="R805" s="12" t="str">
        <f t="shared" si="60"/>
        <v>Clear/Few Clouds</v>
      </c>
      <c r="S805" s="14" t="str">
        <f t="shared" si="61"/>
        <v>Winter</v>
      </c>
      <c r="T805" s="15" t="str">
        <f t="shared" si="62"/>
        <v>Saturday</v>
      </c>
      <c r="U805" t="str">
        <f t="shared" si="63"/>
        <v>February</v>
      </c>
      <c r="V805" s="16" t="str">
        <f t="shared" si="64"/>
        <v>GOOD</v>
      </c>
    </row>
    <row r="806" spans="1:22" x14ac:dyDescent="0.3">
      <c r="A806">
        <v>805</v>
      </c>
      <c r="B806" s="1">
        <v>40579</v>
      </c>
      <c r="C806">
        <v>1</v>
      </c>
      <c r="D806">
        <v>0</v>
      </c>
      <c r="E806">
        <v>2</v>
      </c>
      <c r="F806">
        <v>23</v>
      </c>
      <c r="G806" t="b">
        <f>IF(COUNTIF(AB$4:AB$20,Append1[[#This Row],[dteday]]) &gt; 0, TRUE, FALSE)</f>
        <v>0</v>
      </c>
      <c r="H806">
        <v>6</v>
      </c>
      <c r="I806">
        <v>1</v>
      </c>
      <c r="J806">
        <v>0.26</v>
      </c>
      <c r="K806">
        <f>Append1[[#This Row],[temp]]*100</f>
        <v>26</v>
      </c>
      <c r="L806">
        <v>0.2576</v>
      </c>
      <c r="M806">
        <v>0.93</v>
      </c>
      <c r="N806">
        <v>0.22389999999999999</v>
      </c>
      <c r="O806">
        <v>7</v>
      </c>
      <c r="P806">
        <v>52</v>
      </c>
      <c r="Q806">
        <v>59</v>
      </c>
      <c r="R806" s="12" t="str">
        <f t="shared" si="60"/>
        <v>Clear/Few Clouds</v>
      </c>
      <c r="S806" s="14" t="str">
        <f t="shared" si="61"/>
        <v>Winter</v>
      </c>
      <c r="T806" s="15" t="str">
        <f t="shared" si="62"/>
        <v>Saturday</v>
      </c>
      <c r="U806" t="str">
        <f t="shared" si="63"/>
        <v>February</v>
      </c>
      <c r="V806" s="16" t="str">
        <f t="shared" si="64"/>
        <v>GOOD</v>
      </c>
    </row>
    <row r="807" spans="1:22" x14ac:dyDescent="0.3">
      <c r="A807">
        <v>806</v>
      </c>
      <c r="B807" s="1">
        <v>40580</v>
      </c>
      <c r="C807">
        <v>1</v>
      </c>
      <c r="D807">
        <v>0</v>
      </c>
      <c r="E807">
        <v>2</v>
      </c>
      <c r="F807">
        <v>0</v>
      </c>
      <c r="G807" t="b">
        <f>IF(COUNTIF(AB$4:AB$20,Append1[[#This Row],[dteday]]) &gt; 0, TRUE, FALSE)</f>
        <v>0</v>
      </c>
      <c r="H807">
        <v>0</v>
      </c>
      <c r="I807">
        <v>1</v>
      </c>
      <c r="J807">
        <v>0.26</v>
      </c>
      <c r="K807">
        <f>Append1[[#This Row],[temp]]*100</f>
        <v>26</v>
      </c>
      <c r="L807">
        <v>0.2576</v>
      </c>
      <c r="M807">
        <v>0.7</v>
      </c>
      <c r="N807">
        <v>0.19400000000000001</v>
      </c>
      <c r="O807">
        <v>2</v>
      </c>
      <c r="P807">
        <v>37</v>
      </c>
      <c r="Q807">
        <v>39</v>
      </c>
      <c r="R807" s="12" t="str">
        <f t="shared" si="60"/>
        <v>Clear/Few Clouds</v>
      </c>
      <c r="S807" s="14" t="str">
        <f t="shared" si="61"/>
        <v>Winter</v>
      </c>
      <c r="T807" s="15" t="str">
        <f t="shared" si="62"/>
        <v>Sunday</v>
      </c>
      <c r="U807" t="str">
        <f t="shared" si="63"/>
        <v>February</v>
      </c>
      <c r="V807" s="16" t="str">
        <f t="shared" si="64"/>
        <v>GOOD</v>
      </c>
    </row>
    <row r="808" spans="1:22" x14ac:dyDescent="0.3">
      <c r="A808">
        <v>807</v>
      </c>
      <c r="B808" s="1">
        <v>40580</v>
      </c>
      <c r="C808">
        <v>1</v>
      </c>
      <c r="D808">
        <v>0</v>
      </c>
      <c r="E808">
        <v>2</v>
      </c>
      <c r="F808">
        <v>1</v>
      </c>
      <c r="G808" t="b">
        <f>IF(COUNTIF(AB$4:AB$20,Append1[[#This Row],[dteday]]) &gt; 0, TRUE, FALSE)</f>
        <v>0</v>
      </c>
      <c r="H808">
        <v>0</v>
      </c>
      <c r="I808">
        <v>1</v>
      </c>
      <c r="J808">
        <v>0.26</v>
      </c>
      <c r="K808">
        <f>Append1[[#This Row],[temp]]*100</f>
        <v>26</v>
      </c>
      <c r="L808">
        <v>0.2273</v>
      </c>
      <c r="M808">
        <v>0.65</v>
      </c>
      <c r="N808">
        <v>0.41789999999999999</v>
      </c>
      <c r="O808">
        <v>4</v>
      </c>
      <c r="P808">
        <v>40</v>
      </c>
      <c r="Q808">
        <v>44</v>
      </c>
      <c r="R808" s="12" t="str">
        <f t="shared" si="60"/>
        <v>Clear/Few Clouds</v>
      </c>
      <c r="S808" s="14" t="str">
        <f t="shared" si="61"/>
        <v>Winter</v>
      </c>
      <c r="T808" s="15" t="str">
        <f t="shared" si="62"/>
        <v>Sunday</v>
      </c>
      <c r="U808" t="str">
        <f t="shared" si="63"/>
        <v>February</v>
      </c>
      <c r="V808" s="16" t="str">
        <f t="shared" si="64"/>
        <v>GOOD</v>
      </c>
    </row>
    <row r="809" spans="1:22" x14ac:dyDescent="0.3">
      <c r="A809">
        <v>808</v>
      </c>
      <c r="B809" s="1">
        <v>40580</v>
      </c>
      <c r="C809">
        <v>1</v>
      </c>
      <c r="D809">
        <v>0</v>
      </c>
      <c r="E809">
        <v>2</v>
      </c>
      <c r="F809">
        <v>2</v>
      </c>
      <c r="G809" t="b">
        <f>IF(COUNTIF(AB$4:AB$20,Append1[[#This Row],[dteday]]) &gt; 0, TRUE, FALSE)</f>
        <v>0</v>
      </c>
      <c r="H809">
        <v>0</v>
      </c>
      <c r="I809">
        <v>1</v>
      </c>
      <c r="J809">
        <v>0.26</v>
      </c>
      <c r="K809">
        <f>Append1[[#This Row],[temp]]*100</f>
        <v>26</v>
      </c>
      <c r="L809">
        <v>0.2273</v>
      </c>
      <c r="M809">
        <v>0.6</v>
      </c>
      <c r="N809">
        <v>0.32840000000000003</v>
      </c>
      <c r="O809">
        <v>0</v>
      </c>
      <c r="P809">
        <v>20</v>
      </c>
      <c r="Q809">
        <v>20</v>
      </c>
      <c r="R809" s="12" t="str">
        <f t="shared" si="60"/>
        <v>Clear/Few Clouds</v>
      </c>
      <c r="S809" s="14" t="str">
        <f t="shared" si="61"/>
        <v>Winter</v>
      </c>
      <c r="T809" s="15" t="str">
        <f t="shared" si="62"/>
        <v>Sunday</v>
      </c>
      <c r="U809" t="str">
        <f t="shared" si="63"/>
        <v>February</v>
      </c>
      <c r="V809" s="16" t="str">
        <f t="shared" si="64"/>
        <v>GOOD</v>
      </c>
    </row>
    <row r="810" spans="1:22" x14ac:dyDescent="0.3">
      <c r="A810">
        <v>809</v>
      </c>
      <c r="B810" s="1">
        <v>40580</v>
      </c>
      <c r="C810">
        <v>1</v>
      </c>
      <c r="D810">
        <v>0</v>
      </c>
      <c r="E810">
        <v>2</v>
      </c>
      <c r="F810">
        <v>3</v>
      </c>
      <c r="G810" t="b">
        <f>IF(COUNTIF(AB$4:AB$20,Append1[[#This Row],[dteday]]) &gt; 0, TRUE, FALSE)</f>
        <v>0</v>
      </c>
      <c r="H810">
        <v>0</v>
      </c>
      <c r="I810">
        <v>1</v>
      </c>
      <c r="J810">
        <v>0.26</v>
      </c>
      <c r="K810">
        <f>Append1[[#This Row],[temp]]*100</f>
        <v>26</v>
      </c>
      <c r="L810">
        <v>0.28789999999999999</v>
      </c>
      <c r="M810">
        <v>0.6</v>
      </c>
      <c r="N810">
        <v>8.9599999999999999E-2</v>
      </c>
      <c r="O810">
        <v>3</v>
      </c>
      <c r="P810">
        <v>10</v>
      </c>
      <c r="Q810">
        <v>13</v>
      </c>
      <c r="R810" s="12" t="str">
        <f t="shared" si="60"/>
        <v>Clear/Few Clouds</v>
      </c>
      <c r="S810" s="14" t="str">
        <f t="shared" si="61"/>
        <v>Winter</v>
      </c>
      <c r="T810" s="15" t="str">
        <f t="shared" si="62"/>
        <v>Sunday</v>
      </c>
      <c r="U810" t="str">
        <f t="shared" si="63"/>
        <v>February</v>
      </c>
      <c r="V810" s="16" t="str">
        <f t="shared" si="64"/>
        <v>GOOD</v>
      </c>
    </row>
    <row r="811" spans="1:22" x14ac:dyDescent="0.3">
      <c r="A811">
        <v>810</v>
      </c>
      <c r="B811" s="1">
        <v>40580</v>
      </c>
      <c r="C811">
        <v>1</v>
      </c>
      <c r="D811">
        <v>0</v>
      </c>
      <c r="E811">
        <v>2</v>
      </c>
      <c r="F811">
        <v>4</v>
      </c>
      <c r="G811" t="b">
        <f>IF(COUNTIF(AB$4:AB$20,Append1[[#This Row],[dteday]]) &gt; 0, TRUE, FALSE)</f>
        <v>0</v>
      </c>
      <c r="H811">
        <v>0</v>
      </c>
      <c r="I811">
        <v>1</v>
      </c>
      <c r="J811">
        <v>0.26</v>
      </c>
      <c r="K811">
        <f>Append1[[#This Row],[temp]]*100</f>
        <v>26</v>
      </c>
      <c r="L811">
        <v>0.2273</v>
      </c>
      <c r="M811">
        <v>0.6</v>
      </c>
      <c r="N811">
        <v>0.35820000000000002</v>
      </c>
      <c r="O811">
        <v>0</v>
      </c>
      <c r="P811">
        <v>2</v>
      </c>
      <c r="Q811">
        <v>2</v>
      </c>
      <c r="R811" s="12" t="str">
        <f t="shared" si="60"/>
        <v>Clear/Few Clouds</v>
      </c>
      <c r="S811" s="14" t="str">
        <f t="shared" si="61"/>
        <v>Winter</v>
      </c>
      <c r="T811" s="15" t="str">
        <f t="shared" si="62"/>
        <v>Sunday</v>
      </c>
      <c r="U811" t="str">
        <f t="shared" si="63"/>
        <v>February</v>
      </c>
      <c r="V811" s="16" t="str">
        <f t="shared" si="64"/>
        <v>GOOD</v>
      </c>
    </row>
    <row r="812" spans="1:22" x14ac:dyDescent="0.3">
      <c r="A812">
        <v>811</v>
      </c>
      <c r="B812" s="1">
        <v>40580</v>
      </c>
      <c r="C812">
        <v>1</v>
      </c>
      <c r="D812">
        <v>0</v>
      </c>
      <c r="E812">
        <v>2</v>
      </c>
      <c r="F812">
        <v>5</v>
      </c>
      <c r="G812" t="b">
        <f>IF(COUNTIF(AB$4:AB$20,Append1[[#This Row],[dteday]]) &gt; 0, TRUE, FALSE)</f>
        <v>0</v>
      </c>
      <c r="H812">
        <v>0</v>
      </c>
      <c r="I812">
        <v>1</v>
      </c>
      <c r="J812">
        <v>0.26</v>
      </c>
      <c r="K812">
        <f>Append1[[#This Row],[temp]]*100</f>
        <v>26</v>
      </c>
      <c r="L812">
        <v>0.2576</v>
      </c>
      <c r="M812">
        <v>0.6</v>
      </c>
      <c r="N812">
        <v>0.22389999999999999</v>
      </c>
      <c r="O812">
        <v>0</v>
      </c>
      <c r="P812">
        <v>1</v>
      </c>
      <c r="Q812">
        <v>1</v>
      </c>
      <c r="R812" s="12" t="str">
        <f t="shared" si="60"/>
        <v>Clear/Few Clouds</v>
      </c>
      <c r="S812" s="14" t="str">
        <f t="shared" si="61"/>
        <v>Winter</v>
      </c>
      <c r="T812" s="15" t="str">
        <f t="shared" si="62"/>
        <v>Sunday</v>
      </c>
      <c r="U812" t="str">
        <f t="shared" si="63"/>
        <v>February</v>
      </c>
      <c r="V812" s="16" t="str">
        <f t="shared" si="64"/>
        <v>GOOD</v>
      </c>
    </row>
    <row r="813" spans="1:22" x14ac:dyDescent="0.3">
      <c r="A813">
        <v>812</v>
      </c>
      <c r="B813" s="1">
        <v>40580</v>
      </c>
      <c r="C813">
        <v>1</v>
      </c>
      <c r="D813">
        <v>0</v>
      </c>
      <c r="E813">
        <v>2</v>
      </c>
      <c r="F813">
        <v>6</v>
      </c>
      <c r="G813" t="b">
        <f>IF(COUNTIF(AB$4:AB$20,Append1[[#This Row],[dteday]]) &gt; 0, TRUE, FALSE)</f>
        <v>0</v>
      </c>
      <c r="H813">
        <v>0</v>
      </c>
      <c r="I813">
        <v>1</v>
      </c>
      <c r="J813">
        <v>0.26</v>
      </c>
      <c r="K813">
        <f>Append1[[#This Row],[temp]]*100</f>
        <v>26</v>
      </c>
      <c r="L813">
        <v>0.2576</v>
      </c>
      <c r="M813">
        <v>0.6</v>
      </c>
      <c r="N813">
        <v>0.22389999999999999</v>
      </c>
      <c r="O813">
        <v>0</v>
      </c>
      <c r="P813">
        <v>1</v>
      </c>
      <c r="Q813">
        <v>1</v>
      </c>
      <c r="R813" s="12" t="str">
        <f t="shared" si="60"/>
        <v>Clear/Few Clouds</v>
      </c>
      <c r="S813" s="14" t="str">
        <f t="shared" si="61"/>
        <v>Winter</v>
      </c>
      <c r="T813" s="15" t="str">
        <f t="shared" si="62"/>
        <v>Sunday</v>
      </c>
      <c r="U813" t="str">
        <f t="shared" si="63"/>
        <v>February</v>
      </c>
      <c r="V813" s="16" t="str">
        <f t="shared" si="64"/>
        <v>GOOD</v>
      </c>
    </row>
    <row r="814" spans="1:22" x14ac:dyDescent="0.3">
      <c r="A814">
        <v>813</v>
      </c>
      <c r="B814" s="1">
        <v>40580</v>
      </c>
      <c r="C814">
        <v>1</v>
      </c>
      <c r="D814">
        <v>0</v>
      </c>
      <c r="E814">
        <v>2</v>
      </c>
      <c r="F814">
        <v>7</v>
      </c>
      <c r="G814" t="b">
        <f>IF(COUNTIF(AB$4:AB$20,Append1[[#This Row],[dteday]]) &gt; 0, TRUE, FALSE)</f>
        <v>0</v>
      </c>
      <c r="H814">
        <v>0</v>
      </c>
      <c r="I814">
        <v>1</v>
      </c>
      <c r="J814">
        <v>0.24</v>
      </c>
      <c r="K814">
        <f>Append1[[#This Row],[temp]]*100</f>
        <v>24</v>
      </c>
      <c r="L814">
        <v>0.2424</v>
      </c>
      <c r="M814">
        <v>0.65</v>
      </c>
      <c r="N814">
        <v>0.16420000000000001</v>
      </c>
      <c r="O814">
        <v>0</v>
      </c>
      <c r="P814">
        <v>8</v>
      </c>
      <c r="Q814">
        <v>8</v>
      </c>
      <c r="R814" s="12" t="str">
        <f t="shared" si="60"/>
        <v>Clear/Few Clouds</v>
      </c>
      <c r="S814" s="14" t="str">
        <f t="shared" si="61"/>
        <v>Winter</v>
      </c>
      <c r="T814" s="15" t="str">
        <f t="shared" si="62"/>
        <v>Sunday</v>
      </c>
      <c r="U814" t="str">
        <f t="shared" si="63"/>
        <v>February</v>
      </c>
      <c r="V814" s="16" t="str">
        <f t="shared" si="64"/>
        <v>GOOD</v>
      </c>
    </row>
    <row r="815" spans="1:22" x14ac:dyDescent="0.3">
      <c r="A815">
        <v>814</v>
      </c>
      <c r="B815" s="1">
        <v>40580</v>
      </c>
      <c r="C815">
        <v>1</v>
      </c>
      <c r="D815">
        <v>0</v>
      </c>
      <c r="E815">
        <v>2</v>
      </c>
      <c r="F815">
        <v>8</v>
      </c>
      <c r="G815" t="b">
        <f>IF(COUNTIF(AB$4:AB$20,Append1[[#This Row],[dteday]]) &gt; 0, TRUE, FALSE)</f>
        <v>0</v>
      </c>
      <c r="H815">
        <v>0</v>
      </c>
      <c r="I815">
        <v>1</v>
      </c>
      <c r="J815">
        <v>0.24</v>
      </c>
      <c r="K815">
        <f>Append1[[#This Row],[temp]]*100</f>
        <v>24</v>
      </c>
      <c r="L815">
        <v>0.2576</v>
      </c>
      <c r="M815">
        <v>0.65</v>
      </c>
      <c r="N815">
        <v>0.1045</v>
      </c>
      <c r="O815">
        <v>2</v>
      </c>
      <c r="P815">
        <v>21</v>
      </c>
      <c r="Q815">
        <v>23</v>
      </c>
      <c r="R815" s="12" t="str">
        <f t="shared" si="60"/>
        <v>Clear/Few Clouds</v>
      </c>
      <c r="S815" s="14" t="str">
        <f t="shared" si="61"/>
        <v>Winter</v>
      </c>
      <c r="T815" s="15" t="str">
        <f t="shared" si="62"/>
        <v>Sunday</v>
      </c>
      <c r="U815" t="str">
        <f t="shared" si="63"/>
        <v>February</v>
      </c>
      <c r="V815" s="16" t="str">
        <f t="shared" si="64"/>
        <v>GOOD</v>
      </c>
    </row>
    <row r="816" spans="1:22" x14ac:dyDescent="0.3">
      <c r="A816">
        <v>815</v>
      </c>
      <c r="B816" s="1">
        <v>40580</v>
      </c>
      <c r="C816">
        <v>1</v>
      </c>
      <c r="D816">
        <v>0</v>
      </c>
      <c r="E816">
        <v>2</v>
      </c>
      <c r="F816">
        <v>9</v>
      </c>
      <c r="G816" t="b">
        <f>IF(COUNTIF(AB$4:AB$20,Append1[[#This Row],[dteday]]) &gt; 0, TRUE, FALSE)</f>
        <v>0</v>
      </c>
      <c r="H816">
        <v>0</v>
      </c>
      <c r="I816">
        <v>1</v>
      </c>
      <c r="J816">
        <v>0.28000000000000003</v>
      </c>
      <c r="K816">
        <f>Append1[[#This Row],[temp]]*100</f>
        <v>28.000000000000004</v>
      </c>
      <c r="L816">
        <v>0.28789999999999999</v>
      </c>
      <c r="M816">
        <v>0.56000000000000005</v>
      </c>
      <c r="N816">
        <v>0.1045</v>
      </c>
      <c r="O816">
        <v>7</v>
      </c>
      <c r="P816">
        <v>38</v>
      </c>
      <c r="Q816">
        <v>45</v>
      </c>
      <c r="R816" s="12" t="str">
        <f t="shared" si="60"/>
        <v>Clear/Few Clouds</v>
      </c>
      <c r="S816" s="14" t="str">
        <f t="shared" si="61"/>
        <v>Winter</v>
      </c>
      <c r="T816" s="15" t="str">
        <f t="shared" si="62"/>
        <v>Sunday</v>
      </c>
      <c r="U816" t="str">
        <f t="shared" si="63"/>
        <v>February</v>
      </c>
      <c r="V816" s="16" t="str">
        <f t="shared" si="64"/>
        <v>GOOD</v>
      </c>
    </row>
    <row r="817" spans="1:22" x14ac:dyDescent="0.3">
      <c r="A817">
        <v>816</v>
      </c>
      <c r="B817" s="1">
        <v>40580</v>
      </c>
      <c r="C817">
        <v>1</v>
      </c>
      <c r="D817">
        <v>0</v>
      </c>
      <c r="E817">
        <v>2</v>
      </c>
      <c r="F817">
        <v>10</v>
      </c>
      <c r="G817" t="b">
        <f>IF(COUNTIF(AB$4:AB$20,Append1[[#This Row],[dteday]]) &gt; 0, TRUE, FALSE)</f>
        <v>0</v>
      </c>
      <c r="H817">
        <v>0</v>
      </c>
      <c r="I817">
        <v>1</v>
      </c>
      <c r="J817">
        <v>0.3</v>
      </c>
      <c r="K817">
        <f>Append1[[#This Row],[temp]]*100</f>
        <v>30</v>
      </c>
      <c r="L817">
        <v>0.28789999999999999</v>
      </c>
      <c r="M817">
        <v>0.52</v>
      </c>
      <c r="N817">
        <v>0.25369999999999998</v>
      </c>
      <c r="O817">
        <v>15</v>
      </c>
      <c r="P817">
        <v>74</v>
      </c>
      <c r="Q817">
        <v>89</v>
      </c>
      <c r="R817" s="12" t="str">
        <f t="shared" si="60"/>
        <v>Clear/Few Clouds</v>
      </c>
      <c r="S817" s="14" t="str">
        <f t="shared" si="61"/>
        <v>Winter</v>
      </c>
      <c r="T817" s="15" t="str">
        <f t="shared" si="62"/>
        <v>Sunday</v>
      </c>
      <c r="U817" t="str">
        <f t="shared" si="63"/>
        <v>February</v>
      </c>
      <c r="V817" s="16" t="str">
        <f t="shared" si="64"/>
        <v>GOOD</v>
      </c>
    </row>
    <row r="818" spans="1:22" x14ac:dyDescent="0.3">
      <c r="A818">
        <v>817</v>
      </c>
      <c r="B818" s="1">
        <v>40580</v>
      </c>
      <c r="C818">
        <v>1</v>
      </c>
      <c r="D818">
        <v>0</v>
      </c>
      <c r="E818">
        <v>2</v>
      </c>
      <c r="F818">
        <v>11</v>
      </c>
      <c r="G818" t="b">
        <f>IF(COUNTIF(AB$4:AB$20,Append1[[#This Row],[dteday]]) &gt; 0, TRUE, FALSE)</f>
        <v>0</v>
      </c>
      <c r="H818">
        <v>0</v>
      </c>
      <c r="I818">
        <v>1</v>
      </c>
      <c r="J818">
        <v>0.32</v>
      </c>
      <c r="K818">
        <f>Append1[[#This Row],[temp]]*100</f>
        <v>32</v>
      </c>
      <c r="L818">
        <v>0.30299999999999999</v>
      </c>
      <c r="M818">
        <v>0.49</v>
      </c>
      <c r="N818">
        <v>0.25369999999999998</v>
      </c>
      <c r="O818">
        <v>28</v>
      </c>
      <c r="P818">
        <v>89</v>
      </c>
      <c r="Q818">
        <v>117</v>
      </c>
      <c r="R818" s="12" t="str">
        <f t="shared" si="60"/>
        <v>Clear/Few Clouds</v>
      </c>
      <c r="S818" s="14" t="str">
        <f t="shared" si="61"/>
        <v>Winter</v>
      </c>
      <c r="T818" s="15" t="str">
        <f t="shared" si="62"/>
        <v>Sunday</v>
      </c>
      <c r="U818" t="str">
        <f t="shared" si="63"/>
        <v>February</v>
      </c>
      <c r="V818" s="16" t="str">
        <f t="shared" si="64"/>
        <v>GOOD</v>
      </c>
    </row>
    <row r="819" spans="1:22" x14ac:dyDescent="0.3">
      <c r="A819">
        <v>818</v>
      </c>
      <c r="B819" s="1">
        <v>40580</v>
      </c>
      <c r="C819">
        <v>1</v>
      </c>
      <c r="D819">
        <v>0</v>
      </c>
      <c r="E819">
        <v>2</v>
      </c>
      <c r="F819">
        <v>12</v>
      </c>
      <c r="G819" t="b">
        <f>IF(COUNTIF(AB$4:AB$20,Append1[[#This Row],[dteday]]) &gt; 0, TRUE, FALSE)</f>
        <v>0</v>
      </c>
      <c r="H819">
        <v>0</v>
      </c>
      <c r="I819">
        <v>1</v>
      </c>
      <c r="J819">
        <v>0.34</v>
      </c>
      <c r="K819">
        <f>Append1[[#This Row],[temp]]*100</f>
        <v>34</v>
      </c>
      <c r="L819">
        <v>0.33329999999999999</v>
      </c>
      <c r="M819">
        <v>0.46</v>
      </c>
      <c r="N819">
        <v>0</v>
      </c>
      <c r="O819">
        <v>48</v>
      </c>
      <c r="P819">
        <v>126</v>
      </c>
      <c r="Q819">
        <v>174</v>
      </c>
      <c r="R819" s="12" t="str">
        <f t="shared" si="60"/>
        <v>Clear/Few Clouds</v>
      </c>
      <c r="S819" s="14" t="str">
        <f t="shared" si="61"/>
        <v>Winter</v>
      </c>
      <c r="T819" s="15" t="str">
        <f t="shared" si="62"/>
        <v>Sunday</v>
      </c>
      <c r="U819" t="str">
        <f t="shared" si="63"/>
        <v>February</v>
      </c>
      <c r="V819" s="16" t="str">
        <f t="shared" si="64"/>
        <v>GOOD</v>
      </c>
    </row>
    <row r="820" spans="1:22" x14ac:dyDescent="0.3">
      <c r="A820">
        <v>819</v>
      </c>
      <c r="B820" s="1">
        <v>40580</v>
      </c>
      <c r="C820">
        <v>1</v>
      </c>
      <c r="D820">
        <v>0</v>
      </c>
      <c r="E820">
        <v>2</v>
      </c>
      <c r="F820">
        <v>13</v>
      </c>
      <c r="G820" t="b">
        <f>IF(COUNTIF(AB$4:AB$20,Append1[[#This Row],[dteday]]) &gt; 0, TRUE, FALSE)</f>
        <v>0</v>
      </c>
      <c r="H820">
        <v>0</v>
      </c>
      <c r="I820">
        <v>1</v>
      </c>
      <c r="J820">
        <v>0.34</v>
      </c>
      <c r="K820">
        <f>Append1[[#This Row],[temp]]*100</f>
        <v>34</v>
      </c>
      <c r="L820">
        <v>0.36359999999999998</v>
      </c>
      <c r="M820">
        <v>0.46</v>
      </c>
      <c r="N820">
        <v>0</v>
      </c>
      <c r="O820">
        <v>47</v>
      </c>
      <c r="P820">
        <v>135</v>
      </c>
      <c r="Q820">
        <v>182</v>
      </c>
      <c r="R820" s="12" t="str">
        <f t="shared" si="60"/>
        <v>Clear/Few Clouds</v>
      </c>
      <c r="S820" s="14" t="str">
        <f t="shared" si="61"/>
        <v>Winter</v>
      </c>
      <c r="T820" s="15" t="str">
        <f t="shared" si="62"/>
        <v>Sunday</v>
      </c>
      <c r="U820" t="str">
        <f t="shared" si="63"/>
        <v>February</v>
      </c>
      <c r="V820" s="16" t="str">
        <f t="shared" si="64"/>
        <v>GOOD</v>
      </c>
    </row>
    <row r="821" spans="1:22" x14ac:dyDescent="0.3">
      <c r="A821">
        <v>820</v>
      </c>
      <c r="B821" s="1">
        <v>40580</v>
      </c>
      <c r="C821">
        <v>1</v>
      </c>
      <c r="D821">
        <v>0</v>
      </c>
      <c r="E821">
        <v>2</v>
      </c>
      <c r="F821">
        <v>14</v>
      </c>
      <c r="G821" t="b">
        <f>IF(COUNTIF(AB$4:AB$20,Append1[[#This Row],[dteday]]) &gt; 0, TRUE, FALSE)</f>
        <v>0</v>
      </c>
      <c r="H821">
        <v>0</v>
      </c>
      <c r="I821">
        <v>1</v>
      </c>
      <c r="J821">
        <v>0.34</v>
      </c>
      <c r="K821">
        <f>Append1[[#This Row],[temp]]*100</f>
        <v>34</v>
      </c>
      <c r="L821">
        <v>0.34849999999999998</v>
      </c>
      <c r="M821">
        <v>0.46</v>
      </c>
      <c r="N821">
        <v>8.9599999999999999E-2</v>
      </c>
      <c r="O821">
        <v>47</v>
      </c>
      <c r="P821">
        <v>114</v>
      </c>
      <c r="Q821">
        <v>161</v>
      </c>
      <c r="R821" s="12" t="str">
        <f t="shared" si="60"/>
        <v>Clear/Few Clouds</v>
      </c>
      <c r="S821" s="14" t="str">
        <f t="shared" si="61"/>
        <v>Winter</v>
      </c>
      <c r="T821" s="15" t="str">
        <f t="shared" si="62"/>
        <v>Sunday</v>
      </c>
      <c r="U821" t="str">
        <f t="shared" si="63"/>
        <v>February</v>
      </c>
      <c r="V821" s="16" t="str">
        <f t="shared" si="64"/>
        <v>GOOD</v>
      </c>
    </row>
    <row r="822" spans="1:22" x14ac:dyDescent="0.3">
      <c r="A822">
        <v>821</v>
      </c>
      <c r="B822" s="1">
        <v>40580</v>
      </c>
      <c r="C822">
        <v>1</v>
      </c>
      <c r="D822">
        <v>0</v>
      </c>
      <c r="E822">
        <v>2</v>
      </c>
      <c r="F822">
        <v>15</v>
      </c>
      <c r="G822" t="b">
        <f>IF(COUNTIF(AB$4:AB$20,Append1[[#This Row],[dteday]]) &gt; 0, TRUE, FALSE)</f>
        <v>0</v>
      </c>
      <c r="H822">
        <v>0</v>
      </c>
      <c r="I822">
        <v>1</v>
      </c>
      <c r="J822">
        <v>0.34</v>
      </c>
      <c r="K822">
        <f>Append1[[#This Row],[temp]]*100</f>
        <v>34</v>
      </c>
      <c r="L822">
        <v>0.34849999999999998</v>
      </c>
      <c r="M822">
        <v>0.46</v>
      </c>
      <c r="N822">
        <v>8.9599999999999999E-2</v>
      </c>
      <c r="O822">
        <v>52</v>
      </c>
      <c r="P822">
        <v>130</v>
      </c>
      <c r="Q822">
        <v>182</v>
      </c>
      <c r="R822" s="12" t="str">
        <f t="shared" si="60"/>
        <v>Clear/Few Clouds</v>
      </c>
      <c r="S822" s="14" t="str">
        <f t="shared" si="61"/>
        <v>Winter</v>
      </c>
      <c r="T822" s="15" t="str">
        <f t="shared" si="62"/>
        <v>Sunday</v>
      </c>
      <c r="U822" t="str">
        <f t="shared" si="63"/>
        <v>February</v>
      </c>
      <c r="V822" s="16" t="str">
        <f t="shared" si="64"/>
        <v>GOOD</v>
      </c>
    </row>
    <row r="823" spans="1:22" x14ac:dyDescent="0.3">
      <c r="A823">
        <v>822</v>
      </c>
      <c r="B823" s="1">
        <v>40580</v>
      </c>
      <c r="C823">
        <v>1</v>
      </c>
      <c r="D823">
        <v>0</v>
      </c>
      <c r="E823">
        <v>2</v>
      </c>
      <c r="F823">
        <v>16</v>
      </c>
      <c r="G823" t="b">
        <f>IF(COUNTIF(AB$4:AB$20,Append1[[#This Row],[dteday]]) &gt; 0, TRUE, FALSE)</f>
        <v>0</v>
      </c>
      <c r="H823">
        <v>0</v>
      </c>
      <c r="I823">
        <v>1</v>
      </c>
      <c r="J823">
        <v>0.34</v>
      </c>
      <c r="K823">
        <f>Append1[[#This Row],[temp]]*100</f>
        <v>34</v>
      </c>
      <c r="L823">
        <v>0.34849999999999998</v>
      </c>
      <c r="M823">
        <v>0.49</v>
      </c>
      <c r="N823">
        <v>0.1045</v>
      </c>
      <c r="O823">
        <v>42</v>
      </c>
      <c r="P823">
        <v>115</v>
      </c>
      <c r="Q823">
        <v>157</v>
      </c>
      <c r="R823" s="12" t="str">
        <f t="shared" si="60"/>
        <v>Clear/Few Clouds</v>
      </c>
      <c r="S823" s="14" t="str">
        <f t="shared" si="61"/>
        <v>Winter</v>
      </c>
      <c r="T823" s="15" t="str">
        <f t="shared" si="62"/>
        <v>Sunday</v>
      </c>
      <c r="U823" t="str">
        <f t="shared" si="63"/>
        <v>February</v>
      </c>
      <c r="V823" s="16" t="str">
        <f t="shared" si="64"/>
        <v>GOOD</v>
      </c>
    </row>
    <row r="824" spans="1:22" x14ac:dyDescent="0.3">
      <c r="A824">
        <v>823</v>
      </c>
      <c r="B824" s="1">
        <v>40580</v>
      </c>
      <c r="C824">
        <v>1</v>
      </c>
      <c r="D824">
        <v>0</v>
      </c>
      <c r="E824">
        <v>2</v>
      </c>
      <c r="F824">
        <v>17</v>
      </c>
      <c r="G824" t="b">
        <f>IF(COUNTIF(AB$4:AB$20,Append1[[#This Row],[dteday]]) &gt; 0, TRUE, FALSE)</f>
        <v>0</v>
      </c>
      <c r="H824">
        <v>0</v>
      </c>
      <c r="I824">
        <v>1</v>
      </c>
      <c r="J824">
        <v>0.34</v>
      </c>
      <c r="K824">
        <f>Append1[[#This Row],[temp]]*100</f>
        <v>34</v>
      </c>
      <c r="L824">
        <v>0.36359999999999998</v>
      </c>
      <c r="M824">
        <v>0.46</v>
      </c>
      <c r="N824">
        <v>0</v>
      </c>
      <c r="O824">
        <v>24</v>
      </c>
      <c r="P824">
        <v>97</v>
      </c>
      <c r="Q824">
        <v>121</v>
      </c>
      <c r="R824" s="12" t="str">
        <f t="shared" si="60"/>
        <v>Clear/Few Clouds</v>
      </c>
      <c r="S824" s="14" t="str">
        <f t="shared" si="61"/>
        <v>Winter</v>
      </c>
      <c r="T824" s="15" t="str">
        <f t="shared" si="62"/>
        <v>Sunday</v>
      </c>
      <c r="U824" t="str">
        <f t="shared" si="63"/>
        <v>February</v>
      </c>
      <c r="V824" s="16" t="str">
        <f t="shared" si="64"/>
        <v>GOOD</v>
      </c>
    </row>
    <row r="825" spans="1:22" x14ac:dyDescent="0.3">
      <c r="A825">
        <v>824</v>
      </c>
      <c r="B825" s="1">
        <v>40580</v>
      </c>
      <c r="C825">
        <v>1</v>
      </c>
      <c r="D825">
        <v>0</v>
      </c>
      <c r="E825">
        <v>2</v>
      </c>
      <c r="F825">
        <v>18</v>
      </c>
      <c r="G825" t="b">
        <f>IF(COUNTIF(AB$4:AB$20,Append1[[#This Row],[dteday]]) &gt; 0, TRUE, FALSE)</f>
        <v>0</v>
      </c>
      <c r="H825">
        <v>0</v>
      </c>
      <c r="I825">
        <v>1</v>
      </c>
      <c r="J825">
        <v>0.3</v>
      </c>
      <c r="K825">
        <f>Append1[[#This Row],[temp]]*100</f>
        <v>30</v>
      </c>
      <c r="L825">
        <v>0.30299999999999999</v>
      </c>
      <c r="M825">
        <v>0.56000000000000005</v>
      </c>
      <c r="N825">
        <v>0.16420000000000001</v>
      </c>
      <c r="O825">
        <v>13</v>
      </c>
      <c r="P825">
        <v>65</v>
      </c>
      <c r="Q825">
        <v>78</v>
      </c>
      <c r="R825" s="12" t="str">
        <f t="shared" si="60"/>
        <v>Clear/Few Clouds</v>
      </c>
      <c r="S825" s="14" t="str">
        <f t="shared" si="61"/>
        <v>Winter</v>
      </c>
      <c r="T825" s="15" t="str">
        <f t="shared" si="62"/>
        <v>Sunday</v>
      </c>
      <c r="U825" t="str">
        <f t="shared" si="63"/>
        <v>February</v>
      </c>
      <c r="V825" s="16" t="str">
        <f t="shared" si="64"/>
        <v>GOOD</v>
      </c>
    </row>
    <row r="826" spans="1:22" x14ac:dyDescent="0.3">
      <c r="A826">
        <v>825</v>
      </c>
      <c r="B826" s="1">
        <v>40580</v>
      </c>
      <c r="C826">
        <v>1</v>
      </c>
      <c r="D826">
        <v>0</v>
      </c>
      <c r="E826">
        <v>2</v>
      </c>
      <c r="F826">
        <v>19</v>
      </c>
      <c r="G826" t="b">
        <f>IF(COUNTIF(AB$4:AB$20,Append1[[#This Row],[dteday]]) &gt; 0, TRUE, FALSE)</f>
        <v>0</v>
      </c>
      <c r="H826">
        <v>0</v>
      </c>
      <c r="I826">
        <v>1</v>
      </c>
      <c r="J826">
        <v>0.28000000000000003</v>
      </c>
      <c r="K826">
        <f>Append1[[#This Row],[temp]]*100</f>
        <v>28.000000000000004</v>
      </c>
      <c r="L826">
        <v>0.28789999999999999</v>
      </c>
      <c r="M826">
        <v>0.61</v>
      </c>
      <c r="N826">
        <v>0.1343</v>
      </c>
      <c r="O826">
        <v>1</v>
      </c>
      <c r="P826">
        <v>20</v>
      </c>
      <c r="Q826">
        <v>21</v>
      </c>
      <c r="R826" s="12" t="str">
        <f t="shared" si="60"/>
        <v>Clear/Few Clouds</v>
      </c>
      <c r="S826" s="14" t="str">
        <f t="shared" si="61"/>
        <v>Winter</v>
      </c>
      <c r="T826" s="15" t="str">
        <f t="shared" si="62"/>
        <v>Sunday</v>
      </c>
      <c r="U826" t="str">
        <f t="shared" si="63"/>
        <v>February</v>
      </c>
      <c r="V826" s="16" t="str">
        <f t="shared" si="64"/>
        <v>GOOD</v>
      </c>
    </row>
    <row r="827" spans="1:22" x14ac:dyDescent="0.3">
      <c r="A827">
        <v>826</v>
      </c>
      <c r="B827" s="1">
        <v>40580</v>
      </c>
      <c r="C827">
        <v>1</v>
      </c>
      <c r="D827">
        <v>0</v>
      </c>
      <c r="E827">
        <v>2</v>
      </c>
      <c r="F827">
        <v>20</v>
      </c>
      <c r="G827" t="b">
        <f>IF(COUNTIF(AB$4:AB$20,Append1[[#This Row],[dteday]]) &gt; 0, TRUE, FALSE)</f>
        <v>0</v>
      </c>
      <c r="H827">
        <v>0</v>
      </c>
      <c r="I827">
        <v>1</v>
      </c>
      <c r="J827">
        <v>0.28000000000000003</v>
      </c>
      <c r="K827">
        <f>Append1[[#This Row],[temp]]*100</f>
        <v>28.000000000000004</v>
      </c>
      <c r="L827">
        <v>0.28789999999999999</v>
      </c>
      <c r="M827">
        <v>0.61</v>
      </c>
      <c r="N827">
        <v>0.1045</v>
      </c>
      <c r="O827">
        <v>5</v>
      </c>
      <c r="P827">
        <v>21</v>
      </c>
      <c r="Q827">
        <v>26</v>
      </c>
      <c r="R827" s="12" t="str">
        <f t="shared" si="60"/>
        <v>Clear/Few Clouds</v>
      </c>
      <c r="S827" s="14" t="str">
        <f t="shared" si="61"/>
        <v>Winter</v>
      </c>
      <c r="T827" s="15" t="str">
        <f t="shared" si="62"/>
        <v>Sunday</v>
      </c>
      <c r="U827" t="str">
        <f t="shared" si="63"/>
        <v>February</v>
      </c>
      <c r="V827" s="16" t="str">
        <f t="shared" si="64"/>
        <v>GOOD</v>
      </c>
    </row>
    <row r="828" spans="1:22" x14ac:dyDescent="0.3">
      <c r="A828">
        <v>827</v>
      </c>
      <c r="B828" s="1">
        <v>40580</v>
      </c>
      <c r="C828">
        <v>1</v>
      </c>
      <c r="D828">
        <v>0</v>
      </c>
      <c r="E828">
        <v>2</v>
      </c>
      <c r="F828">
        <v>21</v>
      </c>
      <c r="G828" t="b">
        <f>IF(COUNTIF(AB$4:AB$20,Append1[[#This Row],[dteday]]) &gt; 0, TRUE, FALSE)</f>
        <v>0</v>
      </c>
      <c r="H828">
        <v>0</v>
      </c>
      <c r="I828">
        <v>1</v>
      </c>
      <c r="J828">
        <v>0.26</v>
      </c>
      <c r="K828">
        <f>Append1[[#This Row],[temp]]*100</f>
        <v>26</v>
      </c>
      <c r="L828">
        <v>0.30299999999999999</v>
      </c>
      <c r="M828">
        <v>0.6</v>
      </c>
      <c r="N828">
        <v>0</v>
      </c>
      <c r="O828">
        <v>5</v>
      </c>
      <c r="P828">
        <v>22</v>
      </c>
      <c r="Q828">
        <v>27</v>
      </c>
      <c r="R828" s="12" t="str">
        <f t="shared" si="60"/>
        <v>Clear/Few Clouds</v>
      </c>
      <c r="S828" s="14" t="str">
        <f t="shared" si="61"/>
        <v>Winter</v>
      </c>
      <c r="T828" s="15" t="str">
        <f t="shared" si="62"/>
        <v>Sunday</v>
      </c>
      <c r="U828" t="str">
        <f t="shared" si="63"/>
        <v>February</v>
      </c>
      <c r="V828" s="16" t="str">
        <f t="shared" si="64"/>
        <v>GOOD</v>
      </c>
    </row>
    <row r="829" spans="1:22" x14ac:dyDescent="0.3">
      <c r="A829">
        <v>828</v>
      </c>
      <c r="B829" s="1">
        <v>40580</v>
      </c>
      <c r="C829">
        <v>1</v>
      </c>
      <c r="D829">
        <v>0</v>
      </c>
      <c r="E829">
        <v>2</v>
      </c>
      <c r="F829">
        <v>22</v>
      </c>
      <c r="G829" t="b">
        <f>IF(COUNTIF(AB$4:AB$20,Append1[[#This Row],[dteday]]) &gt; 0, TRUE, FALSE)</f>
        <v>0</v>
      </c>
      <c r="H829">
        <v>0</v>
      </c>
      <c r="I829">
        <v>1</v>
      </c>
      <c r="J829">
        <v>0.26</v>
      </c>
      <c r="K829">
        <f>Append1[[#This Row],[temp]]*100</f>
        <v>26</v>
      </c>
      <c r="L829">
        <v>0.30299999999999999</v>
      </c>
      <c r="M829">
        <v>0.6</v>
      </c>
      <c r="N829">
        <v>0</v>
      </c>
      <c r="O829">
        <v>5</v>
      </c>
      <c r="P829">
        <v>57</v>
      </c>
      <c r="Q829">
        <v>62</v>
      </c>
      <c r="R829" s="12" t="str">
        <f t="shared" si="60"/>
        <v>Clear/Few Clouds</v>
      </c>
      <c r="S829" s="14" t="str">
        <f t="shared" si="61"/>
        <v>Winter</v>
      </c>
      <c r="T829" s="15" t="str">
        <f t="shared" si="62"/>
        <v>Sunday</v>
      </c>
      <c r="U829" t="str">
        <f t="shared" si="63"/>
        <v>February</v>
      </c>
      <c r="V829" s="16" t="str">
        <f t="shared" si="64"/>
        <v>GOOD</v>
      </c>
    </row>
    <row r="830" spans="1:22" x14ac:dyDescent="0.3">
      <c r="A830">
        <v>829</v>
      </c>
      <c r="B830" s="1">
        <v>40580</v>
      </c>
      <c r="C830">
        <v>1</v>
      </c>
      <c r="D830">
        <v>0</v>
      </c>
      <c r="E830">
        <v>2</v>
      </c>
      <c r="F830">
        <v>23</v>
      </c>
      <c r="G830" t="b">
        <f>IF(COUNTIF(AB$4:AB$20,Append1[[#This Row],[dteday]]) &gt; 0, TRUE, FALSE)</f>
        <v>0</v>
      </c>
      <c r="H830">
        <v>0</v>
      </c>
      <c r="I830">
        <v>1</v>
      </c>
      <c r="J830">
        <v>0.24</v>
      </c>
      <c r="K830">
        <f>Append1[[#This Row],[temp]]*100</f>
        <v>24</v>
      </c>
      <c r="L830">
        <v>0.28789999999999999</v>
      </c>
      <c r="M830">
        <v>0.65</v>
      </c>
      <c r="N830">
        <v>0</v>
      </c>
      <c r="O830">
        <v>4</v>
      </c>
      <c r="P830">
        <v>26</v>
      </c>
      <c r="Q830">
        <v>30</v>
      </c>
      <c r="R830" s="12" t="str">
        <f t="shared" si="60"/>
        <v>Clear/Few Clouds</v>
      </c>
      <c r="S830" s="14" t="str">
        <f t="shared" si="61"/>
        <v>Winter</v>
      </c>
      <c r="T830" s="15" t="str">
        <f t="shared" si="62"/>
        <v>Sunday</v>
      </c>
      <c r="U830" t="str">
        <f t="shared" si="63"/>
        <v>February</v>
      </c>
      <c r="V830" s="16" t="str">
        <f t="shared" si="64"/>
        <v>GOOD</v>
      </c>
    </row>
    <row r="831" spans="1:22" x14ac:dyDescent="0.3">
      <c r="A831">
        <v>830</v>
      </c>
      <c r="B831" s="1">
        <v>40581</v>
      </c>
      <c r="C831">
        <v>1</v>
      </c>
      <c r="D831">
        <v>0</v>
      </c>
      <c r="E831">
        <v>2</v>
      </c>
      <c r="F831">
        <v>0</v>
      </c>
      <c r="G831" t="b">
        <f>IF(COUNTIF(AB$4:AB$20,Append1[[#This Row],[dteday]]) &gt; 0, TRUE, FALSE)</f>
        <v>0</v>
      </c>
      <c r="H831">
        <v>1</v>
      </c>
      <c r="I831">
        <v>1</v>
      </c>
      <c r="J831">
        <v>0.24</v>
      </c>
      <c r="K831">
        <f>Append1[[#This Row],[temp]]*100</f>
        <v>24</v>
      </c>
      <c r="L831">
        <v>0.28789999999999999</v>
      </c>
      <c r="M831">
        <v>0.65</v>
      </c>
      <c r="N831">
        <v>0</v>
      </c>
      <c r="O831">
        <v>1</v>
      </c>
      <c r="P831">
        <v>14</v>
      </c>
      <c r="Q831">
        <v>15</v>
      </c>
      <c r="R831" s="12" t="str">
        <f t="shared" si="60"/>
        <v>Clear/Few Clouds</v>
      </c>
      <c r="S831" s="14" t="str">
        <f t="shared" si="61"/>
        <v>Winter</v>
      </c>
      <c r="T831" s="15" t="str">
        <f t="shared" si="62"/>
        <v>Monday</v>
      </c>
      <c r="U831" t="str">
        <f t="shared" si="63"/>
        <v>February</v>
      </c>
      <c r="V831" s="16" t="str">
        <f t="shared" si="64"/>
        <v>GOOD</v>
      </c>
    </row>
    <row r="832" spans="1:22" x14ac:dyDescent="0.3">
      <c r="A832">
        <v>831</v>
      </c>
      <c r="B832" s="1">
        <v>40581</v>
      </c>
      <c r="C832">
        <v>1</v>
      </c>
      <c r="D832">
        <v>0</v>
      </c>
      <c r="E832">
        <v>2</v>
      </c>
      <c r="F832">
        <v>1</v>
      </c>
      <c r="G832" t="b">
        <f>IF(COUNTIF(AB$4:AB$20,Append1[[#This Row],[dteday]]) &gt; 0, TRUE, FALSE)</f>
        <v>0</v>
      </c>
      <c r="H832">
        <v>1</v>
      </c>
      <c r="I832">
        <v>1</v>
      </c>
      <c r="J832">
        <v>0.22</v>
      </c>
      <c r="K832">
        <f>Append1[[#This Row],[temp]]*100</f>
        <v>22</v>
      </c>
      <c r="L832">
        <v>0.2727</v>
      </c>
      <c r="M832">
        <v>0.75</v>
      </c>
      <c r="N832">
        <v>0</v>
      </c>
      <c r="O832">
        <v>1</v>
      </c>
      <c r="P832">
        <v>4</v>
      </c>
      <c r="Q832">
        <v>5</v>
      </c>
      <c r="R832" s="12" t="str">
        <f t="shared" si="60"/>
        <v>Clear/Few Clouds</v>
      </c>
      <c r="S832" s="14" t="str">
        <f t="shared" si="61"/>
        <v>Winter</v>
      </c>
      <c r="T832" s="15" t="str">
        <f t="shared" si="62"/>
        <v>Monday</v>
      </c>
      <c r="U832" t="str">
        <f t="shared" si="63"/>
        <v>February</v>
      </c>
      <c r="V832" s="16" t="str">
        <f t="shared" si="64"/>
        <v>GOOD</v>
      </c>
    </row>
    <row r="833" spans="1:22" x14ac:dyDescent="0.3">
      <c r="A833">
        <v>832</v>
      </c>
      <c r="B833" s="1">
        <v>40581</v>
      </c>
      <c r="C833">
        <v>1</v>
      </c>
      <c r="D833">
        <v>0</v>
      </c>
      <c r="E833">
        <v>2</v>
      </c>
      <c r="F833">
        <v>2</v>
      </c>
      <c r="G833" t="b">
        <f>IF(COUNTIF(AB$4:AB$20,Append1[[#This Row],[dteday]]) &gt; 0, TRUE, FALSE)</f>
        <v>0</v>
      </c>
      <c r="H833">
        <v>1</v>
      </c>
      <c r="I833">
        <v>1</v>
      </c>
      <c r="J833">
        <v>0.2</v>
      </c>
      <c r="K833">
        <f>Append1[[#This Row],[temp]]*100</f>
        <v>20</v>
      </c>
      <c r="L833">
        <v>0.2576</v>
      </c>
      <c r="M833">
        <v>0.8</v>
      </c>
      <c r="N833">
        <v>0</v>
      </c>
      <c r="O833">
        <v>0</v>
      </c>
      <c r="P833">
        <v>3</v>
      </c>
      <c r="Q833">
        <v>3</v>
      </c>
      <c r="R833" s="12" t="str">
        <f t="shared" si="60"/>
        <v>Clear/Few Clouds</v>
      </c>
      <c r="S833" s="14" t="str">
        <f t="shared" si="61"/>
        <v>Winter</v>
      </c>
      <c r="T833" s="15" t="str">
        <f t="shared" si="62"/>
        <v>Monday</v>
      </c>
      <c r="U833" t="str">
        <f t="shared" si="63"/>
        <v>February</v>
      </c>
      <c r="V833" s="16" t="str">
        <f t="shared" si="64"/>
        <v>GOOD</v>
      </c>
    </row>
    <row r="834" spans="1:22" x14ac:dyDescent="0.3">
      <c r="A834">
        <v>833</v>
      </c>
      <c r="B834" s="1">
        <v>40581</v>
      </c>
      <c r="C834">
        <v>1</v>
      </c>
      <c r="D834">
        <v>0</v>
      </c>
      <c r="E834">
        <v>2</v>
      </c>
      <c r="F834">
        <v>3</v>
      </c>
      <c r="G834" t="b">
        <f>IF(COUNTIF(AB$4:AB$20,Append1[[#This Row],[dteday]]) &gt; 0, TRUE, FALSE)</f>
        <v>0</v>
      </c>
      <c r="H834">
        <v>1</v>
      </c>
      <c r="I834">
        <v>1</v>
      </c>
      <c r="J834">
        <v>0.2</v>
      </c>
      <c r="K834">
        <f>Append1[[#This Row],[temp]]*100</f>
        <v>20</v>
      </c>
      <c r="L834">
        <v>0.2576</v>
      </c>
      <c r="M834">
        <v>0.86</v>
      </c>
      <c r="N834">
        <v>0</v>
      </c>
      <c r="O834">
        <v>0</v>
      </c>
      <c r="P834">
        <v>1</v>
      </c>
      <c r="Q834">
        <v>1</v>
      </c>
      <c r="R834" s="12" t="str">
        <f t="shared" ref="R834:R897" si="65">_xlfn.IFS(I834=1,"Clear/Few Clouds",I834=2,"Mist/Cloudy",I834=3,"Light Rain/Snow",I834=4,"Heavy Rain/Snow")</f>
        <v>Clear/Few Clouds</v>
      </c>
      <c r="S834" s="14" t="str">
        <f t="shared" ref="S834:S897" si="66">_xlfn.IFS(C834=1,"Winter",C834=2,"Spring",C834=3,"Summer",C834=4,"Autumn")</f>
        <v>Winter</v>
      </c>
      <c r="T834" s="15" t="str">
        <f t="shared" ref="T834:T897" si="67">TEXT(B834,"dddd")</f>
        <v>Monday</v>
      </c>
      <c r="U834" t="str">
        <f t="shared" ref="U834:U897" si="68">TEXT(B834,"mmmm")</f>
        <v>February</v>
      </c>
      <c r="V834" s="16" t="str">
        <f t="shared" ref="V834:V897" si="69">_xlfn.IFS(I834=1,"GOOD",I834=2,"MODERATE",I834=3,"BAD",I834=4,"WORSE")</f>
        <v>GOOD</v>
      </c>
    </row>
    <row r="835" spans="1:22" x14ac:dyDescent="0.3">
      <c r="A835">
        <v>834</v>
      </c>
      <c r="B835" s="1">
        <v>40581</v>
      </c>
      <c r="C835">
        <v>1</v>
      </c>
      <c r="D835">
        <v>0</v>
      </c>
      <c r="E835">
        <v>2</v>
      </c>
      <c r="F835">
        <v>4</v>
      </c>
      <c r="G835" t="b">
        <f>IF(COUNTIF(AB$4:AB$20,Append1[[#This Row],[dteday]]) &gt; 0, TRUE, FALSE)</f>
        <v>0</v>
      </c>
      <c r="H835">
        <v>1</v>
      </c>
      <c r="I835">
        <v>1</v>
      </c>
      <c r="J835">
        <v>0.2</v>
      </c>
      <c r="K835">
        <f>Append1[[#This Row],[temp]]*100</f>
        <v>20</v>
      </c>
      <c r="L835">
        <v>0.2576</v>
      </c>
      <c r="M835">
        <v>0.86</v>
      </c>
      <c r="N835">
        <v>0</v>
      </c>
      <c r="O835">
        <v>1</v>
      </c>
      <c r="P835">
        <v>1</v>
      </c>
      <c r="Q835">
        <v>2</v>
      </c>
      <c r="R835" s="12" t="str">
        <f t="shared" si="65"/>
        <v>Clear/Few Clouds</v>
      </c>
      <c r="S835" s="14" t="str">
        <f t="shared" si="66"/>
        <v>Winter</v>
      </c>
      <c r="T835" s="15" t="str">
        <f t="shared" si="67"/>
        <v>Monday</v>
      </c>
      <c r="U835" t="str">
        <f t="shared" si="68"/>
        <v>February</v>
      </c>
      <c r="V835" s="16" t="str">
        <f t="shared" si="69"/>
        <v>GOOD</v>
      </c>
    </row>
    <row r="836" spans="1:22" x14ac:dyDescent="0.3">
      <c r="A836">
        <v>835</v>
      </c>
      <c r="B836" s="1">
        <v>40581</v>
      </c>
      <c r="C836">
        <v>1</v>
      </c>
      <c r="D836">
        <v>0</v>
      </c>
      <c r="E836">
        <v>2</v>
      </c>
      <c r="F836">
        <v>5</v>
      </c>
      <c r="G836" t="b">
        <f>IF(COUNTIF(AB$4:AB$20,Append1[[#This Row],[dteday]]) &gt; 0, TRUE, FALSE)</f>
        <v>0</v>
      </c>
      <c r="H836">
        <v>1</v>
      </c>
      <c r="I836">
        <v>1</v>
      </c>
      <c r="J836">
        <v>0.2</v>
      </c>
      <c r="K836">
        <f>Append1[[#This Row],[temp]]*100</f>
        <v>20</v>
      </c>
      <c r="L836">
        <v>0.2576</v>
      </c>
      <c r="M836">
        <v>0.86</v>
      </c>
      <c r="N836">
        <v>0</v>
      </c>
      <c r="O836">
        <v>1</v>
      </c>
      <c r="P836">
        <v>9</v>
      </c>
      <c r="Q836">
        <v>10</v>
      </c>
      <c r="R836" s="12" t="str">
        <f t="shared" si="65"/>
        <v>Clear/Few Clouds</v>
      </c>
      <c r="S836" s="14" t="str">
        <f t="shared" si="66"/>
        <v>Winter</v>
      </c>
      <c r="T836" s="15" t="str">
        <f t="shared" si="67"/>
        <v>Monday</v>
      </c>
      <c r="U836" t="str">
        <f t="shared" si="68"/>
        <v>February</v>
      </c>
      <c r="V836" s="16" t="str">
        <f t="shared" si="69"/>
        <v>GOOD</v>
      </c>
    </row>
    <row r="837" spans="1:22" x14ac:dyDescent="0.3">
      <c r="A837">
        <v>836</v>
      </c>
      <c r="B837" s="1">
        <v>40581</v>
      </c>
      <c r="C837">
        <v>1</v>
      </c>
      <c r="D837">
        <v>0</v>
      </c>
      <c r="E837">
        <v>2</v>
      </c>
      <c r="F837">
        <v>6</v>
      </c>
      <c r="G837" t="b">
        <f>IF(COUNTIF(AB$4:AB$20,Append1[[#This Row],[dteday]]) &gt; 0, TRUE, FALSE)</f>
        <v>0</v>
      </c>
      <c r="H837">
        <v>1</v>
      </c>
      <c r="I837">
        <v>1</v>
      </c>
      <c r="J837">
        <v>0.18</v>
      </c>
      <c r="K837">
        <f>Append1[[#This Row],[temp]]*100</f>
        <v>18</v>
      </c>
      <c r="L837">
        <v>0.2424</v>
      </c>
      <c r="M837">
        <v>0.93</v>
      </c>
      <c r="N837">
        <v>0</v>
      </c>
      <c r="O837">
        <v>1</v>
      </c>
      <c r="P837">
        <v>29</v>
      </c>
      <c r="Q837">
        <v>30</v>
      </c>
      <c r="R837" s="12" t="str">
        <f t="shared" si="65"/>
        <v>Clear/Few Clouds</v>
      </c>
      <c r="S837" s="14" t="str">
        <f t="shared" si="66"/>
        <v>Winter</v>
      </c>
      <c r="T837" s="15" t="str">
        <f t="shared" si="67"/>
        <v>Monday</v>
      </c>
      <c r="U837" t="str">
        <f t="shared" si="68"/>
        <v>February</v>
      </c>
      <c r="V837" s="16" t="str">
        <f t="shared" si="69"/>
        <v>GOOD</v>
      </c>
    </row>
    <row r="838" spans="1:22" x14ac:dyDescent="0.3">
      <c r="A838">
        <v>837</v>
      </c>
      <c r="B838" s="1">
        <v>40581</v>
      </c>
      <c r="C838">
        <v>1</v>
      </c>
      <c r="D838">
        <v>0</v>
      </c>
      <c r="E838">
        <v>2</v>
      </c>
      <c r="F838">
        <v>7</v>
      </c>
      <c r="G838" t="b">
        <f>IF(COUNTIF(AB$4:AB$20,Append1[[#This Row],[dteday]]) &gt; 0, TRUE, FALSE)</f>
        <v>0</v>
      </c>
      <c r="H838">
        <v>1</v>
      </c>
      <c r="I838">
        <v>1</v>
      </c>
      <c r="J838">
        <v>0.18</v>
      </c>
      <c r="K838">
        <f>Append1[[#This Row],[temp]]*100</f>
        <v>18</v>
      </c>
      <c r="L838">
        <v>0.2424</v>
      </c>
      <c r="M838">
        <v>0.86</v>
      </c>
      <c r="N838">
        <v>0</v>
      </c>
      <c r="O838">
        <v>6</v>
      </c>
      <c r="P838">
        <v>89</v>
      </c>
      <c r="Q838">
        <v>95</v>
      </c>
      <c r="R838" s="12" t="str">
        <f t="shared" si="65"/>
        <v>Clear/Few Clouds</v>
      </c>
      <c r="S838" s="14" t="str">
        <f t="shared" si="66"/>
        <v>Winter</v>
      </c>
      <c r="T838" s="15" t="str">
        <f t="shared" si="67"/>
        <v>Monday</v>
      </c>
      <c r="U838" t="str">
        <f t="shared" si="68"/>
        <v>February</v>
      </c>
      <c r="V838" s="16" t="str">
        <f t="shared" si="69"/>
        <v>GOOD</v>
      </c>
    </row>
    <row r="839" spans="1:22" x14ac:dyDescent="0.3">
      <c r="A839">
        <v>838</v>
      </c>
      <c r="B839" s="1">
        <v>40581</v>
      </c>
      <c r="C839">
        <v>1</v>
      </c>
      <c r="D839">
        <v>0</v>
      </c>
      <c r="E839">
        <v>2</v>
      </c>
      <c r="F839">
        <v>8</v>
      </c>
      <c r="G839" t="b">
        <f>IF(COUNTIF(AB$4:AB$20,Append1[[#This Row],[dteday]]) &gt; 0, TRUE, FALSE)</f>
        <v>0</v>
      </c>
      <c r="H839">
        <v>1</v>
      </c>
      <c r="I839">
        <v>2</v>
      </c>
      <c r="J839">
        <v>0.16</v>
      </c>
      <c r="K839">
        <f>Append1[[#This Row],[temp]]*100</f>
        <v>16</v>
      </c>
      <c r="L839">
        <v>0.2273</v>
      </c>
      <c r="M839">
        <v>1</v>
      </c>
      <c r="N839">
        <v>0</v>
      </c>
      <c r="O839">
        <v>7</v>
      </c>
      <c r="P839">
        <v>223</v>
      </c>
      <c r="Q839">
        <v>230</v>
      </c>
      <c r="R839" s="12" t="str">
        <f t="shared" si="65"/>
        <v>Mist/Cloudy</v>
      </c>
      <c r="S839" s="14" t="str">
        <f t="shared" si="66"/>
        <v>Winter</v>
      </c>
      <c r="T839" s="15" t="str">
        <f t="shared" si="67"/>
        <v>Monday</v>
      </c>
      <c r="U839" t="str">
        <f t="shared" si="68"/>
        <v>February</v>
      </c>
      <c r="V839" s="16" t="str">
        <f t="shared" si="69"/>
        <v>MODERATE</v>
      </c>
    </row>
    <row r="840" spans="1:22" x14ac:dyDescent="0.3">
      <c r="A840">
        <v>839</v>
      </c>
      <c r="B840" s="1">
        <v>40581</v>
      </c>
      <c r="C840">
        <v>1</v>
      </c>
      <c r="D840">
        <v>0</v>
      </c>
      <c r="E840">
        <v>2</v>
      </c>
      <c r="F840">
        <v>9</v>
      </c>
      <c r="G840" t="b">
        <f>IF(COUNTIF(AB$4:AB$20,Append1[[#This Row],[dteday]]) &gt; 0, TRUE, FALSE)</f>
        <v>0</v>
      </c>
      <c r="H840">
        <v>1</v>
      </c>
      <c r="I840">
        <v>1</v>
      </c>
      <c r="J840">
        <v>0.22</v>
      </c>
      <c r="K840">
        <f>Append1[[#This Row],[temp]]*100</f>
        <v>22</v>
      </c>
      <c r="L840">
        <v>0.2727</v>
      </c>
      <c r="M840">
        <v>0.8</v>
      </c>
      <c r="N840">
        <v>0</v>
      </c>
      <c r="O840">
        <v>3</v>
      </c>
      <c r="P840">
        <v>115</v>
      </c>
      <c r="Q840">
        <v>118</v>
      </c>
      <c r="R840" s="12" t="str">
        <f t="shared" si="65"/>
        <v>Clear/Few Clouds</v>
      </c>
      <c r="S840" s="14" t="str">
        <f t="shared" si="66"/>
        <v>Winter</v>
      </c>
      <c r="T840" s="15" t="str">
        <f t="shared" si="67"/>
        <v>Monday</v>
      </c>
      <c r="U840" t="str">
        <f t="shared" si="68"/>
        <v>February</v>
      </c>
      <c r="V840" s="16" t="str">
        <f t="shared" si="69"/>
        <v>GOOD</v>
      </c>
    </row>
    <row r="841" spans="1:22" x14ac:dyDescent="0.3">
      <c r="A841">
        <v>840</v>
      </c>
      <c r="B841" s="1">
        <v>40581</v>
      </c>
      <c r="C841">
        <v>1</v>
      </c>
      <c r="D841">
        <v>0</v>
      </c>
      <c r="E841">
        <v>2</v>
      </c>
      <c r="F841">
        <v>10</v>
      </c>
      <c r="G841" t="b">
        <f>IF(COUNTIF(AB$4:AB$20,Append1[[#This Row],[dteday]]) &gt; 0, TRUE, FALSE)</f>
        <v>0</v>
      </c>
      <c r="H841">
        <v>1</v>
      </c>
      <c r="I841">
        <v>1</v>
      </c>
      <c r="J841">
        <v>0.24</v>
      </c>
      <c r="K841">
        <f>Append1[[#This Row],[temp]]*100</f>
        <v>24</v>
      </c>
      <c r="L841">
        <v>0.2576</v>
      </c>
      <c r="M841">
        <v>0.75</v>
      </c>
      <c r="N841">
        <v>0.1045</v>
      </c>
      <c r="O841">
        <v>6</v>
      </c>
      <c r="P841">
        <v>49</v>
      </c>
      <c r="Q841">
        <v>55</v>
      </c>
      <c r="R841" s="12" t="str">
        <f t="shared" si="65"/>
        <v>Clear/Few Clouds</v>
      </c>
      <c r="S841" s="14" t="str">
        <f t="shared" si="66"/>
        <v>Winter</v>
      </c>
      <c r="T841" s="15" t="str">
        <f t="shared" si="67"/>
        <v>Monday</v>
      </c>
      <c r="U841" t="str">
        <f t="shared" si="68"/>
        <v>February</v>
      </c>
      <c r="V841" s="16" t="str">
        <f t="shared" si="69"/>
        <v>GOOD</v>
      </c>
    </row>
    <row r="842" spans="1:22" x14ac:dyDescent="0.3">
      <c r="A842">
        <v>841</v>
      </c>
      <c r="B842" s="1">
        <v>40581</v>
      </c>
      <c r="C842">
        <v>1</v>
      </c>
      <c r="D842">
        <v>0</v>
      </c>
      <c r="E842">
        <v>2</v>
      </c>
      <c r="F842">
        <v>11</v>
      </c>
      <c r="G842" t="b">
        <f>IF(COUNTIF(AB$4:AB$20,Append1[[#This Row],[dteday]]) &gt; 0, TRUE, FALSE)</f>
        <v>0</v>
      </c>
      <c r="H842">
        <v>1</v>
      </c>
      <c r="I842">
        <v>1</v>
      </c>
      <c r="J842">
        <v>0.3</v>
      </c>
      <c r="K842">
        <f>Append1[[#This Row],[temp]]*100</f>
        <v>30</v>
      </c>
      <c r="L842">
        <v>0.31819999999999998</v>
      </c>
      <c r="M842">
        <v>0.65</v>
      </c>
      <c r="N842">
        <v>8.9599999999999999E-2</v>
      </c>
      <c r="O842">
        <v>11</v>
      </c>
      <c r="P842">
        <v>36</v>
      </c>
      <c r="Q842">
        <v>47</v>
      </c>
      <c r="R842" s="12" t="str">
        <f t="shared" si="65"/>
        <v>Clear/Few Clouds</v>
      </c>
      <c r="S842" s="14" t="str">
        <f t="shared" si="66"/>
        <v>Winter</v>
      </c>
      <c r="T842" s="15" t="str">
        <f t="shared" si="67"/>
        <v>Monday</v>
      </c>
      <c r="U842" t="str">
        <f t="shared" si="68"/>
        <v>February</v>
      </c>
      <c r="V842" s="16" t="str">
        <f t="shared" si="69"/>
        <v>GOOD</v>
      </c>
    </row>
    <row r="843" spans="1:22" x14ac:dyDescent="0.3">
      <c r="A843">
        <v>842</v>
      </c>
      <c r="B843" s="1">
        <v>40581</v>
      </c>
      <c r="C843">
        <v>1</v>
      </c>
      <c r="D843">
        <v>0</v>
      </c>
      <c r="E843">
        <v>2</v>
      </c>
      <c r="F843">
        <v>12</v>
      </c>
      <c r="G843" t="b">
        <f>IF(COUNTIF(AB$4:AB$20,Append1[[#This Row],[dteday]]) &gt; 0, TRUE, FALSE)</f>
        <v>0</v>
      </c>
      <c r="H843">
        <v>1</v>
      </c>
      <c r="I843">
        <v>2</v>
      </c>
      <c r="J843">
        <v>0.32</v>
      </c>
      <c r="K843">
        <f>Append1[[#This Row],[temp]]*100</f>
        <v>32</v>
      </c>
      <c r="L843">
        <v>0.34849999999999998</v>
      </c>
      <c r="M843">
        <v>0.62</v>
      </c>
      <c r="N843">
        <v>0</v>
      </c>
      <c r="O843">
        <v>7</v>
      </c>
      <c r="P843">
        <v>59</v>
      </c>
      <c r="Q843">
        <v>66</v>
      </c>
      <c r="R843" s="12" t="str">
        <f t="shared" si="65"/>
        <v>Mist/Cloudy</v>
      </c>
      <c r="S843" s="14" t="str">
        <f t="shared" si="66"/>
        <v>Winter</v>
      </c>
      <c r="T843" s="15" t="str">
        <f t="shared" si="67"/>
        <v>Monday</v>
      </c>
      <c r="U843" t="str">
        <f t="shared" si="68"/>
        <v>February</v>
      </c>
      <c r="V843" s="16" t="str">
        <f t="shared" si="69"/>
        <v>MODERATE</v>
      </c>
    </row>
    <row r="844" spans="1:22" x14ac:dyDescent="0.3">
      <c r="A844">
        <v>843</v>
      </c>
      <c r="B844" s="1">
        <v>40581</v>
      </c>
      <c r="C844">
        <v>1</v>
      </c>
      <c r="D844">
        <v>0</v>
      </c>
      <c r="E844">
        <v>2</v>
      </c>
      <c r="F844">
        <v>13</v>
      </c>
      <c r="G844" t="b">
        <f>IF(COUNTIF(AB$4:AB$20,Append1[[#This Row],[dteday]]) &gt; 0, TRUE, FALSE)</f>
        <v>0</v>
      </c>
      <c r="H844">
        <v>1</v>
      </c>
      <c r="I844">
        <v>2</v>
      </c>
      <c r="J844">
        <v>0.36</v>
      </c>
      <c r="K844">
        <f>Append1[[#This Row],[temp]]*100</f>
        <v>36</v>
      </c>
      <c r="L844">
        <v>0.36359999999999998</v>
      </c>
      <c r="M844">
        <v>0.56999999999999995</v>
      </c>
      <c r="N844">
        <v>8.9599999999999999E-2</v>
      </c>
      <c r="O844">
        <v>10</v>
      </c>
      <c r="P844">
        <v>54</v>
      </c>
      <c r="Q844">
        <v>64</v>
      </c>
      <c r="R844" s="12" t="str">
        <f t="shared" si="65"/>
        <v>Mist/Cloudy</v>
      </c>
      <c r="S844" s="14" t="str">
        <f t="shared" si="66"/>
        <v>Winter</v>
      </c>
      <c r="T844" s="15" t="str">
        <f t="shared" si="67"/>
        <v>Monday</v>
      </c>
      <c r="U844" t="str">
        <f t="shared" si="68"/>
        <v>February</v>
      </c>
      <c r="V844" s="16" t="str">
        <f t="shared" si="69"/>
        <v>MODERATE</v>
      </c>
    </row>
    <row r="845" spans="1:22" x14ac:dyDescent="0.3">
      <c r="A845">
        <v>844</v>
      </c>
      <c r="B845" s="1">
        <v>40581</v>
      </c>
      <c r="C845">
        <v>1</v>
      </c>
      <c r="D845">
        <v>0</v>
      </c>
      <c r="E845">
        <v>2</v>
      </c>
      <c r="F845">
        <v>14</v>
      </c>
      <c r="G845" t="b">
        <f>IF(COUNTIF(AB$4:AB$20,Append1[[#This Row],[dteday]]) &gt; 0, TRUE, FALSE)</f>
        <v>0</v>
      </c>
      <c r="H845">
        <v>1</v>
      </c>
      <c r="I845">
        <v>2</v>
      </c>
      <c r="J845">
        <v>0.36</v>
      </c>
      <c r="K845">
        <f>Append1[[#This Row],[temp]]*100</f>
        <v>36</v>
      </c>
      <c r="L845">
        <v>0.36359999999999998</v>
      </c>
      <c r="M845">
        <v>0.56999999999999995</v>
      </c>
      <c r="N845">
        <v>8.9599999999999999E-2</v>
      </c>
      <c r="O845">
        <v>8</v>
      </c>
      <c r="P845">
        <v>52</v>
      </c>
      <c r="Q845">
        <v>60</v>
      </c>
      <c r="R845" s="12" t="str">
        <f t="shared" si="65"/>
        <v>Mist/Cloudy</v>
      </c>
      <c r="S845" s="14" t="str">
        <f t="shared" si="66"/>
        <v>Winter</v>
      </c>
      <c r="T845" s="15" t="str">
        <f t="shared" si="67"/>
        <v>Monday</v>
      </c>
      <c r="U845" t="str">
        <f t="shared" si="68"/>
        <v>February</v>
      </c>
      <c r="V845" s="16" t="str">
        <f t="shared" si="69"/>
        <v>MODERATE</v>
      </c>
    </row>
    <row r="846" spans="1:22" x14ac:dyDescent="0.3">
      <c r="A846">
        <v>845</v>
      </c>
      <c r="B846" s="1">
        <v>40581</v>
      </c>
      <c r="C846">
        <v>1</v>
      </c>
      <c r="D846">
        <v>0</v>
      </c>
      <c r="E846">
        <v>2</v>
      </c>
      <c r="F846">
        <v>15</v>
      </c>
      <c r="G846" t="b">
        <f>IF(COUNTIF(AB$4:AB$20,Append1[[#This Row],[dteday]]) &gt; 0, TRUE, FALSE)</f>
        <v>0</v>
      </c>
      <c r="H846">
        <v>1</v>
      </c>
      <c r="I846">
        <v>2</v>
      </c>
      <c r="J846">
        <v>0.38</v>
      </c>
      <c r="K846">
        <f>Append1[[#This Row],[temp]]*100</f>
        <v>38</v>
      </c>
      <c r="L846">
        <v>0.39389999999999997</v>
      </c>
      <c r="M846">
        <v>0.54</v>
      </c>
      <c r="N846">
        <v>8.9599999999999999E-2</v>
      </c>
      <c r="O846">
        <v>4</v>
      </c>
      <c r="P846">
        <v>46</v>
      </c>
      <c r="Q846">
        <v>50</v>
      </c>
      <c r="R846" s="12" t="str">
        <f t="shared" si="65"/>
        <v>Mist/Cloudy</v>
      </c>
      <c r="S846" s="14" t="str">
        <f t="shared" si="66"/>
        <v>Winter</v>
      </c>
      <c r="T846" s="15" t="str">
        <f t="shared" si="67"/>
        <v>Monday</v>
      </c>
      <c r="U846" t="str">
        <f t="shared" si="68"/>
        <v>February</v>
      </c>
      <c r="V846" s="16" t="str">
        <f t="shared" si="69"/>
        <v>MODERATE</v>
      </c>
    </row>
    <row r="847" spans="1:22" x14ac:dyDescent="0.3">
      <c r="A847">
        <v>846</v>
      </c>
      <c r="B847" s="1">
        <v>40581</v>
      </c>
      <c r="C847">
        <v>1</v>
      </c>
      <c r="D847">
        <v>0</v>
      </c>
      <c r="E847">
        <v>2</v>
      </c>
      <c r="F847">
        <v>16</v>
      </c>
      <c r="G847" t="b">
        <f>IF(COUNTIF(AB$4:AB$20,Append1[[#This Row],[dteday]]) &gt; 0, TRUE, FALSE)</f>
        <v>0</v>
      </c>
      <c r="H847">
        <v>1</v>
      </c>
      <c r="I847">
        <v>2</v>
      </c>
      <c r="J847">
        <v>0.36</v>
      </c>
      <c r="K847">
        <f>Append1[[#This Row],[temp]]*100</f>
        <v>36</v>
      </c>
      <c r="L847">
        <v>0.34849999999999998</v>
      </c>
      <c r="M847">
        <v>0.56999999999999995</v>
      </c>
      <c r="N847">
        <v>0.1343</v>
      </c>
      <c r="O847">
        <v>16</v>
      </c>
      <c r="P847">
        <v>98</v>
      </c>
      <c r="Q847">
        <v>114</v>
      </c>
      <c r="R847" s="12" t="str">
        <f t="shared" si="65"/>
        <v>Mist/Cloudy</v>
      </c>
      <c r="S847" s="14" t="str">
        <f t="shared" si="66"/>
        <v>Winter</v>
      </c>
      <c r="T847" s="15" t="str">
        <f t="shared" si="67"/>
        <v>Monday</v>
      </c>
      <c r="U847" t="str">
        <f t="shared" si="68"/>
        <v>February</v>
      </c>
      <c r="V847" s="16" t="str">
        <f t="shared" si="69"/>
        <v>MODERATE</v>
      </c>
    </row>
    <row r="848" spans="1:22" x14ac:dyDescent="0.3">
      <c r="A848">
        <v>847</v>
      </c>
      <c r="B848" s="1">
        <v>40581</v>
      </c>
      <c r="C848">
        <v>1</v>
      </c>
      <c r="D848">
        <v>0</v>
      </c>
      <c r="E848">
        <v>2</v>
      </c>
      <c r="F848">
        <v>17</v>
      </c>
      <c r="G848" t="b">
        <f>IF(COUNTIF(AB$4:AB$20,Append1[[#This Row],[dteday]]) &gt; 0, TRUE, FALSE)</f>
        <v>0</v>
      </c>
      <c r="H848">
        <v>1</v>
      </c>
      <c r="I848">
        <v>2</v>
      </c>
      <c r="J848">
        <v>0.32</v>
      </c>
      <c r="K848">
        <f>Append1[[#This Row],[temp]]*100</f>
        <v>32</v>
      </c>
      <c r="L848">
        <v>0.31819999999999998</v>
      </c>
      <c r="M848">
        <v>0.7</v>
      </c>
      <c r="N848">
        <v>0.16420000000000001</v>
      </c>
      <c r="O848">
        <v>9</v>
      </c>
      <c r="P848">
        <v>207</v>
      </c>
      <c r="Q848">
        <v>216</v>
      </c>
      <c r="R848" s="12" t="str">
        <f t="shared" si="65"/>
        <v>Mist/Cloudy</v>
      </c>
      <c r="S848" s="14" t="str">
        <f t="shared" si="66"/>
        <v>Winter</v>
      </c>
      <c r="T848" s="15" t="str">
        <f t="shared" si="67"/>
        <v>Monday</v>
      </c>
      <c r="U848" t="str">
        <f t="shared" si="68"/>
        <v>February</v>
      </c>
      <c r="V848" s="16" t="str">
        <f t="shared" si="69"/>
        <v>MODERATE</v>
      </c>
    </row>
    <row r="849" spans="1:22" x14ac:dyDescent="0.3">
      <c r="A849">
        <v>848</v>
      </c>
      <c r="B849" s="1">
        <v>40581</v>
      </c>
      <c r="C849">
        <v>1</v>
      </c>
      <c r="D849">
        <v>0</v>
      </c>
      <c r="E849">
        <v>2</v>
      </c>
      <c r="F849">
        <v>18</v>
      </c>
      <c r="G849" t="b">
        <f>IF(COUNTIF(AB$4:AB$20,Append1[[#This Row],[dteday]]) &gt; 0, TRUE, FALSE)</f>
        <v>0</v>
      </c>
      <c r="H849">
        <v>1</v>
      </c>
      <c r="I849">
        <v>2</v>
      </c>
      <c r="J849">
        <v>0.34</v>
      </c>
      <c r="K849">
        <f>Append1[[#This Row],[temp]]*100</f>
        <v>34</v>
      </c>
      <c r="L849">
        <v>0.33329999999999999</v>
      </c>
      <c r="M849">
        <v>0.66</v>
      </c>
      <c r="N849">
        <v>0.1343</v>
      </c>
      <c r="O849">
        <v>5</v>
      </c>
      <c r="P849">
        <v>170</v>
      </c>
      <c r="Q849">
        <v>175</v>
      </c>
      <c r="R849" s="12" t="str">
        <f t="shared" si="65"/>
        <v>Mist/Cloudy</v>
      </c>
      <c r="S849" s="14" t="str">
        <f t="shared" si="66"/>
        <v>Winter</v>
      </c>
      <c r="T849" s="15" t="str">
        <f t="shared" si="67"/>
        <v>Monday</v>
      </c>
      <c r="U849" t="str">
        <f t="shared" si="68"/>
        <v>February</v>
      </c>
      <c r="V849" s="16" t="str">
        <f t="shared" si="69"/>
        <v>MODERATE</v>
      </c>
    </row>
    <row r="850" spans="1:22" x14ac:dyDescent="0.3">
      <c r="A850">
        <v>849</v>
      </c>
      <c r="B850" s="1">
        <v>40581</v>
      </c>
      <c r="C850">
        <v>1</v>
      </c>
      <c r="D850">
        <v>0</v>
      </c>
      <c r="E850">
        <v>2</v>
      </c>
      <c r="F850">
        <v>19</v>
      </c>
      <c r="G850" t="b">
        <f>IF(COUNTIF(AB$4:AB$20,Append1[[#This Row],[dteday]]) &gt; 0, TRUE, FALSE)</f>
        <v>0</v>
      </c>
      <c r="H850">
        <v>1</v>
      </c>
      <c r="I850">
        <v>2</v>
      </c>
      <c r="J850">
        <v>0.32</v>
      </c>
      <c r="K850">
        <f>Append1[[#This Row],[temp]]*100</f>
        <v>32</v>
      </c>
      <c r="L850">
        <v>0.34849999999999998</v>
      </c>
      <c r="M850">
        <v>0.7</v>
      </c>
      <c r="N850">
        <v>0</v>
      </c>
      <c r="O850">
        <v>5</v>
      </c>
      <c r="P850">
        <v>123</v>
      </c>
      <c r="Q850">
        <v>128</v>
      </c>
      <c r="R850" s="12" t="str">
        <f t="shared" si="65"/>
        <v>Mist/Cloudy</v>
      </c>
      <c r="S850" s="14" t="str">
        <f t="shared" si="66"/>
        <v>Winter</v>
      </c>
      <c r="T850" s="15" t="str">
        <f t="shared" si="67"/>
        <v>Monday</v>
      </c>
      <c r="U850" t="str">
        <f t="shared" si="68"/>
        <v>February</v>
      </c>
      <c r="V850" s="16" t="str">
        <f t="shared" si="69"/>
        <v>MODERATE</v>
      </c>
    </row>
    <row r="851" spans="1:22" x14ac:dyDescent="0.3">
      <c r="A851">
        <v>850</v>
      </c>
      <c r="B851" s="1">
        <v>40581</v>
      </c>
      <c r="C851">
        <v>1</v>
      </c>
      <c r="D851">
        <v>0</v>
      </c>
      <c r="E851">
        <v>2</v>
      </c>
      <c r="F851">
        <v>20</v>
      </c>
      <c r="G851" t="b">
        <f>IF(COUNTIF(AB$4:AB$20,Append1[[#This Row],[dteday]]) &gt; 0, TRUE, FALSE)</f>
        <v>0</v>
      </c>
      <c r="H851">
        <v>1</v>
      </c>
      <c r="I851">
        <v>2</v>
      </c>
      <c r="J851">
        <v>0.32</v>
      </c>
      <c r="K851">
        <f>Append1[[#This Row],[temp]]*100</f>
        <v>32</v>
      </c>
      <c r="L851">
        <v>0.33329999999999999</v>
      </c>
      <c r="M851">
        <v>0.7</v>
      </c>
      <c r="N851">
        <v>0.1045</v>
      </c>
      <c r="O851">
        <v>6</v>
      </c>
      <c r="P851">
        <v>82</v>
      </c>
      <c r="Q851">
        <v>88</v>
      </c>
      <c r="R851" s="12" t="str">
        <f t="shared" si="65"/>
        <v>Mist/Cloudy</v>
      </c>
      <c r="S851" s="14" t="str">
        <f t="shared" si="66"/>
        <v>Winter</v>
      </c>
      <c r="T851" s="15" t="str">
        <f t="shared" si="67"/>
        <v>Monday</v>
      </c>
      <c r="U851" t="str">
        <f t="shared" si="68"/>
        <v>February</v>
      </c>
      <c r="V851" s="16" t="str">
        <f t="shared" si="69"/>
        <v>MODERATE</v>
      </c>
    </row>
    <row r="852" spans="1:22" x14ac:dyDescent="0.3">
      <c r="A852">
        <v>851</v>
      </c>
      <c r="B852" s="1">
        <v>40581</v>
      </c>
      <c r="C852">
        <v>1</v>
      </c>
      <c r="D852">
        <v>0</v>
      </c>
      <c r="E852">
        <v>2</v>
      </c>
      <c r="F852">
        <v>21</v>
      </c>
      <c r="G852" t="b">
        <f>IF(COUNTIF(AB$4:AB$20,Append1[[#This Row],[dteday]]) &gt; 0, TRUE, FALSE)</f>
        <v>0</v>
      </c>
      <c r="H852">
        <v>1</v>
      </c>
      <c r="I852">
        <v>1</v>
      </c>
      <c r="J852">
        <v>0.32</v>
      </c>
      <c r="K852">
        <f>Append1[[#This Row],[temp]]*100</f>
        <v>32</v>
      </c>
      <c r="L852">
        <v>0.34849999999999998</v>
      </c>
      <c r="M852">
        <v>0.7</v>
      </c>
      <c r="N852">
        <v>0</v>
      </c>
      <c r="O852">
        <v>3</v>
      </c>
      <c r="P852">
        <v>75</v>
      </c>
      <c r="Q852">
        <v>78</v>
      </c>
      <c r="R852" s="12" t="str">
        <f t="shared" si="65"/>
        <v>Clear/Few Clouds</v>
      </c>
      <c r="S852" s="14" t="str">
        <f t="shared" si="66"/>
        <v>Winter</v>
      </c>
      <c r="T852" s="15" t="str">
        <f t="shared" si="67"/>
        <v>Monday</v>
      </c>
      <c r="U852" t="str">
        <f t="shared" si="68"/>
        <v>February</v>
      </c>
      <c r="V852" s="16" t="str">
        <f t="shared" si="69"/>
        <v>GOOD</v>
      </c>
    </row>
    <row r="853" spans="1:22" x14ac:dyDescent="0.3">
      <c r="A853">
        <v>852</v>
      </c>
      <c r="B853" s="1">
        <v>40581</v>
      </c>
      <c r="C853">
        <v>1</v>
      </c>
      <c r="D853">
        <v>0</v>
      </c>
      <c r="E853">
        <v>2</v>
      </c>
      <c r="F853">
        <v>22</v>
      </c>
      <c r="G853" t="b">
        <f>IF(COUNTIF(AB$4:AB$20,Append1[[#This Row],[dteday]]) &gt; 0, TRUE, FALSE)</f>
        <v>0</v>
      </c>
      <c r="H853">
        <v>1</v>
      </c>
      <c r="I853">
        <v>1</v>
      </c>
      <c r="J853">
        <v>0.28000000000000003</v>
      </c>
      <c r="K853">
        <f>Append1[[#This Row],[temp]]*100</f>
        <v>28.000000000000004</v>
      </c>
      <c r="L853">
        <v>0.30299999999999999</v>
      </c>
      <c r="M853">
        <v>0.81</v>
      </c>
      <c r="N853">
        <v>8.9599999999999999E-2</v>
      </c>
      <c r="O853">
        <v>3</v>
      </c>
      <c r="P853">
        <v>34</v>
      </c>
      <c r="Q853">
        <v>37</v>
      </c>
      <c r="R853" s="12" t="str">
        <f t="shared" si="65"/>
        <v>Clear/Few Clouds</v>
      </c>
      <c r="S853" s="14" t="str">
        <f t="shared" si="66"/>
        <v>Winter</v>
      </c>
      <c r="T853" s="15" t="str">
        <f t="shared" si="67"/>
        <v>Monday</v>
      </c>
      <c r="U853" t="str">
        <f t="shared" si="68"/>
        <v>February</v>
      </c>
      <c r="V853" s="16" t="str">
        <f t="shared" si="69"/>
        <v>GOOD</v>
      </c>
    </row>
    <row r="854" spans="1:22" x14ac:dyDescent="0.3">
      <c r="A854">
        <v>853</v>
      </c>
      <c r="B854" s="1">
        <v>40581</v>
      </c>
      <c r="C854">
        <v>1</v>
      </c>
      <c r="D854">
        <v>0</v>
      </c>
      <c r="E854">
        <v>2</v>
      </c>
      <c r="F854">
        <v>23</v>
      </c>
      <c r="G854" t="b">
        <f>IF(COUNTIF(AB$4:AB$20,Append1[[#This Row],[dteday]]) &gt; 0, TRUE, FALSE)</f>
        <v>0</v>
      </c>
      <c r="H854">
        <v>1</v>
      </c>
      <c r="I854">
        <v>2</v>
      </c>
      <c r="J854">
        <v>0.3</v>
      </c>
      <c r="K854">
        <f>Append1[[#This Row],[temp]]*100</f>
        <v>30</v>
      </c>
      <c r="L854">
        <v>0.33329999999999999</v>
      </c>
      <c r="M854">
        <v>0.81</v>
      </c>
      <c r="N854">
        <v>0</v>
      </c>
      <c r="O854">
        <v>6</v>
      </c>
      <c r="P854">
        <v>19</v>
      </c>
      <c r="Q854">
        <v>25</v>
      </c>
      <c r="R854" s="12" t="str">
        <f t="shared" si="65"/>
        <v>Mist/Cloudy</v>
      </c>
      <c r="S854" s="14" t="str">
        <f t="shared" si="66"/>
        <v>Winter</v>
      </c>
      <c r="T854" s="15" t="str">
        <f t="shared" si="67"/>
        <v>Monday</v>
      </c>
      <c r="U854" t="str">
        <f t="shared" si="68"/>
        <v>February</v>
      </c>
      <c r="V854" s="16" t="str">
        <f t="shared" si="69"/>
        <v>MODERATE</v>
      </c>
    </row>
    <row r="855" spans="1:22" x14ac:dyDescent="0.3">
      <c r="A855">
        <v>854</v>
      </c>
      <c r="B855" s="1">
        <v>40582</v>
      </c>
      <c r="C855">
        <v>1</v>
      </c>
      <c r="D855">
        <v>0</v>
      </c>
      <c r="E855">
        <v>2</v>
      </c>
      <c r="F855">
        <v>0</v>
      </c>
      <c r="G855" t="b">
        <f>IF(COUNTIF(AB$4:AB$20,Append1[[#This Row],[dteday]]) &gt; 0, TRUE, FALSE)</f>
        <v>0</v>
      </c>
      <c r="H855">
        <v>2</v>
      </c>
      <c r="I855">
        <v>2</v>
      </c>
      <c r="J855">
        <v>0.28000000000000003</v>
      </c>
      <c r="K855">
        <f>Append1[[#This Row],[temp]]*100</f>
        <v>28.000000000000004</v>
      </c>
      <c r="L855">
        <v>0.31819999999999998</v>
      </c>
      <c r="M855">
        <v>0.87</v>
      </c>
      <c r="N855">
        <v>0</v>
      </c>
      <c r="O855">
        <v>4</v>
      </c>
      <c r="P855">
        <v>6</v>
      </c>
      <c r="Q855">
        <v>10</v>
      </c>
      <c r="R855" s="12" t="str">
        <f t="shared" si="65"/>
        <v>Mist/Cloudy</v>
      </c>
      <c r="S855" s="14" t="str">
        <f t="shared" si="66"/>
        <v>Winter</v>
      </c>
      <c r="T855" s="15" t="str">
        <f t="shared" si="67"/>
        <v>Tuesday</v>
      </c>
      <c r="U855" t="str">
        <f t="shared" si="68"/>
        <v>February</v>
      </c>
      <c r="V855" s="16" t="str">
        <f t="shared" si="69"/>
        <v>MODERATE</v>
      </c>
    </row>
    <row r="856" spans="1:22" x14ac:dyDescent="0.3">
      <c r="A856">
        <v>855</v>
      </c>
      <c r="B856" s="1">
        <v>40582</v>
      </c>
      <c r="C856">
        <v>1</v>
      </c>
      <c r="D856">
        <v>0</v>
      </c>
      <c r="E856">
        <v>2</v>
      </c>
      <c r="F856">
        <v>1</v>
      </c>
      <c r="G856" t="b">
        <f>IF(COUNTIF(AB$4:AB$20,Append1[[#This Row],[dteday]]) &gt; 0, TRUE, FALSE)</f>
        <v>0</v>
      </c>
      <c r="H856">
        <v>2</v>
      </c>
      <c r="I856">
        <v>2</v>
      </c>
      <c r="J856">
        <v>0.28000000000000003</v>
      </c>
      <c r="K856">
        <f>Append1[[#This Row],[temp]]*100</f>
        <v>28.000000000000004</v>
      </c>
      <c r="L856">
        <v>0.31819999999999998</v>
      </c>
      <c r="M856">
        <v>0.87</v>
      </c>
      <c r="N856">
        <v>0</v>
      </c>
      <c r="O856">
        <v>0</v>
      </c>
      <c r="P856">
        <v>4</v>
      </c>
      <c r="Q856">
        <v>4</v>
      </c>
      <c r="R856" s="12" t="str">
        <f t="shared" si="65"/>
        <v>Mist/Cloudy</v>
      </c>
      <c r="S856" s="14" t="str">
        <f t="shared" si="66"/>
        <v>Winter</v>
      </c>
      <c r="T856" s="15" t="str">
        <f t="shared" si="67"/>
        <v>Tuesday</v>
      </c>
      <c r="U856" t="str">
        <f t="shared" si="68"/>
        <v>February</v>
      </c>
      <c r="V856" s="16" t="str">
        <f t="shared" si="69"/>
        <v>MODERATE</v>
      </c>
    </row>
    <row r="857" spans="1:22" x14ac:dyDescent="0.3">
      <c r="A857">
        <v>856</v>
      </c>
      <c r="B857" s="1">
        <v>40582</v>
      </c>
      <c r="C857">
        <v>1</v>
      </c>
      <c r="D857">
        <v>0</v>
      </c>
      <c r="E857">
        <v>2</v>
      </c>
      <c r="F857">
        <v>2</v>
      </c>
      <c r="G857" t="b">
        <f>IF(COUNTIF(AB$4:AB$20,Append1[[#This Row],[dteday]]) &gt; 0, TRUE, FALSE)</f>
        <v>0</v>
      </c>
      <c r="H857">
        <v>2</v>
      </c>
      <c r="I857">
        <v>2</v>
      </c>
      <c r="J857">
        <v>0.26</v>
      </c>
      <c r="K857">
        <f>Append1[[#This Row],[temp]]*100</f>
        <v>26</v>
      </c>
      <c r="L857">
        <v>0.2727</v>
      </c>
      <c r="M857">
        <v>0.93</v>
      </c>
      <c r="N857">
        <v>0.1045</v>
      </c>
      <c r="O857">
        <v>1</v>
      </c>
      <c r="P857">
        <v>1</v>
      </c>
      <c r="Q857">
        <v>2</v>
      </c>
      <c r="R857" s="12" t="str">
        <f t="shared" si="65"/>
        <v>Mist/Cloudy</v>
      </c>
      <c r="S857" s="14" t="str">
        <f t="shared" si="66"/>
        <v>Winter</v>
      </c>
      <c r="T857" s="15" t="str">
        <f t="shared" si="67"/>
        <v>Tuesday</v>
      </c>
      <c r="U857" t="str">
        <f t="shared" si="68"/>
        <v>February</v>
      </c>
      <c r="V857" s="16" t="str">
        <f t="shared" si="69"/>
        <v>MODERATE</v>
      </c>
    </row>
    <row r="858" spans="1:22" x14ac:dyDescent="0.3">
      <c r="A858">
        <v>857</v>
      </c>
      <c r="B858" s="1">
        <v>40582</v>
      </c>
      <c r="C858">
        <v>1</v>
      </c>
      <c r="D858">
        <v>0</v>
      </c>
      <c r="E858">
        <v>2</v>
      </c>
      <c r="F858">
        <v>3</v>
      </c>
      <c r="G858" t="b">
        <f>IF(COUNTIF(AB$4:AB$20,Append1[[#This Row],[dteday]]) &gt; 0, TRUE, FALSE)</f>
        <v>0</v>
      </c>
      <c r="H858">
        <v>2</v>
      </c>
      <c r="I858">
        <v>3</v>
      </c>
      <c r="J858">
        <v>0.28000000000000003</v>
      </c>
      <c r="K858">
        <f>Append1[[#This Row],[temp]]*100</f>
        <v>28.000000000000004</v>
      </c>
      <c r="L858">
        <v>0.2727</v>
      </c>
      <c r="M858">
        <v>0.93</v>
      </c>
      <c r="N858">
        <v>0.16420000000000001</v>
      </c>
      <c r="O858">
        <v>0</v>
      </c>
      <c r="P858">
        <v>1</v>
      </c>
      <c r="Q858">
        <v>1</v>
      </c>
      <c r="R858" s="12" t="str">
        <f t="shared" si="65"/>
        <v>Light Rain/Snow</v>
      </c>
      <c r="S858" s="14" t="str">
        <f t="shared" si="66"/>
        <v>Winter</v>
      </c>
      <c r="T858" s="15" t="str">
        <f t="shared" si="67"/>
        <v>Tuesday</v>
      </c>
      <c r="U858" t="str">
        <f t="shared" si="68"/>
        <v>February</v>
      </c>
      <c r="V858" s="16" t="str">
        <f t="shared" si="69"/>
        <v>BAD</v>
      </c>
    </row>
    <row r="859" spans="1:22" x14ac:dyDescent="0.3">
      <c r="A859">
        <v>858</v>
      </c>
      <c r="B859" s="1">
        <v>40582</v>
      </c>
      <c r="C859">
        <v>1</v>
      </c>
      <c r="D859">
        <v>0</v>
      </c>
      <c r="E859">
        <v>2</v>
      </c>
      <c r="F859">
        <v>4</v>
      </c>
      <c r="G859" t="b">
        <f>IF(COUNTIF(AB$4:AB$20,Append1[[#This Row],[dteday]]) &gt; 0, TRUE, FALSE)</f>
        <v>0</v>
      </c>
      <c r="H859">
        <v>2</v>
      </c>
      <c r="I859">
        <v>1</v>
      </c>
      <c r="J859">
        <v>0.26</v>
      </c>
      <c r="K859">
        <f>Append1[[#This Row],[temp]]*100</f>
        <v>26</v>
      </c>
      <c r="L859">
        <v>0.2576</v>
      </c>
      <c r="M859">
        <v>0.93</v>
      </c>
      <c r="N859">
        <v>0.16420000000000001</v>
      </c>
      <c r="O859">
        <v>0</v>
      </c>
      <c r="P859">
        <v>3</v>
      </c>
      <c r="Q859">
        <v>3</v>
      </c>
      <c r="R859" s="12" t="str">
        <f t="shared" si="65"/>
        <v>Clear/Few Clouds</v>
      </c>
      <c r="S859" s="14" t="str">
        <f t="shared" si="66"/>
        <v>Winter</v>
      </c>
      <c r="T859" s="15" t="str">
        <f t="shared" si="67"/>
        <v>Tuesday</v>
      </c>
      <c r="U859" t="str">
        <f t="shared" si="68"/>
        <v>February</v>
      </c>
      <c r="V859" s="16" t="str">
        <f t="shared" si="69"/>
        <v>GOOD</v>
      </c>
    </row>
    <row r="860" spans="1:22" x14ac:dyDescent="0.3">
      <c r="A860">
        <v>859</v>
      </c>
      <c r="B860" s="1">
        <v>40582</v>
      </c>
      <c r="C860">
        <v>1</v>
      </c>
      <c r="D860">
        <v>0</v>
      </c>
      <c r="E860">
        <v>2</v>
      </c>
      <c r="F860">
        <v>5</v>
      </c>
      <c r="G860" t="b">
        <f>IF(COUNTIF(AB$4:AB$20,Append1[[#This Row],[dteday]]) &gt; 0, TRUE, FALSE)</f>
        <v>0</v>
      </c>
      <c r="H860">
        <v>2</v>
      </c>
      <c r="I860">
        <v>1</v>
      </c>
      <c r="J860">
        <v>0.26</v>
      </c>
      <c r="K860">
        <f>Append1[[#This Row],[temp]]*100</f>
        <v>26</v>
      </c>
      <c r="L860">
        <v>0.2273</v>
      </c>
      <c r="M860">
        <v>0.81</v>
      </c>
      <c r="N860">
        <v>0.32840000000000003</v>
      </c>
      <c r="O860">
        <v>0</v>
      </c>
      <c r="P860">
        <v>2</v>
      </c>
      <c r="Q860">
        <v>2</v>
      </c>
      <c r="R860" s="12" t="str">
        <f t="shared" si="65"/>
        <v>Clear/Few Clouds</v>
      </c>
      <c r="S860" s="14" t="str">
        <f t="shared" si="66"/>
        <v>Winter</v>
      </c>
      <c r="T860" s="15" t="str">
        <f t="shared" si="67"/>
        <v>Tuesday</v>
      </c>
      <c r="U860" t="str">
        <f t="shared" si="68"/>
        <v>February</v>
      </c>
      <c r="V860" s="16" t="str">
        <f t="shared" si="69"/>
        <v>GOOD</v>
      </c>
    </row>
    <row r="861" spans="1:22" x14ac:dyDescent="0.3">
      <c r="A861">
        <v>860</v>
      </c>
      <c r="B861" s="1">
        <v>40582</v>
      </c>
      <c r="C861">
        <v>1</v>
      </c>
      <c r="D861">
        <v>0</v>
      </c>
      <c r="E861">
        <v>2</v>
      </c>
      <c r="F861">
        <v>6</v>
      </c>
      <c r="G861" t="b">
        <f>IF(COUNTIF(AB$4:AB$20,Append1[[#This Row],[dteday]]) &gt; 0, TRUE, FALSE)</f>
        <v>0</v>
      </c>
      <c r="H861">
        <v>2</v>
      </c>
      <c r="I861">
        <v>1</v>
      </c>
      <c r="J861">
        <v>0.26</v>
      </c>
      <c r="K861">
        <f>Append1[[#This Row],[temp]]*100</f>
        <v>26</v>
      </c>
      <c r="L861">
        <v>0.2273</v>
      </c>
      <c r="M861">
        <v>0.7</v>
      </c>
      <c r="N861">
        <v>0.32840000000000003</v>
      </c>
      <c r="O861">
        <v>0</v>
      </c>
      <c r="P861">
        <v>39</v>
      </c>
      <c r="Q861">
        <v>39</v>
      </c>
      <c r="R861" s="12" t="str">
        <f t="shared" si="65"/>
        <v>Clear/Few Clouds</v>
      </c>
      <c r="S861" s="14" t="str">
        <f t="shared" si="66"/>
        <v>Winter</v>
      </c>
      <c r="T861" s="15" t="str">
        <f t="shared" si="67"/>
        <v>Tuesday</v>
      </c>
      <c r="U861" t="str">
        <f t="shared" si="68"/>
        <v>February</v>
      </c>
      <c r="V861" s="16" t="str">
        <f t="shared" si="69"/>
        <v>GOOD</v>
      </c>
    </row>
    <row r="862" spans="1:22" x14ac:dyDescent="0.3">
      <c r="A862">
        <v>861</v>
      </c>
      <c r="B862" s="1">
        <v>40582</v>
      </c>
      <c r="C862">
        <v>1</v>
      </c>
      <c r="D862">
        <v>0</v>
      </c>
      <c r="E862">
        <v>2</v>
      </c>
      <c r="F862">
        <v>7</v>
      </c>
      <c r="G862" t="b">
        <f>IF(COUNTIF(AB$4:AB$20,Append1[[#This Row],[dteday]]) &gt; 0, TRUE, FALSE)</f>
        <v>0</v>
      </c>
      <c r="H862">
        <v>2</v>
      </c>
      <c r="I862">
        <v>1</v>
      </c>
      <c r="J862">
        <v>0.24</v>
      </c>
      <c r="K862">
        <f>Append1[[#This Row],[temp]]*100</f>
        <v>24</v>
      </c>
      <c r="L862">
        <v>0.19700000000000001</v>
      </c>
      <c r="M862">
        <v>0.65</v>
      </c>
      <c r="N862">
        <v>0.41789999999999999</v>
      </c>
      <c r="O862">
        <v>3</v>
      </c>
      <c r="P862">
        <v>97</v>
      </c>
      <c r="Q862">
        <v>100</v>
      </c>
      <c r="R862" s="12" t="str">
        <f t="shared" si="65"/>
        <v>Clear/Few Clouds</v>
      </c>
      <c r="S862" s="14" t="str">
        <f t="shared" si="66"/>
        <v>Winter</v>
      </c>
      <c r="T862" s="15" t="str">
        <f t="shared" si="67"/>
        <v>Tuesday</v>
      </c>
      <c r="U862" t="str">
        <f t="shared" si="68"/>
        <v>February</v>
      </c>
      <c r="V862" s="16" t="str">
        <f t="shared" si="69"/>
        <v>GOOD</v>
      </c>
    </row>
    <row r="863" spans="1:22" x14ac:dyDescent="0.3">
      <c r="A863">
        <v>862</v>
      </c>
      <c r="B863" s="1">
        <v>40582</v>
      </c>
      <c r="C863">
        <v>1</v>
      </c>
      <c r="D863">
        <v>0</v>
      </c>
      <c r="E863">
        <v>2</v>
      </c>
      <c r="F863">
        <v>8</v>
      </c>
      <c r="G863" t="b">
        <f>IF(COUNTIF(AB$4:AB$20,Append1[[#This Row],[dteday]]) &gt; 0, TRUE, FALSE)</f>
        <v>0</v>
      </c>
      <c r="H863">
        <v>2</v>
      </c>
      <c r="I863">
        <v>1</v>
      </c>
      <c r="J863">
        <v>0.24</v>
      </c>
      <c r="K863">
        <f>Append1[[#This Row],[temp]]*100</f>
        <v>24</v>
      </c>
      <c r="L863">
        <v>0.19700000000000001</v>
      </c>
      <c r="M863">
        <v>0.56000000000000005</v>
      </c>
      <c r="N863">
        <v>0.49249999999999999</v>
      </c>
      <c r="O863">
        <v>7</v>
      </c>
      <c r="P863">
        <v>236</v>
      </c>
      <c r="Q863">
        <v>243</v>
      </c>
      <c r="R863" s="12" t="str">
        <f t="shared" si="65"/>
        <v>Clear/Few Clouds</v>
      </c>
      <c r="S863" s="14" t="str">
        <f t="shared" si="66"/>
        <v>Winter</v>
      </c>
      <c r="T863" s="15" t="str">
        <f t="shared" si="67"/>
        <v>Tuesday</v>
      </c>
      <c r="U863" t="str">
        <f t="shared" si="68"/>
        <v>February</v>
      </c>
      <c r="V863" s="16" t="str">
        <f t="shared" si="69"/>
        <v>GOOD</v>
      </c>
    </row>
    <row r="864" spans="1:22" x14ac:dyDescent="0.3">
      <c r="A864">
        <v>863</v>
      </c>
      <c r="B864" s="1">
        <v>40582</v>
      </c>
      <c r="C864">
        <v>1</v>
      </c>
      <c r="D864">
        <v>0</v>
      </c>
      <c r="E864">
        <v>2</v>
      </c>
      <c r="F864">
        <v>9</v>
      </c>
      <c r="G864" t="b">
        <f>IF(COUNTIF(AB$4:AB$20,Append1[[#This Row],[dteday]]) &gt; 0, TRUE, FALSE)</f>
        <v>0</v>
      </c>
      <c r="H864">
        <v>2</v>
      </c>
      <c r="I864">
        <v>1</v>
      </c>
      <c r="J864">
        <v>0.24</v>
      </c>
      <c r="K864">
        <f>Append1[[#This Row],[temp]]*100</f>
        <v>24</v>
      </c>
      <c r="L864">
        <v>0.19700000000000001</v>
      </c>
      <c r="M864">
        <v>0.52</v>
      </c>
      <c r="N864">
        <v>0.49249999999999999</v>
      </c>
      <c r="O864">
        <v>7</v>
      </c>
      <c r="P864">
        <v>128</v>
      </c>
      <c r="Q864">
        <v>135</v>
      </c>
      <c r="R864" s="12" t="str">
        <f t="shared" si="65"/>
        <v>Clear/Few Clouds</v>
      </c>
      <c r="S864" s="14" t="str">
        <f t="shared" si="66"/>
        <v>Winter</v>
      </c>
      <c r="T864" s="15" t="str">
        <f t="shared" si="67"/>
        <v>Tuesday</v>
      </c>
      <c r="U864" t="str">
        <f t="shared" si="68"/>
        <v>February</v>
      </c>
      <c r="V864" s="16" t="str">
        <f t="shared" si="69"/>
        <v>GOOD</v>
      </c>
    </row>
    <row r="865" spans="1:22" x14ac:dyDescent="0.3">
      <c r="A865">
        <v>864</v>
      </c>
      <c r="B865" s="1">
        <v>40582</v>
      </c>
      <c r="C865">
        <v>1</v>
      </c>
      <c r="D865">
        <v>0</v>
      </c>
      <c r="E865">
        <v>2</v>
      </c>
      <c r="F865">
        <v>10</v>
      </c>
      <c r="G865" t="b">
        <f>IF(COUNTIF(AB$4:AB$20,Append1[[#This Row],[dteday]]) &gt; 0, TRUE, FALSE)</f>
        <v>0</v>
      </c>
      <c r="H865">
        <v>2</v>
      </c>
      <c r="I865">
        <v>1</v>
      </c>
      <c r="J865">
        <v>0.22</v>
      </c>
      <c r="K865">
        <f>Append1[[#This Row],[temp]]*100</f>
        <v>22</v>
      </c>
      <c r="L865">
        <v>0.18179999999999999</v>
      </c>
      <c r="M865">
        <v>0.47</v>
      </c>
      <c r="N865">
        <v>0.55220000000000002</v>
      </c>
      <c r="O865">
        <v>4</v>
      </c>
      <c r="P865">
        <v>44</v>
      </c>
      <c r="Q865">
        <v>48</v>
      </c>
      <c r="R865" s="12" t="str">
        <f t="shared" si="65"/>
        <v>Clear/Few Clouds</v>
      </c>
      <c r="S865" s="14" t="str">
        <f t="shared" si="66"/>
        <v>Winter</v>
      </c>
      <c r="T865" s="15" t="str">
        <f t="shared" si="67"/>
        <v>Tuesday</v>
      </c>
      <c r="U865" t="str">
        <f t="shared" si="68"/>
        <v>February</v>
      </c>
      <c r="V865" s="16" t="str">
        <f t="shared" si="69"/>
        <v>GOOD</v>
      </c>
    </row>
    <row r="866" spans="1:22" x14ac:dyDescent="0.3">
      <c r="A866">
        <v>865</v>
      </c>
      <c r="B866" s="1">
        <v>40582</v>
      </c>
      <c r="C866">
        <v>1</v>
      </c>
      <c r="D866">
        <v>0</v>
      </c>
      <c r="E866">
        <v>2</v>
      </c>
      <c r="F866">
        <v>11</v>
      </c>
      <c r="G866" t="b">
        <f>IF(COUNTIF(AB$4:AB$20,Append1[[#This Row],[dteday]]) &gt; 0, TRUE, FALSE)</f>
        <v>0</v>
      </c>
      <c r="H866">
        <v>2</v>
      </c>
      <c r="I866">
        <v>1</v>
      </c>
      <c r="J866">
        <v>0.22</v>
      </c>
      <c r="K866">
        <f>Append1[[#This Row],[temp]]*100</f>
        <v>22</v>
      </c>
      <c r="L866">
        <v>0.18179999999999999</v>
      </c>
      <c r="M866">
        <v>0.47</v>
      </c>
      <c r="N866">
        <v>0.4627</v>
      </c>
      <c r="O866">
        <v>1</v>
      </c>
      <c r="P866">
        <v>49</v>
      </c>
      <c r="Q866">
        <v>50</v>
      </c>
      <c r="R866" s="12" t="str">
        <f t="shared" si="65"/>
        <v>Clear/Few Clouds</v>
      </c>
      <c r="S866" s="14" t="str">
        <f t="shared" si="66"/>
        <v>Winter</v>
      </c>
      <c r="T866" s="15" t="str">
        <f t="shared" si="67"/>
        <v>Tuesday</v>
      </c>
      <c r="U866" t="str">
        <f t="shared" si="68"/>
        <v>February</v>
      </c>
      <c r="V866" s="16" t="str">
        <f t="shared" si="69"/>
        <v>GOOD</v>
      </c>
    </row>
    <row r="867" spans="1:22" x14ac:dyDescent="0.3">
      <c r="A867">
        <v>866</v>
      </c>
      <c r="B867" s="1">
        <v>40582</v>
      </c>
      <c r="C867">
        <v>1</v>
      </c>
      <c r="D867">
        <v>0</v>
      </c>
      <c r="E867">
        <v>2</v>
      </c>
      <c r="F867">
        <v>12</v>
      </c>
      <c r="G867" t="b">
        <f>IF(COUNTIF(AB$4:AB$20,Append1[[#This Row],[dteday]]) &gt; 0, TRUE, FALSE)</f>
        <v>0</v>
      </c>
      <c r="H867">
        <v>2</v>
      </c>
      <c r="I867">
        <v>1</v>
      </c>
      <c r="J867">
        <v>0.24</v>
      </c>
      <c r="K867">
        <f>Append1[[#This Row],[temp]]*100</f>
        <v>24</v>
      </c>
      <c r="L867">
        <v>0.19700000000000001</v>
      </c>
      <c r="M867">
        <v>0.38</v>
      </c>
      <c r="N867">
        <v>0.49249999999999999</v>
      </c>
      <c r="O867">
        <v>2</v>
      </c>
      <c r="P867">
        <v>63</v>
      </c>
      <c r="Q867">
        <v>65</v>
      </c>
      <c r="R867" s="12" t="str">
        <f t="shared" si="65"/>
        <v>Clear/Few Clouds</v>
      </c>
      <c r="S867" s="14" t="str">
        <f t="shared" si="66"/>
        <v>Winter</v>
      </c>
      <c r="T867" s="15" t="str">
        <f t="shared" si="67"/>
        <v>Tuesday</v>
      </c>
      <c r="U867" t="str">
        <f t="shared" si="68"/>
        <v>February</v>
      </c>
      <c r="V867" s="16" t="str">
        <f t="shared" si="69"/>
        <v>GOOD</v>
      </c>
    </row>
    <row r="868" spans="1:22" x14ac:dyDescent="0.3">
      <c r="A868">
        <v>867</v>
      </c>
      <c r="B868" s="1">
        <v>40582</v>
      </c>
      <c r="C868">
        <v>1</v>
      </c>
      <c r="D868">
        <v>0</v>
      </c>
      <c r="E868">
        <v>2</v>
      </c>
      <c r="F868">
        <v>13</v>
      </c>
      <c r="G868" t="b">
        <f>IF(COUNTIF(AB$4:AB$20,Append1[[#This Row],[dteday]]) &gt; 0, TRUE, FALSE)</f>
        <v>0</v>
      </c>
      <c r="H868">
        <v>2</v>
      </c>
      <c r="I868">
        <v>2</v>
      </c>
      <c r="J868">
        <v>0.24</v>
      </c>
      <c r="K868">
        <f>Append1[[#This Row],[temp]]*100</f>
        <v>24</v>
      </c>
      <c r="L868">
        <v>0.19700000000000001</v>
      </c>
      <c r="M868">
        <v>0.32</v>
      </c>
      <c r="N868">
        <v>0.44779999999999998</v>
      </c>
      <c r="O868">
        <v>2</v>
      </c>
      <c r="P868">
        <v>48</v>
      </c>
      <c r="Q868">
        <v>50</v>
      </c>
      <c r="R868" s="12" t="str">
        <f t="shared" si="65"/>
        <v>Mist/Cloudy</v>
      </c>
      <c r="S868" s="14" t="str">
        <f t="shared" si="66"/>
        <v>Winter</v>
      </c>
      <c r="T868" s="15" t="str">
        <f t="shared" si="67"/>
        <v>Tuesday</v>
      </c>
      <c r="U868" t="str">
        <f t="shared" si="68"/>
        <v>February</v>
      </c>
      <c r="V868" s="16" t="str">
        <f t="shared" si="69"/>
        <v>MODERATE</v>
      </c>
    </row>
    <row r="869" spans="1:22" x14ac:dyDescent="0.3">
      <c r="A869">
        <v>868</v>
      </c>
      <c r="B869" s="1">
        <v>40582</v>
      </c>
      <c r="C869">
        <v>1</v>
      </c>
      <c r="D869">
        <v>0</v>
      </c>
      <c r="E869">
        <v>2</v>
      </c>
      <c r="F869">
        <v>14</v>
      </c>
      <c r="G869" t="b">
        <f>IF(COUNTIF(AB$4:AB$20,Append1[[#This Row],[dteday]]) &gt; 0, TRUE, FALSE)</f>
        <v>0</v>
      </c>
      <c r="H869">
        <v>2</v>
      </c>
      <c r="I869">
        <v>1</v>
      </c>
      <c r="J869">
        <v>0.22</v>
      </c>
      <c r="K869">
        <f>Append1[[#This Row],[temp]]*100</f>
        <v>22</v>
      </c>
      <c r="L869">
        <v>0.19700000000000001</v>
      </c>
      <c r="M869">
        <v>0.37</v>
      </c>
      <c r="N869">
        <v>0.41789999999999999</v>
      </c>
      <c r="O869">
        <v>3</v>
      </c>
      <c r="P869">
        <v>61</v>
      </c>
      <c r="Q869">
        <v>64</v>
      </c>
      <c r="R869" s="12" t="str">
        <f t="shared" si="65"/>
        <v>Clear/Few Clouds</v>
      </c>
      <c r="S869" s="14" t="str">
        <f t="shared" si="66"/>
        <v>Winter</v>
      </c>
      <c r="T869" s="15" t="str">
        <f t="shared" si="67"/>
        <v>Tuesday</v>
      </c>
      <c r="U869" t="str">
        <f t="shared" si="68"/>
        <v>February</v>
      </c>
      <c r="V869" s="16" t="str">
        <f t="shared" si="69"/>
        <v>GOOD</v>
      </c>
    </row>
    <row r="870" spans="1:22" x14ac:dyDescent="0.3">
      <c r="A870">
        <v>869</v>
      </c>
      <c r="B870" s="1">
        <v>40582</v>
      </c>
      <c r="C870">
        <v>1</v>
      </c>
      <c r="D870">
        <v>0</v>
      </c>
      <c r="E870">
        <v>2</v>
      </c>
      <c r="F870">
        <v>15</v>
      </c>
      <c r="G870" t="b">
        <f>IF(COUNTIF(AB$4:AB$20,Append1[[#This Row],[dteday]]) &gt; 0, TRUE, FALSE)</f>
        <v>0</v>
      </c>
      <c r="H870">
        <v>2</v>
      </c>
      <c r="I870">
        <v>1</v>
      </c>
      <c r="J870">
        <v>0.22</v>
      </c>
      <c r="K870">
        <f>Append1[[#This Row],[temp]]*100</f>
        <v>22</v>
      </c>
      <c r="L870">
        <v>0.19700000000000001</v>
      </c>
      <c r="M870">
        <v>0.35</v>
      </c>
      <c r="N870">
        <v>0.3881</v>
      </c>
      <c r="O870">
        <v>6</v>
      </c>
      <c r="P870">
        <v>45</v>
      </c>
      <c r="Q870">
        <v>51</v>
      </c>
      <c r="R870" s="12" t="str">
        <f t="shared" si="65"/>
        <v>Clear/Few Clouds</v>
      </c>
      <c r="S870" s="14" t="str">
        <f t="shared" si="66"/>
        <v>Winter</v>
      </c>
      <c r="T870" s="15" t="str">
        <f t="shared" si="67"/>
        <v>Tuesday</v>
      </c>
      <c r="U870" t="str">
        <f t="shared" si="68"/>
        <v>February</v>
      </c>
      <c r="V870" s="16" t="str">
        <f t="shared" si="69"/>
        <v>GOOD</v>
      </c>
    </row>
    <row r="871" spans="1:22" x14ac:dyDescent="0.3">
      <c r="A871">
        <v>870</v>
      </c>
      <c r="B871" s="1">
        <v>40582</v>
      </c>
      <c r="C871">
        <v>1</v>
      </c>
      <c r="D871">
        <v>0</v>
      </c>
      <c r="E871">
        <v>2</v>
      </c>
      <c r="F871">
        <v>16</v>
      </c>
      <c r="G871" t="b">
        <f>IF(COUNTIF(AB$4:AB$20,Append1[[#This Row],[dteday]]) &gt; 0, TRUE, FALSE)</f>
        <v>0</v>
      </c>
      <c r="H871">
        <v>2</v>
      </c>
      <c r="I871">
        <v>1</v>
      </c>
      <c r="J871">
        <v>0.22</v>
      </c>
      <c r="K871">
        <f>Append1[[#This Row],[temp]]*100</f>
        <v>22</v>
      </c>
      <c r="L871">
        <v>0.18179999999999999</v>
      </c>
      <c r="M871">
        <v>0.35</v>
      </c>
      <c r="N871">
        <v>0.52239999999999998</v>
      </c>
      <c r="O871">
        <v>4</v>
      </c>
      <c r="P871">
        <v>79</v>
      </c>
      <c r="Q871">
        <v>83</v>
      </c>
      <c r="R871" s="12" t="str">
        <f t="shared" si="65"/>
        <v>Clear/Few Clouds</v>
      </c>
      <c r="S871" s="14" t="str">
        <f t="shared" si="66"/>
        <v>Winter</v>
      </c>
      <c r="T871" s="15" t="str">
        <f t="shared" si="67"/>
        <v>Tuesday</v>
      </c>
      <c r="U871" t="str">
        <f t="shared" si="68"/>
        <v>February</v>
      </c>
      <c r="V871" s="16" t="str">
        <f t="shared" si="69"/>
        <v>GOOD</v>
      </c>
    </row>
    <row r="872" spans="1:22" x14ac:dyDescent="0.3">
      <c r="A872">
        <v>871</v>
      </c>
      <c r="B872" s="1">
        <v>40582</v>
      </c>
      <c r="C872">
        <v>1</v>
      </c>
      <c r="D872">
        <v>0</v>
      </c>
      <c r="E872">
        <v>2</v>
      </c>
      <c r="F872">
        <v>17</v>
      </c>
      <c r="G872" t="b">
        <f>IF(COUNTIF(AB$4:AB$20,Append1[[#This Row],[dteday]]) &gt; 0, TRUE, FALSE)</f>
        <v>0</v>
      </c>
      <c r="H872">
        <v>2</v>
      </c>
      <c r="I872">
        <v>1</v>
      </c>
      <c r="J872">
        <v>0.22</v>
      </c>
      <c r="K872">
        <f>Append1[[#This Row],[temp]]*100</f>
        <v>22</v>
      </c>
      <c r="L872">
        <v>0.18179999999999999</v>
      </c>
      <c r="M872">
        <v>0.32</v>
      </c>
      <c r="N872">
        <v>0.58209999999999995</v>
      </c>
      <c r="O872">
        <v>4</v>
      </c>
      <c r="P872">
        <v>172</v>
      </c>
      <c r="Q872">
        <v>176</v>
      </c>
      <c r="R872" s="12" t="str">
        <f t="shared" si="65"/>
        <v>Clear/Few Clouds</v>
      </c>
      <c r="S872" s="14" t="str">
        <f t="shared" si="66"/>
        <v>Winter</v>
      </c>
      <c r="T872" s="15" t="str">
        <f t="shared" si="67"/>
        <v>Tuesday</v>
      </c>
      <c r="U872" t="str">
        <f t="shared" si="68"/>
        <v>February</v>
      </c>
      <c r="V872" s="16" t="str">
        <f t="shared" si="69"/>
        <v>GOOD</v>
      </c>
    </row>
    <row r="873" spans="1:22" x14ac:dyDescent="0.3">
      <c r="A873">
        <v>872</v>
      </c>
      <c r="B873" s="1">
        <v>40582</v>
      </c>
      <c r="C873">
        <v>1</v>
      </c>
      <c r="D873">
        <v>0</v>
      </c>
      <c r="E873">
        <v>2</v>
      </c>
      <c r="F873">
        <v>18</v>
      </c>
      <c r="G873" t="b">
        <f>IF(COUNTIF(AB$4:AB$20,Append1[[#This Row],[dteday]]) &gt; 0, TRUE, FALSE)</f>
        <v>0</v>
      </c>
      <c r="H873">
        <v>2</v>
      </c>
      <c r="I873">
        <v>1</v>
      </c>
      <c r="J873">
        <v>0.2</v>
      </c>
      <c r="K873">
        <f>Append1[[#This Row],[temp]]*100</f>
        <v>20</v>
      </c>
      <c r="L873">
        <v>0.18179999999999999</v>
      </c>
      <c r="M873">
        <v>0.32</v>
      </c>
      <c r="N873">
        <v>0.3881</v>
      </c>
      <c r="O873">
        <v>1</v>
      </c>
      <c r="P873">
        <v>151</v>
      </c>
      <c r="Q873">
        <v>152</v>
      </c>
      <c r="R873" s="12" t="str">
        <f t="shared" si="65"/>
        <v>Clear/Few Clouds</v>
      </c>
      <c r="S873" s="14" t="str">
        <f t="shared" si="66"/>
        <v>Winter</v>
      </c>
      <c r="T873" s="15" t="str">
        <f t="shared" si="67"/>
        <v>Tuesday</v>
      </c>
      <c r="U873" t="str">
        <f t="shared" si="68"/>
        <v>February</v>
      </c>
      <c r="V873" s="16" t="str">
        <f t="shared" si="69"/>
        <v>GOOD</v>
      </c>
    </row>
    <row r="874" spans="1:22" x14ac:dyDescent="0.3">
      <c r="A874">
        <v>873</v>
      </c>
      <c r="B874" s="1">
        <v>40582</v>
      </c>
      <c r="C874">
        <v>1</v>
      </c>
      <c r="D874">
        <v>0</v>
      </c>
      <c r="E874">
        <v>2</v>
      </c>
      <c r="F874">
        <v>19</v>
      </c>
      <c r="G874" t="b">
        <f>IF(COUNTIF(AB$4:AB$20,Append1[[#This Row],[dteday]]) &gt; 0, TRUE, FALSE)</f>
        <v>0</v>
      </c>
      <c r="H874">
        <v>2</v>
      </c>
      <c r="I874">
        <v>1</v>
      </c>
      <c r="J874">
        <v>0.16</v>
      </c>
      <c r="K874">
        <f>Append1[[#This Row],[temp]]*100</f>
        <v>16</v>
      </c>
      <c r="L874">
        <v>0.1212</v>
      </c>
      <c r="M874">
        <v>0.4</v>
      </c>
      <c r="N874">
        <v>0.4627</v>
      </c>
      <c r="O874">
        <v>1</v>
      </c>
      <c r="P874">
        <v>100</v>
      </c>
      <c r="Q874">
        <v>101</v>
      </c>
      <c r="R874" s="12" t="str">
        <f t="shared" si="65"/>
        <v>Clear/Few Clouds</v>
      </c>
      <c r="S874" s="14" t="str">
        <f t="shared" si="66"/>
        <v>Winter</v>
      </c>
      <c r="T874" s="15" t="str">
        <f t="shared" si="67"/>
        <v>Tuesday</v>
      </c>
      <c r="U874" t="str">
        <f t="shared" si="68"/>
        <v>February</v>
      </c>
      <c r="V874" s="16" t="str">
        <f t="shared" si="69"/>
        <v>GOOD</v>
      </c>
    </row>
    <row r="875" spans="1:22" x14ac:dyDescent="0.3">
      <c r="A875">
        <v>874</v>
      </c>
      <c r="B875" s="1">
        <v>40582</v>
      </c>
      <c r="C875">
        <v>1</v>
      </c>
      <c r="D875">
        <v>0</v>
      </c>
      <c r="E875">
        <v>2</v>
      </c>
      <c r="F875">
        <v>20</v>
      </c>
      <c r="G875" t="b">
        <f>IF(COUNTIF(AB$4:AB$20,Append1[[#This Row],[dteday]]) &gt; 0, TRUE, FALSE)</f>
        <v>0</v>
      </c>
      <c r="H875">
        <v>2</v>
      </c>
      <c r="I875">
        <v>1</v>
      </c>
      <c r="J875">
        <v>0.16</v>
      </c>
      <c r="K875">
        <f>Append1[[#This Row],[temp]]*100</f>
        <v>16</v>
      </c>
      <c r="L875">
        <v>0.13639999999999999</v>
      </c>
      <c r="M875">
        <v>0.4</v>
      </c>
      <c r="N875">
        <v>0.32840000000000003</v>
      </c>
      <c r="O875">
        <v>3</v>
      </c>
      <c r="P875">
        <v>53</v>
      </c>
      <c r="Q875">
        <v>56</v>
      </c>
      <c r="R875" s="12" t="str">
        <f t="shared" si="65"/>
        <v>Clear/Few Clouds</v>
      </c>
      <c r="S875" s="14" t="str">
        <f t="shared" si="66"/>
        <v>Winter</v>
      </c>
      <c r="T875" s="15" t="str">
        <f t="shared" si="67"/>
        <v>Tuesday</v>
      </c>
      <c r="U875" t="str">
        <f t="shared" si="68"/>
        <v>February</v>
      </c>
      <c r="V875" s="16" t="str">
        <f t="shared" si="69"/>
        <v>GOOD</v>
      </c>
    </row>
    <row r="876" spans="1:22" x14ac:dyDescent="0.3">
      <c r="A876">
        <v>875</v>
      </c>
      <c r="B876" s="1">
        <v>40582</v>
      </c>
      <c r="C876">
        <v>1</v>
      </c>
      <c r="D876">
        <v>0</v>
      </c>
      <c r="E876">
        <v>2</v>
      </c>
      <c r="F876">
        <v>21</v>
      </c>
      <c r="G876" t="b">
        <f>IF(COUNTIF(AB$4:AB$20,Append1[[#This Row],[dteday]]) &gt; 0, TRUE, FALSE)</f>
        <v>0</v>
      </c>
      <c r="H876">
        <v>2</v>
      </c>
      <c r="I876">
        <v>1</v>
      </c>
      <c r="J876">
        <v>0.14000000000000001</v>
      </c>
      <c r="K876">
        <f>Append1[[#This Row],[temp]]*100</f>
        <v>14.000000000000002</v>
      </c>
      <c r="L876">
        <v>0.1061</v>
      </c>
      <c r="M876">
        <v>0.33</v>
      </c>
      <c r="N876">
        <v>0.4627</v>
      </c>
      <c r="O876">
        <v>8</v>
      </c>
      <c r="P876">
        <v>46</v>
      </c>
      <c r="Q876">
        <v>54</v>
      </c>
      <c r="R876" s="12" t="str">
        <f t="shared" si="65"/>
        <v>Clear/Few Clouds</v>
      </c>
      <c r="S876" s="14" t="str">
        <f t="shared" si="66"/>
        <v>Winter</v>
      </c>
      <c r="T876" s="15" t="str">
        <f t="shared" si="67"/>
        <v>Tuesday</v>
      </c>
      <c r="U876" t="str">
        <f t="shared" si="68"/>
        <v>February</v>
      </c>
      <c r="V876" s="16" t="str">
        <f t="shared" si="69"/>
        <v>GOOD</v>
      </c>
    </row>
    <row r="877" spans="1:22" x14ac:dyDescent="0.3">
      <c r="A877">
        <v>876</v>
      </c>
      <c r="B877" s="1">
        <v>40582</v>
      </c>
      <c r="C877">
        <v>1</v>
      </c>
      <c r="D877">
        <v>0</v>
      </c>
      <c r="E877">
        <v>2</v>
      </c>
      <c r="F877">
        <v>22</v>
      </c>
      <c r="G877" t="b">
        <f>IF(COUNTIF(AB$4:AB$20,Append1[[#This Row],[dteday]]) &gt; 0, TRUE, FALSE)</f>
        <v>0</v>
      </c>
      <c r="H877">
        <v>2</v>
      </c>
      <c r="I877">
        <v>1</v>
      </c>
      <c r="J877">
        <v>0.12</v>
      </c>
      <c r="K877">
        <f>Append1[[#This Row],[temp]]*100</f>
        <v>12</v>
      </c>
      <c r="L877">
        <v>0.1061</v>
      </c>
      <c r="M877">
        <v>0.33</v>
      </c>
      <c r="N877">
        <v>0.35820000000000002</v>
      </c>
      <c r="O877">
        <v>0</v>
      </c>
      <c r="P877">
        <v>29</v>
      </c>
      <c r="Q877">
        <v>29</v>
      </c>
      <c r="R877" s="12" t="str">
        <f t="shared" si="65"/>
        <v>Clear/Few Clouds</v>
      </c>
      <c r="S877" s="14" t="str">
        <f t="shared" si="66"/>
        <v>Winter</v>
      </c>
      <c r="T877" s="15" t="str">
        <f t="shared" si="67"/>
        <v>Tuesday</v>
      </c>
      <c r="U877" t="str">
        <f t="shared" si="68"/>
        <v>February</v>
      </c>
      <c r="V877" s="16" t="str">
        <f t="shared" si="69"/>
        <v>GOOD</v>
      </c>
    </row>
    <row r="878" spans="1:22" x14ac:dyDescent="0.3">
      <c r="A878">
        <v>877</v>
      </c>
      <c r="B878" s="1">
        <v>40582</v>
      </c>
      <c r="C878">
        <v>1</v>
      </c>
      <c r="D878">
        <v>0</v>
      </c>
      <c r="E878">
        <v>2</v>
      </c>
      <c r="F878">
        <v>23</v>
      </c>
      <c r="G878" t="b">
        <f>IF(COUNTIF(AB$4:AB$20,Append1[[#This Row],[dteday]]) &gt; 0, TRUE, FALSE)</f>
        <v>0</v>
      </c>
      <c r="H878">
        <v>2</v>
      </c>
      <c r="I878">
        <v>1</v>
      </c>
      <c r="J878">
        <v>0.12</v>
      </c>
      <c r="K878">
        <f>Append1[[#This Row],[temp]]*100</f>
        <v>12</v>
      </c>
      <c r="L878">
        <v>0.1061</v>
      </c>
      <c r="M878">
        <v>0.33</v>
      </c>
      <c r="N878">
        <v>0.32840000000000003</v>
      </c>
      <c r="O878">
        <v>3</v>
      </c>
      <c r="P878">
        <v>9</v>
      </c>
      <c r="Q878">
        <v>12</v>
      </c>
      <c r="R878" s="12" t="str">
        <f t="shared" si="65"/>
        <v>Clear/Few Clouds</v>
      </c>
      <c r="S878" s="14" t="str">
        <f t="shared" si="66"/>
        <v>Winter</v>
      </c>
      <c r="T878" s="15" t="str">
        <f t="shared" si="67"/>
        <v>Tuesday</v>
      </c>
      <c r="U878" t="str">
        <f t="shared" si="68"/>
        <v>February</v>
      </c>
      <c r="V878" s="16" t="str">
        <f t="shared" si="69"/>
        <v>GOOD</v>
      </c>
    </row>
    <row r="879" spans="1:22" x14ac:dyDescent="0.3">
      <c r="A879">
        <v>878</v>
      </c>
      <c r="B879" s="1">
        <v>40583</v>
      </c>
      <c r="C879">
        <v>1</v>
      </c>
      <c r="D879">
        <v>0</v>
      </c>
      <c r="E879">
        <v>2</v>
      </c>
      <c r="F879">
        <v>0</v>
      </c>
      <c r="G879" t="b">
        <f>IF(COUNTIF(AB$4:AB$20,Append1[[#This Row],[dteday]]) &gt; 0, TRUE, FALSE)</f>
        <v>0</v>
      </c>
      <c r="H879">
        <v>3</v>
      </c>
      <c r="I879">
        <v>1</v>
      </c>
      <c r="J879">
        <v>0.1</v>
      </c>
      <c r="K879">
        <f>Append1[[#This Row],[temp]]*100</f>
        <v>10</v>
      </c>
      <c r="L879">
        <v>7.5800000000000006E-2</v>
      </c>
      <c r="M879">
        <v>0.36</v>
      </c>
      <c r="N879">
        <v>0.35820000000000002</v>
      </c>
      <c r="O879">
        <v>0</v>
      </c>
      <c r="P879">
        <v>17</v>
      </c>
      <c r="Q879">
        <v>17</v>
      </c>
      <c r="R879" s="12" t="str">
        <f t="shared" si="65"/>
        <v>Clear/Few Clouds</v>
      </c>
      <c r="S879" s="14" t="str">
        <f t="shared" si="66"/>
        <v>Winter</v>
      </c>
      <c r="T879" s="15" t="str">
        <f t="shared" si="67"/>
        <v>Wednesday</v>
      </c>
      <c r="U879" t="str">
        <f t="shared" si="68"/>
        <v>February</v>
      </c>
      <c r="V879" s="16" t="str">
        <f t="shared" si="69"/>
        <v>GOOD</v>
      </c>
    </row>
    <row r="880" spans="1:22" x14ac:dyDescent="0.3">
      <c r="A880">
        <v>879</v>
      </c>
      <c r="B880" s="1">
        <v>40583</v>
      </c>
      <c r="C880">
        <v>1</v>
      </c>
      <c r="D880">
        <v>0</v>
      </c>
      <c r="E880">
        <v>2</v>
      </c>
      <c r="F880">
        <v>1</v>
      </c>
      <c r="G880" t="b">
        <f>IF(COUNTIF(AB$4:AB$20,Append1[[#This Row],[dteday]]) &gt; 0, TRUE, FALSE)</f>
        <v>0</v>
      </c>
      <c r="H880">
        <v>3</v>
      </c>
      <c r="I880">
        <v>1</v>
      </c>
      <c r="J880">
        <v>0.1</v>
      </c>
      <c r="K880">
        <f>Append1[[#This Row],[temp]]*100</f>
        <v>10</v>
      </c>
      <c r="L880">
        <v>0.1061</v>
      </c>
      <c r="M880">
        <v>0.36</v>
      </c>
      <c r="N880">
        <v>0.22389999999999999</v>
      </c>
      <c r="O880">
        <v>0</v>
      </c>
      <c r="P880">
        <v>7</v>
      </c>
      <c r="Q880">
        <v>7</v>
      </c>
      <c r="R880" s="12" t="str">
        <f t="shared" si="65"/>
        <v>Clear/Few Clouds</v>
      </c>
      <c r="S880" s="14" t="str">
        <f t="shared" si="66"/>
        <v>Winter</v>
      </c>
      <c r="T880" s="15" t="str">
        <f t="shared" si="67"/>
        <v>Wednesday</v>
      </c>
      <c r="U880" t="str">
        <f t="shared" si="68"/>
        <v>February</v>
      </c>
      <c r="V880" s="16" t="str">
        <f t="shared" si="69"/>
        <v>GOOD</v>
      </c>
    </row>
    <row r="881" spans="1:22" x14ac:dyDescent="0.3">
      <c r="A881">
        <v>880</v>
      </c>
      <c r="B881" s="1">
        <v>40583</v>
      </c>
      <c r="C881">
        <v>1</v>
      </c>
      <c r="D881">
        <v>0</v>
      </c>
      <c r="E881">
        <v>2</v>
      </c>
      <c r="F881">
        <v>2</v>
      </c>
      <c r="G881" t="b">
        <f>IF(COUNTIF(AB$4:AB$20,Append1[[#This Row],[dteday]]) &gt; 0, TRUE, FALSE)</f>
        <v>0</v>
      </c>
      <c r="H881">
        <v>3</v>
      </c>
      <c r="I881">
        <v>1</v>
      </c>
      <c r="J881">
        <v>0.08</v>
      </c>
      <c r="K881">
        <f>Append1[[#This Row],[temp]]*100</f>
        <v>8</v>
      </c>
      <c r="L881">
        <v>7.5800000000000006E-2</v>
      </c>
      <c r="M881">
        <v>0.38</v>
      </c>
      <c r="N881">
        <v>0.28360000000000002</v>
      </c>
      <c r="O881">
        <v>1</v>
      </c>
      <c r="P881">
        <v>2</v>
      </c>
      <c r="Q881">
        <v>3</v>
      </c>
      <c r="R881" s="12" t="str">
        <f t="shared" si="65"/>
        <v>Clear/Few Clouds</v>
      </c>
      <c r="S881" s="14" t="str">
        <f t="shared" si="66"/>
        <v>Winter</v>
      </c>
      <c r="T881" s="15" t="str">
        <f t="shared" si="67"/>
        <v>Wednesday</v>
      </c>
      <c r="U881" t="str">
        <f t="shared" si="68"/>
        <v>February</v>
      </c>
      <c r="V881" s="16" t="str">
        <f t="shared" si="69"/>
        <v>GOOD</v>
      </c>
    </row>
    <row r="882" spans="1:22" x14ac:dyDescent="0.3">
      <c r="A882">
        <v>881</v>
      </c>
      <c r="B882" s="1">
        <v>40583</v>
      </c>
      <c r="C882">
        <v>1</v>
      </c>
      <c r="D882">
        <v>0</v>
      </c>
      <c r="E882">
        <v>2</v>
      </c>
      <c r="F882">
        <v>3</v>
      </c>
      <c r="G882" t="b">
        <f>IF(COUNTIF(AB$4:AB$20,Append1[[#This Row],[dteday]]) &gt; 0, TRUE, FALSE)</f>
        <v>0</v>
      </c>
      <c r="H882">
        <v>3</v>
      </c>
      <c r="I882">
        <v>1</v>
      </c>
      <c r="J882">
        <v>0.06</v>
      </c>
      <c r="K882">
        <f>Append1[[#This Row],[temp]]*100</f>
        <v>6</v>
      </c>
      <c r="L882">
        <v>7.5800000000000006E-2</v>
      </c>
      <c r="M882">
        <v>0.45</v>
      </c>
      <c r="N882">
        <v>0.1343</v>
      </c>
      <c r="O882">
        <v>0</v>
      </c>
      <c r="P882">
        <v>2</v>
      </c>
      <c r="Q882">
        <v>2</v>
      </c>
      <c r="R882" s="12" t="str">
        <f t="shared" si="65"/>
        <v>Clear/Few Clouds</v>
      </c>
      <c r="S882" s="14" t="str">
        <f t="shared" si="66"/>
        <v>Winter</v>
      </c>
      <c r="T882" s="15" t="str">
        <f t="shared" si="67"/>
        <v>Wednesday</v>
      </c>
      <c r="U882" t="str">
        <f t="shared" si="68"/>
        <v>February</v>
      </c>
      <c r="V882" s="16" t="str">
        <f t="shared" si="69"/>
        <v>GOOD</v>
      </c>
    </row>
    <row r="883" spans="1:22" x14ac:dyDescent="0.3">
      <c r="A883">
        <v>882</v>
      </c>
      <c r="B883" s="1">
        <v>40583</v>
      </c>
      <c r="C883">
        <v>1</v>
      </c>
      <c r="D883">
        <v>0</v>
      </c>
      <c r="E883">
        <v>2</v>
      </c>
      <c r="F883">
        <v>5</v>
      </c>
      <c r="G883" t="b">
        <f>IF(COUNTIF(AB$4:AB$20,Append1[[#This Row],[dteday]]) &gt; 0, TRUE, FALSE)</f>
        <v>0</v>
      </c>
      <c r="H883">
        <v>3</v>
      </c>
      <c r="I883">
        <v>1</v>
      </c>
      <c r="J883">
        <v>0.06</v>
      </c>
      <c r="K883">
        <f>Append1[[#This Row],[temp]]*100</f>
        <v>6</v>
      </c>
      <c r="L883">
        <v>0.1061</v>
      </c>
      <c r="M883">
        <v>0.45</v>
      </c>
      <c r="N883">
        <v>0.1045</v>
      </c>
      <c r="O883">
        <v>0</v>
      </c>
      <c r="P883">
        <v>7</v>
      </c>
      <c r="Q883">
        <v>7</v>
      </c>
      <c r="R883" s="12" t="str">
        <f t="shared" si="65"/>
        <v>Clear/Few Clouds</v>
      </c>
      <c r="S883" s="14" t="str">
        <f t="shared" si="66"/>
        <v>Winter</v>
      </c>
      <c r="T883" s="15" t="str">
        <f t="shared" si="67"/>
        <v>Wednesday</v>
      </c>
      <c r="U883" t="str">
        <f t="shared" si="68"/>
        <v>February</v>
      </c>
      <c r="V883" s="16" t="str">
        <f t="shared" si="69"/>
        <v>GOOD</v>
      </c>
    </row>
    <row r="884" spans="1:22" x14ac:dyDescent="0.3">
      <c r="A884">
        <v>883</v>
      </c>
      <c r="B884" s="1">
        <v>40583</v>
      </c>
      <c r="C884">
        <v>1</v>
      </c>
      <c r="D884">
        <v>0</v>
      </c>
      <c r="E884">
        <v>2</v>
      </c>
      <c r="F884">
        <v>6</v>
      </c>
      <c r="G884" t="b">
        <f>IF(COUNTIF(AB$4:AB$20,Append1[[#This Row],[dteday]]) &gt; 0, TRUE, FALSE)</f>
        <v>0</v>
      </c>
      <c r="H884">
        <v>3</v>
      </c>
      <c r="I884">
        <v>1</v>
      </c>
      <c r="J884">
        <v>0.06</v>
      </c>
      <c r="K884">
        <f>Append1[[#This Row],[temp]]*100</f>
        <v>6</v>
      </c>
      <c r="L884">
        <v>0.1515</v>
      </c>
      <c r="M884">
        <v>0.45</v>
      </c>
      <c r="N884">
        <v>0</v>
      </c>
      <c r="O884">
        <v>0</v>
      </c>
      <c r="P884">
        <v>43</v>
      </c>
      <c r="Q884">
        <v>43</v>
      </c>
      <c r="R884" s="12" t="str">
        <f t="shared" si="65"/>
        <v>Clear/Few Clouds</v>
      </c>
      <c r="S884" s="14" t="str">
        <f t="shared" si="66"/>
        <v>Winter</v>
      </c>
      <c r="T884" s="15" t="str">
        <f t="shared" si="67"/>
        <v>Wednesday</v>
      </c>
      <c r="U884" t="str">
        <f t="shared" si="68"/>
        <v>February</v>
      </c>
      <c r="V884" s="16" t="str">
        <f t="shared" si="69"/>
        <v>GOOD</v>
      </c>
    </row>
    <row r="885" spans="1:22" x14ac:dyDescent="0.3">
      <c r="A885">
        <v>884</v>
      </c>
      <c r="B885" s="1">
        <v>40583</v>
      </c>
      <c r="C885">
        <v>1</v>
      </c>
      <c r="D885">
        <v>0</v>
      </c>
      <c r="E885">
        <v>2</v>
      </c>
      <c r="F885">
        <v>7</v>
      </c>
      <c r="G885" t="b">
        <f>IF(COUNTIF(AB$4:AB$20,Append1[[#This Row],[dteday]]) &gt; 0, TRUE, FALSE)</f>
        <v>0</v>
      </c>
      <c r="H885">
        <v>3</v>
      </c>
      <c r="I885">
        <v>1</v>
      </c>
      <c r="J885">
        <v>0.06</v>
      </c>
      <c r="K885">
        <f>Append1[[#This Row],[temp]]*100</f>
        <v>6</v>
      </c>
      <c r="L885">
        <v>0.1061</v>
      </c>
      <c r="M885">
        <v>0.49</v>
      </c>
      <c r="N885">
        <v>0.1045</v>
      </c>
      <c r="O885">
        <v>4</v>
      </c>
      <c r="P885">
        <v>95</v>
      </c>
      <c r="Q885">
        <v>99</v>
      </c>
      <c r="R885" s="12" t="str">
        <f t="shared" si="65"/>
        <v>Clear/Few Clouds</v>
      </c>
      <c r="S885" s="14" t="str">
        <f t="shared" si="66"/>
        <v>Winter</v>
      </c>
      <c r="T885" s="15" t="str">
        <f t="shared" si="67"/>
        <v>Wednesday</v>
      </c>
      <c r="U885" t="str">
        <f t="shared" si="68"/>
        <v>February</v>
      </c>
      <c r="V885" s="16" t="str">
        <f t="shared" si="69"/>
        <v>GOOD</v>
      </c>
    </row>
    <row r="886" spans="1:22" x14ac:dyDescent="0.3">
      <c r="A886">
        <v>885</v>
      </c>
      <c r="B886" s="1">
        <v>40583</v>
      </c>
      <c r="C886">
        <v>1</v>
      </c>
      <c r="D886">
        <v>0</v>
      </c>
      <c r="E886">
        <v>2</v>
      </c>
      <c r="F886">
        <v>8</v>
      </c>
      <c r="G886" t="b">
        <f>IF(COUNTIF(AB$4:AB$20,Append1[[#This Row],[dteday]]) &gt; 0, TRUE, FALSE)</f>
        <v>0</v>
      </c>
      <c r="H886">
        <v>3</v>
      </c>
      <c r="I886">
        <v>1</v>
      </c>
      <c r="J886">
        <v>0.1</v>
      </c>
      <c r="K886">
        <f>Append1[[#This Row],[temp]]*100</f>
        <v>10</v>
      </c>
      <c r="L886">
        <v>0.13639999999999999</v>
      </c>
      <c r="M886">
        <v>0.42</v>
      </c>
      <c r="N886">
        <v>0</v>
      </c>
      <c r="O886">
        <v>1</v>
      </c>
      <c r="P886">
        <v>198</v>
      </c>
      <c r="Q886">
        <v>199</v>
      </c>
      <c r="R886" s="12" t="str">
        <f t="shared" si="65"/>
        <v>Clear/Few Clouds</v>
      </c>
      <c r="S886" s="14" t="str">
        <f t="shared" si="66"/>
        <v>Winter</v>
      </c>
      <c r="T886" s="15" t="str">
        <f t="shared" si="67"/>
        <v>Wednesday</v>
      </c>
      <c r="U886" t="str">
        <f t="shared" si="68"/>
        <v>February</v>
      </c>
      <c r="V886" s="16" t="str">
        <f t="shared" si="69"/>
        <v>GOOD</v>
      </c>
    </row>
    <row r="887" spans="1:22" x14ac:dyDescent="0.3">
      <c r="A887">
        <v>886</v>
      </c>
      <c r="B887" s="1">
        <v>40583</v>
      </c>
      <c r="C887">
        <v>1</v>
      </c>
      <c r="D887">
        <v>0</v>
      </c>
      <c r="E887">
        <v>2</v>
      </c>
      <c r="F887">
        <v>9</v>
      </c>
      <c r="G887" t="b">
        <f>IF(COUNTIF(AB$4:AB$20,Append1[[#This Row],[dteday]]) &gt; 0, TRUE, FALSE)</f>
        <v>0</v>
      </c>
      <c r="H887">
        <v>3</v>
      </c>
      <c r="I887">
        <v>1</v>
      </c>
      <c r="J887">
        <v>0.12</v>
      </c>
      <c r="K887">
        <f>Append1[[#This Row],[temp]]*100</f>
        <v>12</v>
      </c>
      <c r="L887">
        <v>0.13639999999999999</v>
      </c>
      <c r="M887">
        <v>0.39</v>
      </c>
      <c r="N887">
        <v>0.16420000000000001</v>
      </c>
      <c r="O887">
        <v>4</v>
      </c>
      <c r="P887">
        <v>119</v>
      </c>
      <c r="Q887">
        <v>123</v>
      </c>
      <c r="R887" s="12" t="str">
        <f t="shared" si="65"/>
        <v>Clear/Few Clouds</v>
      </c>
      <c r="S887" s="14" t="str">
        <f t="shared" si="66"/>
        <v>Winter</v>
      </c>
      <c r="T887" s="15" t="str">
        <f t="shared" si="67"/>
        <v>Wednesday</v>
      </c>
      <c r="U887" t="str">
        <f t="shared" si="68"/>
        <v>February</v>
      </c>
      <c r="V887" s="16" t="str">
        <f t="shared" si="69"/>
        <v>GOOD</v>
      </c>
    </row>
    <row r="888" spans="1:22" x14ac:dyDescent="0.3">
      <c r="A888">
        <v>887</v>
      </c>
      <c r="B888" s="1">
        <v>40583</v>
      </c>
      <c r="C888">
        <v>1</v>
      </c>
      <c r="D888">
        <v>0</v>
      </c>
      <c r="E888">
        <v>2</v>
      </c>
      <c r="F888">
        <v>10</v>
      </c>
      <c r="G888" t="b">
        <f>IF(COUNTIF(AB$4:AB$20,Append1[[#This Row],[dteday]]) &gt; 0, TRUE, FALSE)</f>
        <v>0</v>
      </c>
      <c r="H888">
        <v>3</v>
      </c>
      <c r="I888">
        <v>1</v>
      </c>
      <c r="J888">
        <v>0.14000000000000001</v>
      </c>
      <c r="K888">
        <f>Append1[[#This Row],[temp]]*100</f>
        <v>14.000000000000002</v>
      </c>
      <c r="L888">
        <v>0.18179999999999999</v>
      </c>
      <c r="M888">
        <v>0.36</v>
      </c>
      <c r="N888">
        <v>0</v>
      </c>
      <c r="O888">
        <v>8</v>
      </c>
      <c r="P888">
        <v>51</v>
      </c>
      <c r="Q888">
        <v>59</v>
      </c>
      <c r="R888" s="12" t="str">
        <f t="shared" si="65"/>
        <v>Clear/Few Clouds</v>
      </c>
      <c r="S888" s="14" t="str">
        <f t="shared" si="66"/>
        <v>Winter</v>
      </c>
      <c r="T888" s="15" t="str">
        <f t="shared" si="67"/>
        <v>Wednesday</v>
      </c>
      <c r="U888" t="str">
        <f t="shared" si="68"/>
        <v>February</v>
      </c>
      <c r="V888" s="16" t="str">
        <f t="shared" si="69"/>
        <v>GOOD</v>
      </c>
    </row>
    <row r="889" spans="1:22" x14ac:dyDescent="0.3">
      <c r="A889">
        <v>888</v>
      </c>
      <c r="B889" s="1">
        <v>40583</v>
      </c>
      <c r="C889">
        <v>1</v>
      </c>
      <c r="D889">
        <v>0</v>
      </c>
      <c r="E889">
        <v>2</v>
      </c>
      <c r="F889">
        <v>11</v>
      </c>
      <c r="G889" t="b">
        <f>IF(COUNTIF(AB$4:AB$20,Append1[[#This Row],[dteday]]) &gt; 0, TRUE, FALSE)</f>
        <v>0</v>
      </c>
      <c r="H889">
        <v>3</v>
      </c>
      <c r="I889">
        <v>2</v>
      </c>
      <c r="J889">
        <v>0.14000000000000001</v>
      </c>
      <c r="K889">
        <f>Append1[[#This Row],[temp]]*100</f>
        <v>14.000000000000002</v>
      </c>
      <c r="L889">
        <v>0.1515</v>
      </c>
      <c r="M889">
        <v>0.43</v>
      </c>
      <c r="N889">
        <v>0.16420000000000001</v>
      </c>
      <c r="O889">
        <v>1</v>
      </c>
      <c r="P889">
        <v>40</v>
      </c>
      <c r="Q889">
        <v>41</v>
      </c>
      <c r="R889" s="12" t="str">
        <f t="shared" si="65"/>
        <v>Mist/Cloudy</v>
      </c>
      <c r="S889" s="14" t="str">
        <f t="shared" si="66"/>
        <v>Winter</v>
      </c>
      <c r="T889" s="15" t="str">
        <f t="shared" si="67"/>
        <v>Wednesday</v>
      </c>
      <c r="U889" t="str">
        <f t="shared" si="68"/>
        <v>February</v>
      </c>
      <c r="V889" s="16" t="str">
        <f t="shared" si="69"/>
        <v>MODERATE</v>
      </c>
    </row>
    <row r="890" spans="1:22" x14ac:dyDescent="0.3">
      <c r="A890">
        <v>889</v>
      </c>
      <c r="B890" s="1">
        <v>40583</v>
      </c>
      <c r="C890">
        <v>1</v>
      </c>
      <c r="D890">
        <v>0</v>
      </c>
      <c r="E890">
        <v>2</v>
      </c>
      <c r="F890">
        <v>12</v>
      </c>
      <c r="G890" t="b">
        <f>IF(COUNTIF(AB$4:AB$20,Append1[[#This Row],[dteday]]) &gt; 0, TRUE, FALSE)</f>
        <v>0</v>
      </c>
      <c r="H890">
        <v>3</v>
      </c>
      <c r="I890">
        <v>2</v>
      </c>
      <c r="J890">
        <v>0.18</v>
      </c>
      <c r="K890">
        <f>Append1[[#This Row],[temp]]*100</f>
        <v>18</v>
      </c>
      <c r="L890">
        <v>0.18179999999999999</v>
      </c>
      <c r="M890">
        <v>0.4</v>
      </c>
      <c r="N890">
        <v>0.22389999999999999</v>
      </c>
      <c r="O890">
        <v>4</v>
      </c>
      <c r="P890">
        <v>57</v>
      </c>
      <c r="Q890">
        <v>61</v>
      </c>
      <c r="R890" s="12" t="str">
        <f t="shared" si="65"/>
        <v>Mist/Cloudy</v>
      </c>
      <c r="S890" s="14" t="str">
        <f t="shared" si="66"/>
        <v>Winter</v>
      </c>
      <c r="T890" s="15" t="str">
        <f t="shared" si="67"/>
        <v>Wednesday</v>
      </c>
      <c r="U890" t="str">
        <f t="shared" si="68"/>
        <v>February</v>
      </c>
      <c r="V890" s="16" t="str">
        <f t="shared" si="69"/>
        <v>MODERATE</v>
      </c>
    </row>
    <row r="891" spans="1:22" x14ac:dyDescent="0.3">
      <c r="A891">
        <v>890</v>
      </c>
      <c r="B891" s="1">
        <v>40583</v>
      </c>
      <c r="C891">
        <v>1</v>
      </c>
      <c r="D891">
        <v>0</v>
      </c>
      <c r="E891">
        <v>2</v>
      </c>
      <c r="F891">
        <v>13</v>
      </c>
      <c r="G891" t="b">
        <f>IF(COUNTIF(AB$4:AB$20,Append1[[#This Row],[dteday]]) &gt; 0, TRUE, FALSE)</f>
        <v>0</v>
      </c>
      <c r="H891">
        <v>3</v>
      </c>
      <c r="I891">
        <v>1</v>
      </c>
      <c r="J891">
        <v>0.18</v>
      </c>
      <c r="K891">
        <f>Append1[[#This Row],[temp]]*100</f>
        <v>18</v>
      </c>
      <c r="L891">
        <v>0.16669999999999999</v>
      </c>
      <c r="M891">
        <v>0.4</v>
      </c>
      <c r="N891">
        <v>0.25369999999999998</v>
      </c>
      <c r="O891">
        <v>2</v>
      </c>
      <c r="P891">
        <v>67</v>
      </c>
      <c r="Q891">
        <v>69</v>
      </c>
      <c r="R891" s="12" t="str">
        <f t="shared" si="65"/>
        <v>Clear/Few Clouds</v>
      </c>
      <c r="S891" s="14" t="str">
        <f t="shared" si="66"/>
        <v>Winter</v>
      </c>
      <c r="T891" s="15" t="str">
        <f t="shared" si="67"/>
        <v>Wednesday</v>
      </c>
      <c r="U891" t="str">
        <f t="shared" si="68"/>
        <v>February</v>
      </c>
      <c r="V891" s="16" t="str">
        <f t="shared" si="69"/>
        <v>GOOD</v>
      </c>
    </row>
    <row r="892" spans="1:22" x14ac:dyDescent="0.3">
      <c r="A892">
        <v>891</v>
      </c>
      <c r="B892" s="1">
        <v>40583</v>
      </c>
      <c r="C892">
        <v>1</v>
      </c>
      <c r="D892">
        <v>0</v>
      </c>
      <c r="E892">
        <v>2</v>
      </c>
      <c r="F892">
        <v>14</v>
      </c>
      <c r="G892" t="b">
        <f>IF(COUNTIF(AB$4:AB$20,Append1[[#This Row],[dteday]]) &gt; 0, TRUE, FALSE)</f>
        <v>0</v>
      </c>
      <c r="H892">
        <v>3</v>
      </c>
      <c r="I892">
        <v>1</v>
      </c>
      <c r="J892">
        <v>0.2</v>
      </c>
      <c r="K892">
        <f>Append1[[#This Row],[temp]]*100</f>
        <v>20</v>
      </c>
      <c r="L892">
        <v>0.18179999999999999</v>
      </c>
      <c r="M892">
        <v>0.34</v>
      </c>
      <c r="N892">
        <v>0.29849999999999999</v>
      </c>
      <c r="O892">
        <v>2</v>
      </c>
      <c r="P892">
        <v>56</v>
      </c>
      <c r="Q892">
        <v>58</v>
      </c>
      <c r="R892" s="12" t="str">
        <f t="shared" si="65"/>
        <v>Clear/Few Clouds</v>
      </c>
      <c r="S892" s="14" t="str">
        <f t="shared" si="66"/>
        <v>Winter</v>
      </c>
      <c r="T892" s="15" t="str">
        <f t="shared" si="67"/>
        <v>Wednesday</v>
      </c>
      <c r="U892" t="str">
        <f t="shared" si="68"/>
        <v>February</v>
      </c>
      <c r="V892" s="16" t="str">
        <f t="shared" si="69"/>
        <v>GOOD</v>
      </c>
    </row>
    <row r="893" spans="1:22" x14ac:dyDescent="0.3">
      <c r="A893">
        <v>892</v>
      </c>
      <c r="B893" s="1">
        <v>40583</v>
      </c>
      <c r="C893">
        <v>1</v>
      </c>
      <c r="D893">
        <v>0</v>
      </c>
      <c r="E893">
        <v>2</v>
      </c>
      <c r="F893">
        <v>15</v>
      </c>
      <c r="G893" t="b">
        <f>IF(COUNTIF(AB$4:AB$20,Append1[[#This Row],[dteday]]) &gt; 0, TRUE, FALSE)</f>
        <v>0</v>
      </c>
      <c r="H893">
        <v>3</v>
      </c>
      <c r="I893">
        <v>2</v>
      </c>
      <c r="J893">
        <v>0.2</v>
      </c>
      <c r="K893">
        <f>Append1[[#This Row],[temp]]*100</f>
        <v>20</v>
      </c>
      <c r="L893">
        <v>0.18179999999999999</v>
      </c>
      <c r="M893">
        <v>0.34</v>
      </c>
      <c r="N893">
        <v>0.28360000000000002</v>
      </c>
      <c r="O893">
        <v>3</v>
      </c>
      <c r="P893">
        <v>61</v>
      </c>
      <c r="Q893">
        <v>64</v>
      </c>
      <c r="R893" s="12" t="str">
        <f t="shared" si="65"/>
        <v>Mist/Cloudy</v>
      </c>
      <c r="S893" s="14" t="str">
        <f t="shared" si="66"/>
        <v>Winter</v>
      </c>
      <c r="T893" s="15" t="str">
        <f t="shared" si="67"/>
        <v>Wednesday</v>
      </c>
      <c r="U893" t="str">
        <f t="shared" si="68"/>
        <v>February</v>
      </c>
      <c r="V893" s="16" t="str">
        <f t="shared" si="69"/>
        <v>MODERATE</v>
      </c>
    </row>
    <row r="894" spans="1:22" x14ac:dyDescent="0.3">
      <c r="A894">
        <v>893</v>
      </c>
      <c r="B894" s="1">
        <v>40583</v>
      </c>
      <c r="C894">
        <v>1</v>
      </c>
      <c r="D894">
        <v>0</v>
      </c>
      <c r="E894">
        <v>2</v>
      </c>
      <c r="F894">
        <v>16</v>
      </c>
      <c r="G894" t="b">
        <f>IF(COUNTIF(AB$4:AB$20,Append1[[#This Row],[dteday]]) &gt; 0, TRUE, FALSE)</f>
        <v>0</v>
      </c>
      <c r="H894">
        <v>3</v>
      </c>
      <c r="I894">
        <v>2</v>
      </c>
      <c r="J894">
        <v>0.2</v>
      </c>
      <c r="K894">
        <f>Append1[[#This Row],[temp]]*100</f>
        <v>20</v>
      </c>
      <c r="L894">
        <v>0.19700000000000001</v>
      </c>
      <c r="M894">
        <v>0.37</v>
      </c>
      <c r="N894">
        <v>0.25369999999999998</v>
      </c>
      <c r="O894">
        <v>7</v>
      </c>
      <c r="P894">
        <v>72</v>
      </c>
      <c r="Q894">
        <v>79</v>
      </c>
      <c r="R894" s="12" t="str">
        <f t="shared" si="65"/>
        <v>Mist/Cloudy</v>
      </c>
      <c r="S894" s="14" t="str">
        <f t="shared" si="66"/>
        <v>Winter</v>
      </c>
      <c r="T894" s="15" t="str">
        <f t="shared" si="67"/>
        <v>Wednesday</v>
      </c>
      <c r="U894" t="str">
        <f t="shared" si="68"/>
        <v>February</v>
      </c>
      <c r="V894" s="16" t="str">
        <f t="shared" si="69"/>
        <v>MODERATE</v>
      </c>
    </row>
    <row r="895" spans="1:22" x14ac:dyDescent="0.3">
      <c r="A895">
        <v>894</v>
      </c>
      <c r="B895" s="1">
        <v>40583</v>
      </c>
      <c r="C895">
        <v>1</v>
      </c>
      <c r="D895">
        <v>0</v>
      </c>
      <c r="E895">
        <v>2</v>
      </c>
      <c r="F895">
        <v>17</v>
      </c>
      <c r="G895" t="b">
        <f>IF(COUNTIF(AB$4:AB$20,Append1[[#This Row],[dteday]]) &gt; 0, TRUE, FALSE)</f>
        <v>0</v>
      </c>
      <c r="H895">
        <v>3</v>
      </c>
      <c r="I895">
        <v>2</v>
      </c>
      <c r="J895">
        <v>0.2</v>
      </c>
      <c r="K895">
        <f>Append1[[#This Row],[temp]]*100</f>
        <v>20</v>
      </c>
      <c r="L895">
        <v>0.19700000000000001</v>
      </c>
      <c r="M895">
        <v>0.34</v>
      </c>
      <c r="N895">
        <v>0.25369999999999998</v>
      </c>
      <c r="O895">
        <v>9</v>
      </c>
      <c r="P895">
        <v>157</v>
      </c>
      <c r="Q895">
        <v>166</v>
      </c>
      <c r="R895" s="12" t="str">
        <f t="shared" si="65"/>
        <v>Mist/Cloudy</v>
      </c>
      <c r="S895" s="14" t="str">
        <f t="shared" si="66"/>
        <v>Winter</v>
      </c>
      <c r="T895" s="15" t="str">
        <f t="shared" si="67"/>
        <v>Wednesday</v>
      </c>
      <c r="U895" t="str">
        <f t="shared" si="68"/>
        <v>February</v>
      </c>
      <c r="V895" s="16" t="str">
        <f t="shared" si="69"/>
        <v>MODERATE</v>
      </c>
    </row>
    <row r="896" spans="1:22" x14ac:dyDescent="0.3">
      <c r="A896">
        <v>895</v>
      </c>
      <c r="B896" s="1">
        <v>40583</v>
      </c>
      <c r="C896">
        <v>1</v>
      </c>
      <c r="D896">
        <v>0</v>
      </c>
      <c r="E896">
        <v>2</v>
      </c>
      <c r="F896">
        <v>18</v>
      </c>
      <c r="G896" t="b">
        <f>IF(COUNTIF(AB$4:AB$20,Append1[[#This Row],[dteday]]) &gt; 0, TRUE, FALSE)</f>
        <v>0</v>
      </c>
      <c r="H896">
        <v>3</v>
      </c>
      <c r="I896">
        <v>2</v>
      </c>
      <c r="J896">
        <v>0.18</v>
      </c>
      <c r="K896">
        <f>Append1[[#This Row],[temp]]*100</f>
        <v>18</v>
      </c>
      <c r="L896">
        <v>0.16669999999999999</v>
      </c>
      <c r="M896">
        <v>0.47</v>
      </c>
      <c r="N896">
        <v>0.29849999999999999</v>
      </c>
      <c r="O896">
        <v>2</v>
      </c>
      <c r="P896">
        <v>168</v>
      </c>
      <c r="Q896">
        <v>170</v>
      </c>
      <c r="R896" s="12" t="str">
        <f t="shared" si="65"/>
        <v>Mist/Cloudy</v>
      </c>
      <c r="S896" s="14" t="str">
        <f t="shared" si="66"/>
        <v>Winter</v>
      </c>
      <c r="T896" s="15" t="str">
        <f t="shared" si="67"/>
        <v>Wednesday</v>
      </c>
      <c r="U896" t="str">
        <f t="shared" si="68"/>
        <v>February</v>
      </c>
      <c r="V896" s="16" t="str">
        <f t="shared" si="69"/>
        <v>MODERATE</v>
      </c>
    </row>
    <row r="897" spans="1:22" x14ac:dyDescent="0.3">
      <c r="A897">
        <v>896</v>
      </c>
      <c r="B897" s="1">
        <v>40583</v>
      </c>
      <c r="C897">
        <v>1</v>
      </c>
      <c r="D897">
        <v>0</v>
      </c>
      <c r="E897">
        <v>2</v>
      </c>
      <c r="F897">
        <v>19</v>
      </c>
      <c r="G897" t="b">
        <f>IF(COUNTIF(AB$4:AB$20,Append1[[#This Row],[dteday]]) &gt; 0, TRUE, FALSE)</f>
        <v>0</v>
      </c>
      <c r="H897">
        <v>3</v>
      </c>
      <c r="I897">
        <v>3</v>
      </c>
      <c r="J897">
        <v>0.14000000000000001</v>
      </c>
      <c r="K897">
        <f>Append1[[#This Row],[temp]]*100</f>
        <v>14.000000000000002</v>
      </c>
      <c r="L897">
        <v>0.1212</v>
      </c>
      <c r="M897">
        <v>0.86</v>
      </c>
      <c r="N897">
        <v>0.25369999999999998</v>
      </c>
      <c r="O897">
        <v>1</v>
      </c>
      <c r="P897">
        <v>87</v>
      </c>
      <c r="Q897">
        <v>88</v>
      </c>
      <c r="R897" s="12" t="str">
        <f t="shared" si="65"/>
        <v>Light Rain/Snow</v>
      </c>
      <c r="S897" s="14" t="str">
        <f t="shared" si="66"/>
        <v>Winter</v>
      </c>
      <c r="T897" s="15" t="str">
        <f t="shared" si="67"/>
        <v>Wednesday</v>
      </c>
      <c r="U897" t="str">
        <f t="shared" si="68"/>
        <v>February</v>
      </c>
      <c r="V897" s="16" t="str">
        <f t="shared" si="69"/>
        <v>BAD</v>
      </c>
    </row>
    <row r="898" spans="1:22" x14ac:dyDescent="0.3">
      <c r="A898">
        <v>897</v>
      </c>
      <c r="B898" s="1">
        <v>40583</v>
      </c>
      <c r="C898">
        <v>1</v>
      </c>
      <c r="D898">
        <v>0</v>
      </c>
      <c r="E898">
        <v>2</v>
      </c>
      <c r="F898">
        <v>20</v>
      </c>
      <c r="G898" t="b">
        <f>IF(COUNTIF(AB$4:AB$20,Append1[[#This Row],[dteday]]) &gt; 0, TRUE, FALSE)</f>
        <v>0</v>
      </c>
      <c r="H898">
        <v>3</v>
      </c>
      <c r="I898">
        <v>3</v>
      </c>
      <c r="J898">
        <v>0.14000000000000001</v>
      </c>
      <c r="K898">
        <f>Append1[[#This Row],[temp]]*100</f>
        <v>14.000000000000002</v>
      </c>
      <c r="L898">
        <v>0.1515</v>
      </c>
      <c r="M898">
        <v>0.86</v>
      </c>
      <c r="N898">
        <v>0.16420000000000001</v>
      </c>
      <c r="O898">
        <v>0</v>
      </c>
      <c r="P898">
        <v>84</v>
      </c>
      <c r="Q898">
        <v>84</v>
      </c>
      <c r="R898" s="12" t="str">
        <f t="shared" ref="R898:R961" si="70">_xlfn.IFS(I898=1,"Clear/Few Clouds",I898=2,"Mist/Cloudy",I898=3,"Light Rain/Snow",I898=4,"Heavy Rain/Snow")</f>
        <v>Light Rain/Snow</v>
      </c>
      <c r="S898" s="14" t="str">
        <f t="shared" ref="S898:S961" si="71">_xlfn.IFS(C898=1,"Winter",C898=2,"Spring",C898=3,"Summer",C898=4,"Autumn")</f>
        <v>Winter</v>
      </c>
      <c r="T898" s="15" t="str">
        <f t="shared" ref="T898:T961" si="72">TEXT(B898,"dddd")</f>
        <v>Wednesday</v>
      </c>
      <c r="U898" t="str">
        <f t="shared" ref="U898:U961" si="73">TEXT(B898,"mmmm")</f>
        <v>February</v>
      </c>
      <c r="V898" s="16" t="str">
        <f t="shared" ref="V898:V961" si="74">_xlfn.IFS(I898=1,"GOOD",I898=2,"MODERATE",I898=3,"BAD",I898=4,"WORSE")</f>
        <v>BAD</v>
      </c>
    </row>
    <row r="899" spans="1:22" x14ac:dyDescent="0.3">
      <c r="A899">
        <v>898</v>
      </c>
      <c r="B899" s="1">
        <v>40583</v>
      </c>
      <c r="C899">
        <v>1</v>
      </c>
      <c r="D899">
        <v>0</v>
      </c>
      <c r="E899">
        <v>2</v>
      </c>
      <c r="F899">
        <v>21</v>
      </c>
      <c r="G899" t="b">
        <f>IF(COUNTIF(AB$4:AB$20,Append1[[#This Row],[dteday]]) &gt; 0, TRUE, FALSE)</f>
        <v>0</v>
      </c>
      <c r="H899">
        <v>3</v>
      </c>
      <c r="I899">
        <v>2</v>
      </c>
      <c r="J899">
        <v>0.14000000000000001</v>
      </c>
      <c r="K899">
        <f>Append1[[#This Row],[temp]]*100</f>
        <v>14.000000000000002</v>
      </c>
      <c r="L899">
        <v>0.1515</v>
      </c>
      <c r="M899">
        <v>0.86</v>
      </c>
      <c r="N899">
        <v>0.16420000000000001</v>
      </c>
      <c r="O899">
        <v>0</v>
      </c>
      <c r="P899">
        <v>83</v>
      </c>
      <c r="Q899">
        <v>83</v>
      </c>
      <c r="R899" s="12" t="str">
        <f t="shared" si="70"/>
        <v>Mist/Cloudy</v>
      </c>
      <c r="S899" s="14" t="str">
        <f t="shared" si="71"/>
        <v>Winter</v>
      </c>
      <c r="T899" s="15" t="str">
        <f t="shared" si="72"/>
        <v>Wednesday</v>
      </c>
      <c r="U899" t="str">
        <f t="shared" si="73"/>
        <v>February</v>
      </c>
      <c r="V899" s="16" t="str">
        <f t="shared" si="74"/>
        <v>MODERATE</v>
      </c>
    </row>
    <row r="900" spans="1:22" x14ac:dyDescent="0.3">
      <c r="A900">
        <v>899</v>
      </c>
      <c r="B900" s="1">
        <v>40583</v>
      </c>
      <c r="C900">
        <v>1</v>
      </c>
      <c r="D900">
        <v>0</v>
      </c>
      <c r="E900">
        <v>2</v>
      </c>
      <c r="F900">
        <v>22</v>
      </c>
      <c r="G900" t="b">
        <f>IF(COUNTIF(AB$4:AB$20,Append1[[#This Row],[dteday]]) &gt; 0, TRUE, FALSE)</f>
        <v>0</v>
      </c>
      <c r="H900">
        <v>3</v>
      </c>
      <c r="I900">
        <v>3</v>
      </c>
      <c r="J900">
        <v>0.16</v>
      </c>
      <c r="K900">
        <f>Append1[[#This Row],[temp]]*100</f>
        <v>16</v>
      </c>
      <c r="L900">
        <v>0.16669999999999999</v>
      </c>
      <c r="M900">
        <v>0.8</v>
      </c>
      <c r="N900">
        <v>0.16420000000000001</v>
      </c>
      <c r="O900">
        <v>4</v>
      </c>
      <c r="P900">
        <v>42</v>
      </c>
      <c r="Q900">
        <v>46</v>
      </c>
      <c r="R900" s="12" t="str">
        <f t="shared" si="70"/>
        <v>Light Rain/Snow</v>
      </c>
      <c r="S900" s="14" t="str">
        <f t="shared" si="71"/>
        <v>Winter</v>
      </c>
      <c r="T900" s="15" t="str">
        <f t="shared" si="72"/>
        <v>Wednesday</v>
      </c>
      <c r="U900" t="str">
        <f t="shared" si="73"/>
        <v>February</v>
      </c>
      <c r="V900" s="16" t="str">
        <f t="shared" si="74"/>
        <v>BAD</v>
      </c>
    </row>
    <row r="901" spans="1:22" x14ac:dyDescent="0.3">
      <c r="A901">
        <v>900</v>
      </c>
      <c r="B901" s="1">
        <v>40583</v>
      </c>
      <c r="C901">
        <v>1</v>
      </c>
      <c r="D901">
        <v>0</v>
      </c>
      <c r="E901">
        <v>2</v>
      </c>
      <c r="F901">
        <v>23</v>
      </c>
      <c r="G901" t="b">
        <f>IF(COUNTIF(AB$4:AB$20,Append1[[#This Row],[dteday]]) &gt; 0, TRUE, FALSE)</f>
        <v>0</v>
      </c>
      <c r="H901">
        <v>3</v>
      </c>
      <c r="I901">
        <v>3</v>
      </c>
      <c r="J901">
        <v>0.16</v>
      </c>
      <c r="K901">
        <f>Append1[[#This Row],[temp]]*100</f>
        <v>16</v>
      </c>
      <c r="L901">
        <v>0.1515</v>
      </c>
      <c r="M901">
        <v>0.8</v>
      </c>
      <c r="N901">
        <v>0.19400000000000001</v>
      </c>
      <c r="O901">
        <v>0</v>
      </c>
      <c r="P901">
        <v>37</v>
      </c>
      <c r="Q901">
        <v>37</v>
      </c>
      <c r="R901" s="12" t="str">
        <f t="shared" si="70"/>
        <v>Light Rain/Snow</v>
      </c>
      <c r="S901" s="14" t="str">
        <f t="shared" si="71"/>
        <v>Winter</v>
      </c>
      <c r="T901" s="15" t="str">
        <f t="shared" si="72"/>
        <v>Wednesday</v>
      </c>
      <c r="U901" t="str">
        <f t="shared" si="73"/>
        <v>February</v>
      </c>
      <c r="V901" s="16" t="str">
        <f t="shared" si="74"/>
        <v>BAD</v>
      </c>
    </row>
    <row r="902" spans="1:22" x14ac:dyDescent="0.3">
      <c r="A902">
        <v>901</v>
      </c>
      <c r="B902" s="1">
        <v>40584</v>
      </c>
      <c r="C902">
        <v>1</v>
      </c>
      <c r="D902">
        <v>0</v>
      </c>
      <c r="E902">
        <v>2</v>
      </c>
      <c r="F902">
        <v>0</v>
      </c>
      <c r="G902" t="b">
        <f>IF(COUNTIF(AB$4:AB$20,Append1[[#This Row],[dteday]]) &gt; 0, TRUE, FALSE)</f>
        <v>0</v>
      </c>
      <c r="H902">
        <v>4</v>
      </c>
      <c r="I902">
        <v>3</v>
      </c>
      <c r="J902">
        <v>0.14000000000000001</v>
      </c>
      <c r="K902">
        <f>Append1[[#This Row],[temp]]*100</f>
        <v>14.000000000000002</v>
      </c>
      <c r="L902">
        <v>0.13639999999999999</v>
      </c>
      <c r="M902">
        <v>0.86</v>
      </c>
      <c r="N902">
        <v>0.19400000000000001</v>
      </c>
      <c r="O902">
        <v>0</v>
      </c>
      <c r="P902">
        <v>16</v>
      </c>
      <c r="Q902">
        <v>16</v>
      </c>
      <c r="R902" s="12" t="str">
        <f t="shared" si="70"/>
        <v>Light Rain/Snow</v>
      </c>
      <c r="S902" s="14" t="str">
        <f t="shared" si="71"/>
        <v>Winter</v>
      </c>
      <c r="T902" s="15" t="str">
        <f t="shared" si="72"/>
        <v>Thursday</v>
      </c>
      <c r="U902" t="str">
        <f t="shared" si="73"/>
        <v>February</v>
      </c>
      <c r="V902" s="16" t="str">
        <f t="shared" si="74"/>
        <v>BAD</v>
      </c>
    </row>
    <row r="903" spans="1:22" x14ac:dyDescent="0.3">
      <c r="A903">
        <v>902</v>
      </c>
      <c r="B903" s="1">
        <v>40584</v>
      </c>
      <c r="C903">
        <v>1</v>
      </c>
      <c r="D903">
        <v>0</v>
      </c>
      <c r="E903">
        <v>2</v>
      </c>
      <c r="F903">
        <v>1</v>
      </c>
      <c r="G903" t="b">
        <f>IF(COUNTIF(AB$4:AB$20,Append1[[#This Row],[dteday]]) &gt; 0, TRUE, FALSE)</f>
        <v>0</v>
      </c>
      <c r="H903">
        <v>4</v>
      </c>
      <c r="I903">
        <v>3</v>
      </c>
      <c r="J903">
        <v>0.14000000000000001</v>
      </c>
      <c r="K903">
        <f>Append1[[#This Row],[temp]]*100</f>
        <v>14.000000000000002</v>
      </c>
      <c r="L903">
        <v>0.1515</v>
      </c>
      <c r="M903">
        <v>0.8</v>
      </c>
      <c r="N903">
        <v>0.1343</v>
      </c>
      <c r="O903">
        <v>0</v>
      </c>
      <c r="P903">
        <v>7</v>
      </c>
      <c r="Q903">
        <v>7</v>
      </c>
      <c r="R903" s="12" t="str">
        <f t="shared" si="70"/>
        <v>Light Rain/Snow</v>
      </c>
      <c r="S903" s="14" t="str">
        <f t="shared" si="71"/>
        <v>Winter</v>
      </c>
      <c r="T903" s="15" t="str">
        <f t="shared" si="72"/>
        <v>Thursday</v>
      </c>
      <c r="U903" t="str">
        <f t="shared" si="73"/>
        <v>February</v>
      </c>
      <c r="V903" s="16" t="str">
        <f t="shared" si="74"/>
        <v>BAD</v>
      </c>
    </row>
    <row r="904" spans="1:22" x14ac:dyDescent="0.3">
      <c r="A904">
        <v>903</v>
      </c>
      <c r="B904" s="1">
        <v>40584</v>
      </c>
      <c r="C904">
        <v>1</v>
      </c>
      <c r="D904">
        <v>0</v>
      </c>
      <c r="E904">
        <v>2</v>
      </c>
      <c r="F904">
        <v>2</v>
      </c>
      <c r="G904" t="b">
        <f>IF(COUNTIF(AB$4:AB$20,Append1[[#This Row],[dteday]]) &gt; 0, TRUE, FALSE)</f>
        <v>0</v>
      </c>
      <c r="H904">
        <v>4</v>
      </c>
      <c r="I904">
        <v>3</v>
      </c>
      <c r="J904">
        <v>0.14000000000000001</v>
      </c>
      <c r="K904">
        <f>Append1[[#This Row],[temp]]*100</f>
        <v>14.000000000000002</v>
      </c>
      <c r="L904">
        <v>0.1515</v>
      </c>
      <c r="M904">
        <v>0.8</v>
      </c>
      <c r="N904">
        <v>0.1343</v>
      </c>
      <c r="O904">
        <v>0</v>
      </c>
      <c r="P904">
        <v>3</v>
      </c>
      <c r="Q904">
        <v>3</v>
      </c>
      <c r="R904" s="12" t="str">
        <f t="shared" si="70"/>
        <v>Light Rain/Snow</v>
      </c>
      <c r="S904" s="14" t="str">
        <f t="shared" si="71"/>
        <v>Winter</v>
      </c>
      <c r="T904" s="15" t="str">
        <f t="shared" si="72"/>
        <v>Thursday</v>
      </c>
      <c r="U904" t="str">
        <f t="shared" si="73"/>
        <v>February</v>
      </c>
      <c r="V904" s="16" t="str">
        <f t="shared" si="74"/>
        <v>BAD</v>
      </c>
    </row>
    <row r="905" spans="1:22" x14ac:dyDescent="0.3">
      <c r="A905">
        <v>904</v>
      </c>
      <c r="B905" s="1">
        <v>40584</v>
      </c>
      <c r="C905">
        <v>1</v>
      </c>
      <c r="D905">
        <v>0</v>
      </c>
      <c r="E905">
        <v>2</v>
      </c>
      <c r="F905">
        <v>4</v>
      </c>
      <c r="G905" t="b">
        <f>IF(COUNTIF(AB$4:AB$20,Append1[[#This Row],[dteday]]) &gt; 0, TRUE, FALSE)</f>
        <v>0</v>
      </c>
      <c r="H905">
        <v>4</v>
      </c>
      <c r="I905">
        <v>2</v>
      </c>
      <c r="J905">
        <v>0.14000000000000001</v>
      </c>
      <c r="K905">
        <f>Append1[[#This Row],[temp]]*100</f>
        <v>14.000000000000002</v>
      </c>
      <c r="L905">
        <v>0.13639999999999999</v>
      </c>
      <c r="M905">
        <v>0.59</v>
      </c>
      <c r="N905">
        <v>0.22389999999999999</v>
      </c>
      <c r="O905">
        <v>0</v>
      </c>
      <c r="P905">
        <v>1</v>
      </c>
      <c r="Q905">
        <v>1</v>
      </c>
      <c r="R905" s="12" t="str">
        <f t="shared" si="70"/>
        <v>Mist/Cloudy</v>
      </c>
      <c r="S905" s="14" t="str">
        <f t="shared" si="71"/>
        <v>Winter</v>
      </c>
      <c r="T905" s="15" t="str">
        <f t="shared" si="72"/>
        <v>Thursday</v>
      </c>
      <c r="U905" t="str">
        <f t="shared" si="73"/>
        <v>February</v>
      </c>
      <c r="V905" s="16" t="str">
        <f t="shared" si="74"/>
        <v>MODERATE</v>
      </c>
    </row>
    <row r="906" spans="1:22" x14ac:dyDescent="0.3">
      <c r="A906">
        <v>905</v>
      </c>
      <c r="B906" s="1">
        <v>40584</v>
      </c>
      <c r="C906">
        <v>1</v>
      </c>
      <c r="D906">
        <v>0</v>
      </c>
      <c r="E906">
        <v>2</v>
      </c>
      <c r="F906">
        <v>5</v>
      </c>
      <c r="G906" t="b">
        <f>IF(COUNTIF(AB$4:AB$20,Append1[[#This Row],[dteday]]) &gt; 0, TRUE, FALSE)</f>
        <v>0</v>
      </c>
      <c r="H906">
        <v>4</v>
      </c>
      <c r="I906">
        <v>2</v>
      </c>
      <c r="J906">
        <v>0.12</v>
      </c>
      <c r="K906">
        <f>Append1[[#This Row],[temp]]*100</f>
        <v>12</v>
      </c>
      <c r="L906">
        <v>0.1212</v>
      </c>
      <c r="M906">
        <v>0.5</v>
      </c>
      <c r="N906">
        <v>0.22389999999999999</v>
      </c>
      <c r="O906">
        <v>0</v>
      </c>
      <c r="P906">
        <v>6</v>
      </c>
      <c r="Q906">
        <v>6</v>
      </c>
      <c r="R906" s="12" t="str">
        <f t="shared" si="70"/>
        <v>Mist/Cloudy</v>
      </c>
      <c r="S906" s="14" t="str">
        <f t="shared" si="71"/>
        <v>Winter</v>
      </c>
      <c r="T906" s="15" t="str">
        <f t="shared" si="72"/>
        <v>Thursday</v>
      </c>
      <c r="U906" t="str">
        <f t="shared" si="73"/>
        <v>February</v>
      </c>
      <c r="V906" s="16" t="str">
        <f t="shared" si="74"/>
        <v>MODERATE</v>
      </c>
    </row>
    <row r="907" spans="1:22" x14ac:dyDescent="0.3">
      <c r="A907">
        <v>906</v>
      </c>
      <c r="B907" s="1">
        <v>40584</v>
      </c>
      <c r="C907">
        <v>1</v>
      </c>
      <c r="D907">
        <v>0</v>
      </c>
      <c r="E907">
        <v>2</v>
      </c>
      <c r="F907">
        <v>6</v>
      </c>
      <c r="G907" t="b">
        <f>IF(COUNTIF(AB$4:AB$20,Append1[[#This Row],[dteday]]) &gt; 0, TRUE, FALSE)</f>
        <v>0</v>
      </c>
      <c r="H907">
        <v>4</v>
      </c>
      <c r="I907">
        <v>2</v>
      </c>
      <c r="J907">
        <v>0.12</v>
      </c>
      <c r="K907">
        <f>Append1[[#This Row],[temp]]*100</f>
        <v>12</v>
      </c>
      <c r="L907">
        <v>0.1212</v>
      </c>
      <c r="M907">
        <v>0.54</v>
      </c>
      <c r="N907">
        <v>0.28360000000000002</v>
      </c>
      <c r="O907">
        <v>0</v>
      </c>
      <c r="P907">
        <v>26</v>
      </c>
      <c r="Q907">
        <v>26</v>
      </c>
      <c r="R907" s="12" t="str">
        <f t="shared" si="70"/>
        <v>Mist/Cloudy</v>
      </c>
      <c r="S907" s="14" t="str">
        <f t="shared" si="71"/>
        <v>Winter</v>
      </c>
      <c r="T907" s="15" t="str">
        <f t="shared" si="72"/>
        <v>Thursday</v>
      </c>
      <c r="U907" t="str">
        <f t="shared" si="73"/>
        <v>February</v>
      </c>
      <c r="V907" s="16" t="str">
        <f t="shared" si="74"/>
        <v>MODERATE</v>
      </c>
    </row>
    <row r="908" spans="1:22" x14ac:dyDescent="0.3">
      <c r="A908">
        <v>907</v>
      </c>
      <c r="B908" s="1">
        <v>40584</v>
      </c>
      <c r="C908">
        <v>1</v>
      </c>
      <c r="D908">
        <v>0</v>
      </c>
      <c r="E908">
        <v>2</v>
      </c>
      <c r="F908">
        <v>7</v>
      </c>
      <c r="G908" t="b">
        <f>IF(COUNTIF(AB$4:AB$20,Append1[[#This Row],[dteday]]) &gt; 0, TRUE, FALSE)</f>
        <v>0</v>
      </c>
      <c r="H908">
        <v>4</v>
      </c>
      <c r="I908">
        <v>1</v>
      </c>
      <c r="J908">
        <v>0.1</v>
      </c>
      <c r="K908">
        <f>Append1[[#This Row],[temp]]*100</f>
        <v>10</v>
      </c>
      <c r="L908">
        <v>7.5800000000000006E-2</v>
      </c>
      <c r="M908">
        <v>0.5</v>
      </c>
      <c r="N908">
        <v>0.41789999999999999</v>
      </c>
      <c r="O908">
        <v>0</v>
      </c>
      <c r="P908">
        <v>99</v>
      </c>
      <c r="Q908">
        <v>99</v>
      </c>
      <c r="R908" s="12" t="str">
        <f t="shared" si="70"/>
        <v>Clear/Few Clouds</v>
      </c>
      <c r="S908" s="14" t="str">
        <f t="shared" si="71"/>
        <v>Winter</v>
      </c>
      <c r="T908" s="15" t="str">
        <f t="shared" si="72"/>
        <v>Thursday</v>
      </c>
      <c r="U908" t="str">
        <f t="shared" si="73"/>
        <v>February</v>
      </c>
      <c r="V908" s="16" t="str">
        <f t="shared" si="74"/>
        <v>GOOD</v>
      </c>
    </row>
    <row r="909" spans="1:22" x14ac:dyDescent="0.3">
      <c r="A909">
        <v>908</v>
      </c>
      <c r="B909" s="1">
        <v>40584</v>
      </c>
      <c r="C909">
        <v>1</v>
      </c>
      <c r="D909">
        <v>0</v>
      </c>
      <c r="E909">
        <v>2</v>
      </c>
      <c r="F909">
        <v>8</v>
      </c>
      <c r="G909" t="b">
        <f>IF(COUNTIF(AB$4:AB$20,Append1[[#This Row],[dteday]]) &gt; 0, TRUE, FALSE)</f>
        <v>0</v>
      </c>
      <c r="H909">
        <v>4</v>
      </c>
      <c r="I909">
        <v>1</v>
      </c>
      <c r="J909">
        <v>0.1</v>
      </c>
      <c r="K909">
        <f>Append1[[#This Row],[temp]]*100</f>
        <v>10</v>
      </c>
      <c r="L909">
        <v>7.5800000000000006E-2</v>
      </c>
      <c r="M909">
        <v>0.49</v>
      </c>
      <c r="N909">
        <v>0.32840000000000003</v>
      </c>
      <c r="O909">
        <v>5</v>
      </c>
      <c r="P909">
        <v>173</v>
      </c>
      <c r="Q909">
        <v>178</v>
      </c>
      <c r="R909" s="12" t="str">
        <f t="shared" si="70"/>
        <v>Clear/Few Clouds</v>
      </c>
      <c r="S909" s="14" t="str">
        <f t="shared" si="71"/>
        <v>Winter</v>
      </c>
      <c r="T909" s="15" t="str">
        <f t="shared" si="72"/>
        <v>Thursday</v>
      </c>
      <c r="U909" t="str">
        <f t="shared" si="73"/>
        <v>February</v>
      </c>
      <c r="V909" s="16" t="str">
        <f t="shared" si="74"/>
        <v>GOOD</v>
      </c>
    </row>
    <row r="910" spans="1:22" x14ac:dyDescent="0.3">
      <c r="A910">
        <v>909</v>
      </c>
      <c r="B910" s="1">
        <v>40584</v>
      </c>
      <c r="C910">
        <v>1</v>
      </c>
      <c r="D910">
        <v>0</v>
      </c>
      <c r="E910">
        <v>2</v>
      </c>
      <c r="F910">
        <v>9</v>
      </c>
      <c r="G910" t="b">
        <f>IF(COUNTIF(AB$4:AB$20,Append1[[#This Row],[dteday]]) &gt; 0, TRUE, FALSE)</f>
        <v>0</v>
      </c>
      <c r="H910">
        <v>4</v>
      </c>
      <c r="I910">
        <v>1</v>
      </c>
      <c r="J910">
        <v>0.12</v>
      </c>
      <c r="K910">
        <f>Append1[[#This Row],[temp]]*100</f>
        <v>12</v>
      </c>
      <c r="L910">
        <v>0.1061</v>
      </c>
      <c r="M910">
        <v>0.42</v>
      </c>
      <c r="N910">
        <v>0.35820000000000002</v>
      </c>
      <c r="O910">
        <v>1</v>
      </c>
      <c r="P910">
        <v>121</v>
      </c>
      <c r="Q910">
        <v>122</v>
      </c>
      <c r="R910" s="12" t="str">
        <f t="shared" si="70"/>
        <v>Clear/Few Clouds</v>
      </c>
      <c r="S910" s="14" t="str">
        <f t="shared" si="71"/>
        <v>Winter</v>
      </c>
      <c r="T910" s="15" t="str">
        <f t="shared" si="72"/>
        <v>Thursday</v>
      </c>
      <c r="U910" t="str">
        <f t="shared" si="73"/>
        <v>February</v>
      </c>
      <c r="V910" s="16" t="str">
        <f t="shared" si="74"/>
        <v>GOOD</v>
      </c>
    </row>
    <row r="911" spans="1:22" x14ac:dyDescent="0.3">
      <c r="A911">
        <v>910</v>
      </c>
      <c r="B911" s="1">
        <v>40584</v>
      </c>
      <c r="C911">
        <v>1</v>
      </c>
      <c r="D911">
        <v>0</v>
      </c>
      <c r="E911">
        <v>2</v>
      </c>
      <c r="F911">
        <v>10</v>
      </c>
      <c r="G911" t="b">
        <f>IF(COUNTIF(AB$4:AB$20,Append1[[#This Row],[dteday]]) &gt; 0, TRUE, FALSE)</f>
        <v>0</v>
      </c>
      <c r="H911">
        <v>4</v>
      </c>
      <c r="I911">
        <v>1</v>
      </c>
      <c r="J911">
        <v>0.12</v>
      </c>
      <c r="K911">
        <f>Append1[[#This Row],[temp]]*100</f>
        <v>12</v>
      </c>
      <c r="L911">
        <v>0.1061</v>
      </c>
      <c r="M911">
        <v>0.42</v>
      </c>
      <c r="N911">
        <v>0.29849999999999999</v>
      </c>
      <c r="O911">
        <v>1</v>
      </c>
      <c r="P911">
        <v>34</v>
      </c>
      <c r="Q911">
        <v>35</v>
      </c>
      <c r="R911" s="12" t="str">
        <f t="shared" si="70"/>
        <v>Clear/Few Clouds</v>
      </c>
      <c r="S911" s="14" t="str">
        <f t="shared" si="71"/>
        <v>Winter</v>
      </c>
      <c r="T911" s="15" t="str">
        <f t="shared" si="72"/>
        <v>Thursday</v>
      </c>
      <c r="U911" t="str">
        <f t="shared" si="73"/>
        <v>February</v>
      </c>
      <c r="V911" s="16" t="str">
        <f t="shared" si="74"/>
        <v>GOOD</v>
      </c>
    </row>
    <row r="912" spans="1:22" x14ac:dyDescent="0.3">
      <c r="A912">
        <v>911</v>
      </c>
      <c r="B912" s="1">
        <v>40584</v>
      </c>
      <c r="C912">
        <v>1</v>
      </c>
      <c r="D912">
        <v>0</v>
      </c>
      <c r="E912">
        <v>2</v>
      </c>
      <c r="F912">
        <v>11</v>
      </c>
      <c r="G912" t="b">
        <f>IF(COUNTIF(AB$4:AB$20,Append1[[#This Row],[dteday]]) &gt; 0, TRUE, FALSE)</f>
        <v>0</v>
      </c>
      <c r="H912">
        <v>4</v>
      </c>
      <c r="I912">
        <v>1</v>
      </c>
      <c r="J912">
        <v>0.14000000000000001</v>
      </c>
      <c r="K912">
        <f>Append1[[#This Row],[temp]]*100</f>
        <v>14.000000000000002</v>
      </c>
      <c r="L912">
        <v>0.1212</v>
      </c>
      <c r="M912">
        <v>0.39</v>
      </c>
      <c r="N912">
        <v>0.35820000000000002</v>
      </c>
      <c r="O912">
        <v>1</v>
      </c>
      <c r="P912">
        <v>44</v>
      </c>
      <c r="Q912">
        <v>45</v>
      </c>
      <c r="R912" s="12" t="str">
        <f t="shared" si="70"/>
        <v>Clear/Few Clouds</v>
      </c>
      <c r="S912" s="14" t="str">
        <f t="shared" si="71"/>
        <v>Winter</v>
      </c>
      <c r="T912" s="15" t="str">
        <f t="shared" si="72"/>
        <v>Thursday</v>
      </c>
      <c r="U912" t="str">
        <f t="shared" si="73"/>
        <v>February</v>
      </c>
      <c r="V912" s="16" t="str">
        <f t="shared" si="74"/>
        <v>GOOD</v>
      </c>
    </row>
    <row r="913" spans="1:22" x14ac:dyDescent="0.3">
      <c r="A913">
        <v>912</v>
      </c>
      <c r="B913" s="1">
        <v>40584</v>
      </c>
      <c r="C913">
        <v>1</v>
      </c>
      <c r="D913">
        <v>0</v>
      </c>
      <c r="E913">
        <v>2</v>
      </c>
      <c r="F913">
        <v>12</v>
      </c>
      <c r="G913" t="b">
        <f>IF(COUNTIF(AB$4:AB$20,Append1[[#This Row],[dteday]]) &gt; 0, TRUE, FALSE)</f>
        <v>0</v>
      </c>
      <c r="H913">
        <v>4</v>
      </c>
      <c r="I913">
        <v>1</v>
      </c>
      <c r="J913">
        <v>0.16</v>
      </c>
      <c r="K913">
        <f>Append1[[#This Row],[temp]]*100</f>
        <v>16</v>
      </c>
      <c r="L913">
        <v>0.13639999999999999</v>
      </c>
      <c r="M913">
        <v>0.34</v>
      </c>
      <c r="N913">
        <v>0.3881</v>
      </c>
      <c r="O913">
        <v>4</v>
      </c>
      <c r="P913">
        <v>65</v>
      </c>
      <c r="Q913">
        <v>69</v>
      </c>
      <c r="R913" s="12" t="str">
        <f t="shared" si="70"/>
        <v>Clear/Few Clouds</v>
      </c>
      <c r="S913" s="14" t="str">
        <f t="shared" si="71"/>
        <v>Winter</v>
      </c>
      <c r="T913" s="15" t="str">
        <f t="shared" si="72"/>
        <v>Thursday</v>
      </c>
      <c r="U913" t="str">
        <f t="shared" si="73"/>
        <v>February</v>
      </c>
      <c r="V913" s="16" t="str">
        <f t="shared" si="74"/>
        <v>GOOD</v>
      </c>
    </row>
    <row r="914" spans="1:22" x14ac:dyDescent="0.3">
      <c r="A914">
        <v>913</v>
      </c>
      <c r="B914" s="1">
        <v>40584</v>
      </c>
      <c r="C914">
        <v>1</v>
      </c>
      <c r="D914">
        <v>0</v>
      </c>
      <c r="E914">
        <v>2</v>
      </c>
      <c r="F914">
        <v>13</v>
      </c>
      <c r="G914" t="b">
        <f>IF(COUNTIF(AB$4:AB$20,Append1[[#This Row],[dteday]]) &gt; 0, TRUE, FALSE)</f>
        <v>0</v>
      </c>
      <c r="H914">
        <v>4</v>
      </c>
      <c r="I914">
        <v>1</v>
      </c>
      <c r="J914">
        <v>0.18</v>
      </c>
      <c r="K914">
        <f>Append1[[#This Row],[temp]]*100</f>
        <v>18</v>
      </c>
      <c r="L914">
        <v>0.16669999999999999</v>
      </c>
      <c r="M914">
        <v>0.28999999999999998</v>
      </c>
      <c r="N914">
        <v>0.29849999999999999</v>
      </c>
      <c r="O914">
        <v>3</v>
      </c>
      <c r="P914">
        <v>59</v>
      </c>
      <c r="Q914">
        <v>62</v>
      </c>
      <c r="R914" s="12" t="str">
        <f t="shared" si="70"/>
        <v>Clear/Few Clouds</v>
      </c>
      <c r="S914" s="14" t="str">
        <f t="shared" si="71"/>
        <v>Winter</v>
      </c>
      <c r="T914" s="15" t="str">
        <f t="shared" si="72"/>
        <v>Thursday</v>
      </c>
      <c r="U914" t="str">
        <f t="shared" si="73"/>
        <v>February</v>
      </c>
      <c r="V914" s="16" t="str">
        <f t="shared" si="74"/>
        <v>GOOD</v>
      </c>
    </row>
    <row r="915" spans="1:22" x14ac:dyDescent="0.3">
      <c r="A915">
        <v>914</v>
      </c>
      <c r="B915" s="1">
        <v>40584</v>
      </c>
      <c r="C915">
        <v>1</v>
      </c>
      <c r="D915">
        <v>0</v>
      </c>
      <c r="E915">
        <v>2</v>
      </c>
      <c r="F915">
        <v>14</v>
      </c>
      <c r="G915" t="b">
        <f>IF(COUNTIF(AB$4:AB$20,Append1[[#This Row],[dteday]]) &gt; 0, TRUE, FALSE)</f>
        <v>0</v>
      </c>
      <c r="H915">
        <v>4</v>
      </c>
      <c r="I915">
        <v>1</v>
      </c>
      <c r="J915">
        <v>0.2</v>
      </c>
      <c r="K915">
        <f>Append1[[#This Row],[temp]]*100</f>
        <v>20</v>
      </c>
      <c r="L915">
        <v>0.18179999999999999</v>
      </c>
      <c r="M915">
        <v>0.27</v>
      </c>
      <c r="N915">
        <v>0.28360000000000002</v>
      </c>
      <c r="O915">
        <v>6</v>
      </c>
      <c r="P915">
        <v>42</v>
      </c>
      <c r="Q915">
        <v>48</v>
      </c>
      <c r="R915" s="12" t="str">
        <f t="shared" si="70"/>
        <v>Clear/Few Clouds</v>
      </c>
      <c r="S915" s="14" t="str">
        <f t="shared" si="71"/>
        <v>Winter</v>
      </c>
      <c r="T915" s="15" t="str">
        <f t="shared" si="72"/>
        <v>Thursday</v>
      </c>
      <c r="U915" t="str">
        <f t="shared" si="73"/>
        <v>February</v>
      </c>
      <c r="V915" s="16" t="str">
        <f t="shared" si="74"/>
        <v>GOOD</v>
      </c>
    </row>
    <row r="916" spans="1:22" x14ac:dyDescent="0.3">
      <c r="A916">
        <v>915</v>
      </c>
      <c r="B916" s="1">
        <v>40584</v>
      </c>
      <c r="C916">
        <v>1</v>
      </c>
      <c r="D916">
        <v>0</v>
      </c>
      <c r="E916">
        <v>2</v>
      </c>
      <c r="F916">
        <v>15</v>
      </c>
      <c r="G916" t="b">
        <f>IF(COUNTIF(AB$4:AB$20,Append1[[#This Row],[dteday]]) &gt; 0, TRUE, FALSE)</f>
        <v>0</v>
      </c>
      <c r="H916">
        <v>4</v>
      </c>
      <c r="I916">
        <v>1</v>
      </c>
      <c r="J916">
        <v>0.2</v>
      </c>
      <c r="K916">
        <f>Append1[[#This Row],[temp]]*100</f>
        <v>20</v>
      </c>
      <c r="L916">
        <v>0.19700000000000001</v>
      </c>
      <c r="M916">
        <v>0.25</v>
      </c>
      <c r="N916">
        <v>0.25369999999999998</v>
      </c>
      <c r="O916">
        <v>0</v>
      </c>
      <c r="P916">
        <v>50</v>
      </c>
      <c r="Q916">
        <v>50</v>
      </c>
      <c r="R916" s="12" t="str">
        <f t="shared" si="70"/>
        <v>Clear/Few Clouds</v>
      </c>
      <c r="S916" s="14" t="str">
        <f t="shared" si="71"/>
        <v>Winter</v>
      </c>
      <c r="T916" s="15" t="str">
        <f t="shared" si="72"/>
        <v>Thursday</v>
      </c>
      <c r="U916" t="str">
        <f t="shared" si="73"/>
        <v>February</v>
      </c>
      <c r="V916" s="16" t="str">
        <f t="shared" si="74"/>
        <v>GOOD</v>
      </c>
    </row>
    <row r="917" spans="1:22" x14ac:dyDescent="0.3">
      <c r="A917">
        <v>916</v>
      </c>
      <c r="B917" s="1">
        <v>40584</v>
      </c>
      <c r="C917">
        <v>1</v>
      </c>
      <c r="D917">
        <v>0</v>
      </c>
      <c r="E917">
        <v>2</v>
      </c>
      <c r="F917">
        <v>16</v>
      </c>
      <c r="G917" t="b">
        <f>IF(COUNTIF(AB$4:AB$20,Append1[[#This Row],[dteday]]) &gt; 0, TRUE, FALSE)</f>
        <v>0</v>
      </c>
      <c r="H917">
        <v>4</v>
      </c>
      <c r="I917">
        <v>1</v>
      </c>
      <c r="J917">
        <v>0.2</v>
      </c>
      <c r="K917">
        <f>Append1[[#This Row],[temp]]*100</f>
        <v>20</v>
      </c>
      <c r="L917">
        <v>0.18179999999999999</v>
      </c>
      <c r="M917">
        <v>0.27</v>
      </c>
      <c r="N917">
        <v>0.29849999999999999</v>
      </c>
      <c r="O917">
        <v>4</v>
      </c>
      <c r="P917">
        <v>76</v>
      </c>
      <c r="Q917">
        <v>80</v>
      </c>
      <c r="R917" s="12" t="str">
        <f t="shared" si="70"/>
        <v>Clear/Few Clouds</v>
      </c>
      <c r="S917" s="14" t="str">
        <f t="shared" si="71"/>
        <v>Winter</v>
      </c>
      <c r="T917" s="15" t="str">
        <f t="shared" si="72"/>
        <v>Thursday</v>
      </c>
      <c r="U917" t="str">
        <f t="shared" si="73"/>
        <v>February</v>
      </c>
      <c r="V917" s="16" t="str">
        <f t="shared" si="74"/>
        <v>GOOD</v>
      </c>
    </row>
    <row r="918" spans="1:22" x14ac:dyDescent="0.3">
      <c r="A918">
        <v>917</v>
      </c>
      <c r="B918" s="1">
        <v>40584</v>
      </c>
      <c r="C918">
        <v>1</v>
      </c>
      <c r="D918">
        <v>0</v>
      </c>
      <c r="E918">
        <v>2</v>
      </c>
      <c r="F918">
        <v>17</v>
      </c>
      <c r="G918" t="b">
        <f>IF(COUNTIF(AB$4:AB$20,Append1[[#This Row],[dteday]]) &gt; 0, TRUE, FALSE)</f>
        <v>0</v>
      </c>
      <c r="H918">
        <v>4</v>
      </c>
      <c r="I918">
        <v>1</v>
      </c>
      <c r="J918">
        <v>0.18</v>
      </c>
      <c r="K918">
        <f>Append1[[#This Row],[temp]]*100</f>
        <v>18</v>
      </c>
      <c r="L918">
        <v>0.18179999999999999</v>
      </c>
      <c r="M918">
        <v>0.26</v>
      </c>
      <c r="N918">
        <v>0.19400000000000001</v>
      </c>
      <c r="O918">
        <v>6</v>
      </c>
      <c r="P918">
        <v>159</v>
      </c>
      <c r="Q918">
        <v>165</v>
      </c>
      <c r="R918" s="12" t="str">
        <f t="shared" si="70"/>
        <v>Clear/Few Clouds</v>
      </c>
      <c r="S918" s="14" t="str">
        <f t="shared" si="71"/>
        <v>Winter</v>
      </c>
      <c r="T918" s="15" t="str">
        <f t="shared" si="72"/>
        <v>Thursday</v>
      </c>
      <c r="U918" t="str">
        <f t="shared" si="73"/>
        <v>February</v>
      </c>
      <c r="V918" s="16" t="str">
        <f t="shared" si="74"/>
        <v>GOOD</v>
      </c>
    </row>
    <row r="919" spans="1:22" x14ac:dyDescent="0.3">
      <c r="A919">
        <v>918</v>
      </c>
      <c r="B919" s="1">
        <v>40584</v>
      </c>
      <c r="C919">
        <v>1</v>
      </c>
      <c r="D919">
        <v>0</v>
      </c>
      <c r="E919">
        <v>2</v>
      </c>
      <c r="F919">
        <v>18</v>
      </c>
      <c r="G919" t="b">
        <f>IF(COUNTIF(AB$4:AB$20,Append1[[#This Row],[dteday]]) &gt; 0, TRUE, FALSE)</f>
        <v>0</v>
      </c>
      <c r="H919">
        <v>4</v>
      </c>
      <c r="I919">
        <v>1</v>
      </c>
      <c r="J919">
        <v>0.16</v>
      </c>
      <c r="K919">
        <f>Append1[[#This Row],[temp]]*100</f>
        <v>16</v>
      </c>
      <c r="L919">
        <v>0.18179999999999999</v>
      </c>
      <c r="M919">
        <v>0.28000000000000003</v>
      </c>
      <c r="N919">
        <v>0.1343</v>
      </c>
      <c r="O919">
        <v>3</v>
      </c>
      <c r="P919">
        <v>157</v>
      </c>
      <c r="Q919">
        <v>160</v>
      </c>
      <c r="R919" s="12" t="str">
        <f t="shared" si="70"/>
        <v>Clear/Few Clouds</v>
      </c>
      <c r="S919" s="14" t="str">
        <f t="shared" si="71"/>
        <v>Winter</v>
      </c>
      <c r="T919" s="15" t="str">
        <f t="shared" si="72"/>
        <v>Thursday</v>
      </c>
      <c r="U919" t="str">
        <f t="shared" si="73"/>
        <v>February</v>
      </c>
      <c r="V919" s="16" t="str">
        <f t="shared" si="74"/>
        <v>GOOD</v>
      </c>
    </row>
    <row r="920" spans="1:22" x14ac:dyDescent="0.3">
      <c r="A920">
        <v>919</v>
      </c>
      <c r="B920" s="1">
        <v>40584</v>
      </c>
      <c r="C920">
        <v>1</v>
      </c>
      <c r="D920">
        <v>0</v>
      </c>
      <c r="E920">
        <v>2</v>
      </c>
      <c r="F920">
        <v>19</v>
      </c>
      <c r="G920" t="b">
        <f>IF(COUNTIF(AB$4:AB$20,Append1[[#This Row],[dteday]]) &gt; 0, TRUE, FALSE)</f>
        <v>0</v>
      </c>
      <c r="H920">
        <v>4</v>
      </c>
      <c r="I920">
        <v>1</v>
      </c>
      <c r="J920">
        <v>0.14000000000000001</v>
      </c>
      <c r="K920">
        <f>Append1[[#This Row],[temp]]*100</f>
        <v>14.000000000000002</v>
      </c>
      <c r="L920">
        <v>0.16669999999999999</v>
      </c>
      <c r="M920">
        <v>0.28000000000000003</v>
      </c>
      <c r="N920">
        <v>0.1045</v>
      </c>
      <c r="O920">
        <v>2</v>
      </c>
      <c r="P920">
        <v>110</v>
      </c>
      <c r="Q920">
        <v>112</v>
      </c>
      <c r="R920" s="12" t="str">
        <f t="shared" si="70"/>
        <v>Clear/Few Clouds</v>
      </c>
      <c r="S920" s="14" t="str">
        <f t="shared" si="71"/>
        <v>Winter</v>
      </c>
      <c r="T920" s="15" t="str">
        <f t="shared" si="72"/>
        <v>Thursday</v>
      </c>
      <c r="U920" t="str">
        <f t="shared" si="73"/>
        <v>February</v>
      </c>
      <c r="V920" s="16" t="str">
        <f t="shared" si="74"/>
        <v>GOOD</v>
      </c>
    </row>
    <row r="921" spans="1:22" x14ac:dyDescent="0.3">
      <c r="A921">
        <v>920</v>
      </c>
      <c r="B921" s="1">
        <v>40584</v>
      </c>
      <c r="C921">
        <v>1</v>
      </c>
      <c r="D921">
        <v>0</v>
      </c>
      <c r="E921">
        <v>2</v>
      </c>
      <c r="F921">
        <v>20</v>
      </c>
      <c r="G921" t="b">
        <f>IF(COUNTIF(AB$4:AB$20,Append1[[#This Row],[dteday]]) &gt; 0, TRUE, FALSE)</f>
        <v>0</v>
      </c>
      <c r="H921">
        <v>4</v>
      </c>
      <c r="I921">
        <v>1</v>
      </c>
      <c r="J921">
        <v>0.14000000000000001</v>
      </c>
      <c r="K921">
        <f>Append1[[#This Row],[temp]]*100</f>
        <v>14.000000000000002</v>
      </c>
      <c r="L921">
        <v>0.18179999999999999</v>
      </c>
      <c r="M921">
        <v>0.31</v>
      </c>
      <c r="N921">
        <v>8.9599999999999999E-2</v>
      </c>
      <c r="O921">
        <v>4</v>
      </c>
      <c r="P921">
        <v>93</v>
      </c>
      <c r="Q921">
        <v>97</v>
      </c>
      <c r="R921" s="12" t="str">
        <f t="shared" si="70"/>
        <v>Clear/Few Clouds</v>
      </c>
      <c r="S921" s="14" t="str">
        <f t="shared" si="71"/>
        <v>Winter</v>
      </c>
      <c r="T921" s="15" t="str">
        <f t="shared" si="72"/>
        <v>Thursday</v>
      </c>
      <c r="U921" t="str">
        <f t="shared" si="73"/>
        <v>February</v>
      </c>
      <c r="V921" s="16" t="str">
        <f t="shared" si="74"/>
        <v>GOOD</v>
      </c>
    </row>
    <row r="922" spans="1:22" x14ac:dyDescent="0.3">
      <c r="A922">
        <v>921</v>
      </c>
      <c r="B922" s="1">
        <v>40584</v>
      </c>
      <c r="C922">
        <v>1</v>
      </c>
      <c r="D922">
        <v>0</v>
      </c>
      <c r="E922">
        <v>2</v>
      </c>
      <c r="F922">
        <v>21</v>
      </c>
      <c r="G922" t="b">
        <f>IF(COUNTIF(AB$4:AB$20,Append1[[#This Row],[dteday]]) &gt; 0, TRUE, FALSE)</f>
        <v>0</v>
      </c>
      <c r="H922">
        <v>4</v>
      </c>
      <c r="I922">
        <v>1</v>
      </c>
      <c r="J922">
        <v>0.14000000000000001</v>
      </c>
      <c r="K922">
        <f>Append1[[#This Row],[temp]]*100</f>
        <v>14.000000000000002</v>
      </c>
      <c r="L922">
        <v>0.21210000000000001</v>
      </c>
      <c r="M922">
        <v>0.39</v>
      </c>
      <c r="N922">
        <v>0</v>
      </c>
      <c r="O922">
        <v>2</v>
      </c>
      <c r="P922">
        <v>70</v>
      </c>
      <c r="Q922">
        <v>72</v>
      </c>
      <c r="R922" s="12" t="str">
        <f t="shared" si="70"/>
        <v>Clear/Few Clouds</v>
      </c>
      <c r="S922" s="14" t="str">
        <f t="shared" si="71"/>
        <v>Winter</v>
      </c>
      <c r="T922" s="15" t="str">
        <f t="shared" si="72"/>
        <v>Thursday</v>
      </c>
      <c r="U922" t="str">
        <f t="shared" si="73"/>
        <v>February</v>
      </c>
      <c r="V922" s="16" t="str">
        <f t="shared" si="74"/>
        <v>GOOD</v>
      </c>
    </row>
    <row r="923" spans="1:22" x14ac:dyDescent="0.3">
      <c r="A923">
        <v>922</v>
      </c>
      <c r="B923" s="1">
        <v>40584</v>
      </c>
      <c r="C923">
        <v>1</v>
      </c>
      <c r="D923">
        <v>0</v>
      </c>
      <c r="E923">
        <v>2</v>
      </c>
      <c r="F923">
        <v>22</v>
      </c>
      <c r="G923" t="b">
        <f>IF(COUNTIF(AB$4:AB$20,Append1[[#This Row],[dteday]]) &gt; 0, TRUE, FALSE)</f>
        <v>0</v>
      </c>
      <c r="H923">
        <v>4</v>
      </c>
      <c r="I923">
        <v>1</v>
      </c>
      <c r="J923">
        <v>0.12</v>
      </c>
      <c r="K923">
        <f>Append1[[#This Row],[temp]]*100</f>
        <v>12</v>
      </c>
      <c r="L923">
        <v>0.19700000000000001</v>
      </c>
      <c r="M923">
        <v>0.39</v>
      </c>
      <c r="N923">
        <v>0</v>
      </c>
      <c r="O923">
        <v>4</v>
      </c>
      <c r="P923">
        <v>47</v>
      </c>
      <c r="Q923">
        <v>51</v>
      </c>
      <c r="R923" s="12" t="str">
        <f t="shared" si="70"/>
        <v>Clear/Few Clouds</v>
      </c>
      <c r="S923" s="14" t="str">
        <f t="shared" si="71"/>
        <v>Winter</v>
      </c>
      <c r="T923" s="15" t="str">
        <f t="shared" si="72"/>
        <v>Thursday</v>
      </c>
      <c r="U923" t="str">
        <f t="shared" si="73"/>
        <v>February</v>
      </c>
      <c r="V923" s="16" t="str">
        <f t="shared" si="74"/>
        <v>GOOD</v>
      </c>
    </row>
    <row r="924" spans="1:22" x14ac:dyDescent="0.3">
      <c r="A924">
        <v>923</v>
      </c>
      <c r="B924" s="1">
        <v>40584</v>
      </c>
      <c r="C924">
        <v>1</v>
      </c>
      <c r="D924">
        <v>0</v>
      </c>
      <c r="E924">
        <v>2</v>
      </c>
      <c r="F924">
        <v>23</v>
      </c>
      <c r="G924" t="b">
        <f>IF(COUNTIF(AB$4:AB$20,Append1[[#This Row],[dteday]]) &gt; 0, TRUE, FALSE)</f>
        <v>0</v>
      </c>
      <c r="H924">
        <v>4</v>
      </c>
      <c r="I924">
        <v>1</v>
      </c>
      <c r="J924">
        <v>0.12</v>
      </c>
      <c r="K924">
        <f>Append1[[#This Row],[temp]]*100</f>
        <v>12</v>
      </c>
      <c r="L924">
        <v>0.1515</v>
      </c>
      <c r="M924">
        <v>0.42</v>
      </c>
      <c r="N924">
        <v>0.1045</v>
      </c>
      <c r="O924">
        <v>1</v>
      </c>
      <c r="P924">
        <v>33</v>
      </c>
      <c r="Q924">
        <v>34</v>
      </c>
      <c r="R924" s="12" t="str">
        <f t="shared" si="70"/>
        <v>Clear/Few Clouds</v>
      </c>
      <c r="S924" s="14" t="str">
        <f t="shared" si="71"/>
        <v>Winter</v>
      </c>
      <c r="T924" s="15" t="str">
        <f t="shared" si="72"/>
        <v>Thursday</v>
      </c>
      <c r="U924" t="str">
        <f t="shared" si="73"/>
        <v>February</v>
      </c>
      <c r="V924" s="16" t="str">
        <f t="shared" si="74"/>
        <v>GOOD</v>
      </c>
    </row>
    <row r="925" spans="1:22" x14ac:dyDescent="0.3">
      <c r="A925">
        <v>924</v>
      </c>
      <c r="B925" s="1">
        <v>40585</v>
      </c>
      <c r="C925">
        <v>1</v>
      </c>
      <c r="D925">
        <v>0</v>
      </c>
      <c r="E925">
        <v>2</v>
      </c>
      <c r="F925">
        <v>0</v>
      </c>
      <c r="G925" t="b">
        <f>IF(COUNTIF(AB$4:AB$20,Append1[[#This Row],[dteday]]) &gt; 0, TRUE, FALSE)</f>
        <v>0</v>
      </c>
      <c r="H925">
        <v>5</v>
      </c>
      <c r="I925">
        <v>1</v>
      </c>
      <c r="J925">
        <v>0.1</v>
      </c>
      <c r="K925">
        <f>Append1[[#This Row],[temp]]*100</f>
        <v>10</v>
      </c>
      <c r="L925">
        <v>0.13639999999999999</v>
      </c>
      <c r="M925">
        <v>0.49</v>
      </c>
      <c r="N925">
        <v>0.1045</v>
      </c>
      <c r="O925">
        <v>2</v>
      </c>
      <c r="P925">
        <v>12</v>
      </c>
      <c r="Q925">
        <v>14</v>
      </c>
      <c r="R925" s="12" t="str">
        <f t="shared" si="70"/>
        <v>Clear/Few Clouds</v>
      </c>
      <c r="S925" s="14" t="str">
        <f t="shared" si="71"/>
        <v>Winter</v>
      </c>
      <c r="T925" s="15" t="str">
        <f t="shared" si="72"/>
        <v>Friday</v>
      </c>
      <c r="U925" t="str">
        <f t="shared" si="73"/>
        <v>February</v>
      </c>
      <c r="V925" s="16" t="str">
        <f t="shared" si="74"/>
        <v>GOOD</v>
      </c>
    </row>
    <row r="926" spans="1:22" x14ac:dyDescent="0.3">
      <c r="A926">
        <v>925</v>
      </c>
      <c r="B926" s="1">
        <v>40585</v>
      </c>
      <c r="C926">
        <v>1</v>
      </c>
      <c r="D926">
        <v>0</v>
      </c>
      <c r="E926">
        <v>2</v>
      </c>
      <c r="F926">
        <v>1</v>
      </c>
      <c r="G926" t="b">
        <f>IF(COUNTIF(AB$4:AB$20,Append1[[#This Row],[dteday]]) &gt; 0, TRUE, FALSE)</f>
        <v>0</v>
      </c>
      <c r="H926">
        <v>5</v>
      </c>
      <c r="I926">
        <v>1</v>
      </c>
      <c r="J926">
        <v>0.1</v>
      </c>
      <c r="K926">
        <f>Append1[[#This Row],[temp]]*100</f>
        <v>10</v>
      </c>
      <c r="L926">
        <v>0.13639999999999999</v>
      </c>
      <c r="M926">
        <v>0.54</v>
      </c>
      <c r="N926">
        <v>8.9599999999999999E-2</v>
      </c>
      <c r="O926">
        <v>1</v>
      </c>
      <c r="P926">
        <v>6</v>
      </c>
      <c r="Q926">
        <v>7</v>
      </c>
      <c r="R926" s="12" t="str">
        <f t="shared" si="70"/>
        <v>Clear/Few Clouds</v>
      </c>
      <c r="S926" s="14" t="str">
        <f t="shared" si="71"/>
        <v>Winter</v>
      </c>
      <c r="T926" s="15" t="str">
        <f t="shared" si="72"/>
        <v>Friday</v>
      </c>
      <c r="U926" t="str">
        <f t="shared" si="73"/>
        <v>February</v>
      </c>
      <c r="V926" s="16" t="str">
        <f t="shared" si="74"/>
        <v>GOOD</v>
      </c>
    </row>
    <row r="927" spans="1:22" x14ac:dyDescent="0.3">
      <c r="A927">
        <v>926</v>
      </c>
      <c r="B927" s="1">
        <v>40585</v>
      </c>
      <c r="C927">
        <v>1</v>
      </c>
      <c r="D927">
        <v>0</v>
      </c>
      <c r="E927">
        <v>2</v>
      </c>
      <c r="F927">
        <v>2</v>
      </c>
      <c r="G927" t="b">
        <f>IF(COUNTIF(AB$4:AB$20,Append1[[#This Row],[dteday]]) &gt; 0, TRUE, FALSE)</f>
        <v>0</v>
      </c>
      <c r="H927">
        <v>5</v>
      </c>
      <c r="I927">
        <v>1</v>
      </c>
      <c r="J927">
        <v>0.1</v>
      </c>
      <c r="K927">
        <f>Append1[[#This Row],[temp]]*100</f>
        <v>10</v>
      </c>
      <c r="L927">
        <v>0.13639999999999999</v>
      </c>
      <c r="M927">
        <v>0.54</v>
      </c>
      <c r="N927">
        <v>8.9599999999999999E-2</v>
      </c>
      <c r="O927">
        <v>0</v>
      </c>
      <c r="P927">
        <v>3</v>
      </c>
      <c r="Q927">
        <v>3</v>
      </c>
      <c r="R927" s="12" t="str">
        <f t="shared" si="70"/>
        <v>Clear/Few Clouds</v>
      </c>
      <c r="S927" s="14" t="str">
        <f t="shared" si="71"/>
        <v>Winter</v>
      </c>
      <c r="T927" s="15" t="str">
        <f t="shared" si="72"/>
        <v>Friday</v>
      </c>
      <c r="U927" t="str">
        <f t="shared" si="73"/>
        <v>February</v>
      </c>
      <c r="V927" s="16" t="str">
        <f t="shared" si="74"/>
        <v>GOOD</v>
      </c>
    </row>
    <row r="928" spans="1:22" x14ac:dyDescent="0.3">
      <c r="A928">
        <v>927</v>
      </c>
      <c r="B928" s="1">
        <v>40585</v>
      </c>
      <c r="C928">
        <v>1</v>
      </c>
      <c r="D928">
        <v>0</v>
      </c>
      <c r="E928">
        <v>2</v>
      </c>
      <c r="F928">
        <v>5</v>
      </c>
      <c r="G928" t="b">
        <f>IF(COUNTIF(AB$4:AB$20,Append1[[#This Row],[dteday]]) &gt; 0, TRUE, FALSE)</f>
        <v>0</v>
      </c>
      <c r="H928">
        <v>5</v>
      </c>
      <c r="I928">
        <v>1</v>
      </c>
      <c r="J928">
        <v>0.08</v>
      </c>
      <c r="K928">
        <f>Append1[[#This Row],[temp]]*100</f>
        <v>8</v>
      </c>
      <c r="L928">
        <v>0.1212</v>
      </c>
      <c r="M928">
        <v>0.63</v>
      </c>
      <c r="N928">
        <v>8.9599999999999999E-2</v>
      </c>
      <c r="O928">
        <v>0</v>
      </c>
      <c r="P928">
        <v>4</v>
      </c>
      <c r="Q928">
        <v>4</v>
      </c>
      <c r="R928" s="12" t="str">
        <f t="shared" si="70"/>
        <v>Clear/Few Clouds</v>
      </c>
      <c r="S928" s="14" t="str">
        <f t="shared" si="71"/>
        <v>Winter</v>
      </c>
      <c r="T928" s="15" t="str">
        <f t="shared" si="72"/>
        <v>Friday</v>
      </c>
      <c r="U928" t="str">
        <f t="shared" si="73"/>
        <v>February</v>
      </c>
      <c r="V928" s="16" t="str">
        <f t="shared" si="74"/>
        <v>GOOD</v>
      </c>
    </row>
    <row r="929" spans="1:22" x14ac:dyDescent="0.3">
      <c r="A929">
        <v>928</v>
      </c>
      <c r="B929" s="1">
        <v>40585</v>
      </c>
      <c r="C929">
        <v>1</v>
      </c>
      <c r="D929">
        <v>0</v>
      </c>
      <c r="E929">
        <v>2</v>
      </c>
      <c r="F929">
        <v>6</v>
      </c>
      <c r="G929" t="b">
        <f>IF(COUNTIF(AB$4:AB$20,Append1[[#This Row],[dteday]]) &gt; 0, TRUE, FALSE)</f>
        <v>0</v>
      </c>
      <c r="H929">
        <v>5</v>
      </c>
      <c r="I929">
        <v>1</v>
      </c>
      <c r="J929">
        <v>0.1</v>
      </c>
      <c r="K929">
        <f>Append1[[#This Row],[temp]]*100</f>
        <v>10</v>
      </c>
      <c r="L929">
        <v>0.18179999999999999</v>
      </c>
      <c r="M929">
        <v>0.68</v>
      </c>
      <c r="N929">
        <v>0</v>
      </c>
      <c r="O929">
        <v>1</v>
      </c>
      <c r="P929">
        <v>23</v>
      </c>
      <c r="Q929">
        <v>24</v>
      </c>
      <c r="R929" s="12" t="str">
        <f t="shared" si="70"/>
        <v>Clear/Few Clouds</v>
      </c>
      <c r="S929" s="14" t="str">
        <f t="shared" si="71"/>
        <v>Winter</v>
      </c>
      <c r="T929" s="15" t="str">
        <f t="shared" si="72"/>
        <v>Friday</v>
      </c>
      <c r="U929" t="str">
        <f t="shared" si="73"/>
        <v>February</v>
      </c>
      <c r="V929" s="16" t="str">
        <f t="shared" si="74"/>
        <v>GOOD</v>
      </c>
    </row>
    <row r="930" spans="1:22" x14ac:dyDescent="0.3">
      <c r="A930">
        <v>929</v>
      </c>
      <c r="B930" s="1">
        <v>40585</v>
      </c>
      <c r="C930">
        <v>1</v>
      </c>
      <c r="D930">
        <v>0</v>
      </c>
      <c r="E930">
        <v>2</v>
      </c>
      <c r="F930">
        <v>7</v>
      </c>
      <c r="G930" t="b">
        <f>IF(COUNTIF(AB$4:AB$20,Append1[[#This Row],[dteday]]) &gt; 0, TRUE, FALSE)</f>
        <v>0</v>
      </c>
      <c r="H930">
        <v>5</v>
      </c>
      <c r="I930">
        <v>1</v>
      </c>
      <c r="J930">
        <v>0.08</v>
      </c>
      <c r="K930">
        <f>Append1[[#This Row],[temp]]*100</f>
        <v>8</v>
      </c>
      <c r="L930">
        <v>0.16669999999999999</v>
      </c>
      <c r="M930">
        <v>0.73</v>
      </c>
      <c r="N930">
        <v>0</v>
      </c>
      <c r="O930">
        <v>1</v>
      </c>
      <c r="P930">
        <v>73</v>
      </c>
      <c r="Q930">
        <v>74</v>
      </c>
      <c r="R930" s="12" t="str">
        <f t="shared" si="70"/>
        <v>Clear/Few Clouds</v>
      </c>
      <c r="S930" s="14" t="str">
        <f t="shared" si="71"/>
        <v>Winter</v>
      </c>
      <c r="T930" s="15" t="str">
        <f t="shared" si="72"/>
        <v>Friday</v>
      </c>
      <c r="U930" t="str">
        <f t="shared" si="73"/>
        <v>February</v>
      </c>
      <c r="V930" s="16" t="str">
        <f t="shared" si="74"/>
        <v>GOOD</v>
      </c>
    </row>
    <row r="931" spans="1:22" x14ac:dyDescent="0.3">
      <c r="A931">
        <v>930</v>
      </c>
      <c r="B931" s="1">
        <v>40585</v>
      </c>
      <c r="C931">
        <v>1</v>
      </c>
      <c r="D931">
        <v>0</v>
      </c>
      <c r="E931">
        <v>2</v>
      </c>
      <c r="F931">
        <v>8</v>
      </c>
      <c r="G931" t="b">
        <f>IF(COUNTIF(AB$4:AB$20,Append1[[#This Row],[dteday]]) &gt; 0, TRUE, FALSE)</f>
        <v>0</v>
      </c>
      <c r="H931">
        <v>5</v>
      </c>
      <c r="I931">
        <v>1</v>
      </c>
      <c r="J931">
        <v>0.1</v>
      </c>
      <c r="K931">
        <f>Append1[[#This Row],[temp]]*100</f>
        <v>10</v>
      </c>
      <c r="L931">
        <v>0.1212</v>
      </c>
      <c r="M931">
        <v>0.74</v>
      </c>
      <c r="N931">
        <v>0.16420000000000001</v>
      </c>
      <c r="O931">
        <v>4</v>
      </c>
      <c r="P931">
        <v>212</v>
      </c>
      <c r="Q931">
        <v>216</v>
      </c>
      <c r="R931" s="12" t="str">
        <f t="shared" si="70"/>
        <v>Clear/Few Clouds</v>
      </c>
      <c r="S931" s="14" t="str">
        <f t="shared" si="71"/>
        <v>Winter</v>
      </c>
      <c r="T931" s="15" t="str">
        <f t="shared" si="72"/>
        <v>Friday</v>
      </c>
      <c r="U931" t="str">
        <f t="shared" si="73"/>
        <v>February</v>
      </c>
      <c r="V931" s="16" t="str">
        <f t="shared" si="74"/>
        <v>GOOD</v>
      </c>
    </row>
    <row r="932" spans="1:22" x14ac:dyDescent="0.3">
      <c r="A932">
        <v>931</v>
      </c>
      <c r="B932" s="1">
        <v>40585</v>
      </c>
      <c r="C932">
        <v>1</v>
      </c>
      <c r="D932">
        <v>0</v>
      </c>
      <c r="E932">
        <v>2</v>
      </c>
      <c r="F932">
        <v>9</v>
      </c>
      <c r="G932" t="b">
        <f>IF(COUNTIF(AB$4:AB$20,Append1[[#This Row],[dteday]]) &gt; 0, TRUE, FALSE)</f>
        <v>0</v>
      </c>
      <c r="H932">
        <v>5</v>
      </c>
      <c r="I932">
        <v>1</v>
      </c>
      <c r="J932">
        <v>0.12</v>
      </c>
      <c r="K932">
        <f>Append1[[#This Row],[temp]]*100</f>
        <v>12</v>
      </c>
      <c r="L932">
        <v>0.1212</v>
      </c>
      <c r="M932">
        <v>0.74</v>
      </c>
      <c r="N932">
        <v>0.22389999999999999</v>
      </c>
      <c r="O932">
        <v>8</v>
      </c>
      <c r="P932">
        <v>132</v>
      </c>
      <c r="Q932">
        <v>140</v>
      </c>
      <c r="R932" s="12" t="str">
        <f t="shared" si="70"/>
        <v>Clear/Few Clouds</v>
      </c>
      <c r="S932" s="14" t="str">
        <f t="shared" si="71"/>
        <v>Winter</v>
      </c>
      <c r="T932" s="15" t="str">
        <f t="shared" si="72"/>
        <v>Friday</v>
      </c>
      <c r="U932" t="str">
        <f t="shared" si="73"/>
        <v>February</v>
      </c>
      <c r="V932" s="16" t="str">
        <f t="shared" si="74"/>
        <v>GOOD</v>
      </c>
    </row>
    <row r="933" spans="1:22" x14ac:dyDescent="0.3">
      <c r="A933">
        <v>932</v>
      </c>
      <c r="B933" s="1">
        <v>40585</v>
      </c>
      <c r="C933">
        <v>1</v>
      </c>
      <c r="D933">
        <v>0</v>
      </c>
      <c r="E933">
        <v>2</v>
      </c>
      <c r="F933">
        <v>10</v>
      </c>
      <c r="G933" t="b">
        <f>IF(COUNTIF(AB$4:AB$20,Append1[[#This Row],[dteday]]) &gt; 0, TRUE, FALSE)</f>
        <v>0</v>
      </c>
      <c r="H933">
        <v>5</v>
      </c>
      <c r="I933">
        <v>1</v>
      </c>
      <c r="J933">
        <v>0.14000000000000001</v>
      </c>
      <c r="K933">
        <f>Append1[[#This Row],[temp]]*100</f>
        <v>14.000000000000002</v>
      </c>
      <c r="L933">
        <v>0.13639999999999999</v>
      </c>
      <c r="M933">
        <v>0.69</v>
      </c>
      <c r="N933">
        <v>0.19400000000000001</v>
      </c>
      <c r="O933">
        <v>5</v>
      </c>
      <c r="P933">
        <v>39</v>
      </c>
      <c r="Q933">
        <v>44</v>
      </c>
      <c r="R933" s="12" t="str">
        <f t="shared" si="70"/>
        <v>Clear/Few Clouds</v>
      </c>
      <c r="S933" s="14" t="str">
        <f t="shared" si="71"/>
        <v>Winter</v>
      </c>
      <c r="T933" s="15" t="str">
        <f t="shared" si="72"/>
        <v>Friday</v>
      </c>
      <c r="U933" t="str">
        <f t="shared" si="73"/>
        <v>February</v>
      </c>
      <c r="V933" s="16" t="str">
        <f t="shared" si="74"/>
        <v>GOOD</v>
      </c>
    </row>
    <row r="934" spans="1:22" x14ac:dyDescent="0.3">
      <c r="A934">
        <v>933</v>
      </c>
      <c r="B934" s="1">
        <v>40585</v>
      </c>
      <c r="C934">
        <v>1</v>
      </c>
      <c r="D934">
        <v>0</v>
      </c>
      <c r="E934">
        <v>2</v>
      </c>
      <c r="F934">
        <v>11</v>
      </c>
      <c r="G934" t="b">
        <f>IF(COUNTIF(AB$4:AB$20,Append1[[#This Row],[dteday]]) &gt; 0, TRUE, FALSE)</f>
        <v>0</v>
      </c>
      <c r="H934">
        <v>5</v>
      </c>
      <c r="I934">
        <v>1</v>
      </c>
      <c r="J934">
        <v>0.22</v>
      </c>
      <c r="K934">
        <f>Append1[[#This Row],[temp]]*100</f>
        <v>22</v>
      </c>
      <c r="L934">
        <v>0.2273</v>
      </c>
      <c r="M934">
        <v>0.47</v>
      </c>
      <c r="N934">
        <v>0.1343</v>
      </c>
      <c r="O934">
        <v>12</v>
      </c>
      <c r="P934">
        <v>52</v>
      </c>
      <c r="Q934">
        <v>64</v>
      </c>
      <c r="R934" s="12" t="str">
        <f t="shared" si="70"/>
        <v>Clear/Few Clouds</v>
      </c>
      <c r="S934" s="14" t="str">
        <f t="shared" si="71"/>
        <v>Winter</v>
      </c>
      <c r="T934" s="15" t="str">
        <f t="shared" si="72"/>
        <v>Friday</v>
      </c>
      <c r="U934" t="str">
        <f t="shared" si="73"/>
        <v>February</v>
      </c>
      <c r="V934" s="16" t="str">
        <f t="shared" si="74"/>
        <v>GOOD</v>
      </c>
    </row>
    <row r="935" spans="1:22" x14ac:dyDescent="0.3">
      <c r="A935">
        <v>934</v>
      </c>
      <c r="B935" s="1">
        <v>40585</v>
      </c>
      <c r="C935">
        <v>1</v>
      </c>
      <c r="D935">
        <v>0</v>
      </c>
      <c r="E935">
        <v>2</v>
      </c>
      <c r="F935">
        <v>12</v>
      </c>
      <c r="G935" t="b">
        <f>IF(COUNTIF(AB$4:AB$20,Append1[[#This Row],[dteday]]) &gt; 0, TRUE, FALSE)</f>
        <v>0</v>
      </c>
      <c r="H935">
        <v>5</v>
      </c>
      <c r="I935">
        <v>1</v>
      </c>
      <c r="J935">
        <v>0.22</v>
      </c>
      <c r="K935">
        <f>Append1[[#This Row],[temp]]*100</f>
        <v>22</v>
      </c>
      <c r="L935">
        <v>0.2273</v>
      </c>
      <c r="M935">
        <v>0.47</v>
      </c>
      <c r="N935">
        <v>0.1343</v>
      </c>
      <c r="O935">
        <v>7</v>
      </c>
      <c r="P935">
        <v>64</v>
      </c>
      <c r="Q935">
        <v>71</v>
      </c>
      <c r="R935" s="12" t="str">
        <f t="shared" si="70"/>
        <v>Clear/Few Clouds</v>
      </c>
      <c r="S935" s="14" t="str">
        <f t="shared" si="71"/>
        <v>Winter</v>
      </c>
      <c r="T935" s="15" t="str">
        <f t="shared" si="72"/>
        <v>Friday</v>
      </c>
      <c r="U935" t="str">
        <f t="shared" si="73"/>
        <v>February</v>
      </c>
      <c r="V935" s="16" t="str">
        <f t="shared" si="74"/>
        <v>GOOD</v>
      </c>
    </row>
    <row r="936" spans="1:22" x14ac:dyDescent="0.3">
      <c r="A936">
        <v>935</v>
      </c>
      <c r="B936" s="1">
        <v>40585</v>
      </c>
      <c r="C936">
        <v>1</v>
      </c>
      <c r="D936">
        <v>0</v>
      </c>
      <c r="E936">
        <v>2</v>
      </c>
      <c r="F936">
        <v>13</v>
      </c>
      <c r="G936" t="b">
        <f>IF(COUNTIF(AB$4:AB$20,Append1[[#This Row],[dteday]]) &gt; 0, TRUE, FALSE)</f>
        <v>0</v>
      </c>
      <c r="H936">
        <v>5</v>
      </c>
      <c r="I936">
        <v>1</v>
      </c>
      <c r="J936">
        <v>0.24</v>
      </c>
      <c r="K936">
        <f>Append1[[#This Row],[temp]]*100</f>
        <v>24</v>
      </c>
      <c r="L936">
        <v>0.2273</v>
      </c>
      <c r="M936">
        <v>0.35</v>
      </c>
      <c r="N936">
        <v>0.19400000000000001</v>
      </c>
      <c r="O936">
        <v>21</v>
      </c>
      <c r="P936">
        <v>89</v>
      </c>
      <c r="Q936">
        <v>110</v>
      </c>
      <c r="R936" s="12" t="str">
        <f t="shared" si="70"/>
        <v>Clear/Few Clouds</v>
      </c>
      <c r="S936" s="14" t="str">
        <f t="shared" si="71"/>
        <v>Winter</v>
      </c>
      <c r="T936" s="15" t="str">
        <f t="shared" si="72"/>
        <v>Friday</v>
      </c>
      <c r="U936" t="str">
        <f t="shared" si="73"/>
        <v>February</v>
      </c>
      <c r="V936" s="16" t="str">
        <f t="shared" si="74"/>
        <v>GOOD</v>
      </c>
    </row>
    <row r="937" spans="1:22" x14ac:dyDescent="0.3">
      <c r="A937">
        <v>936</v>
      </c>
      <c r="B937" s="1">
        <v>40585</v>
      </c>
      <c r="C937">
        <v>1</v>
      </c>
      <c r="D937">
        <v>0</v>
      </c>
      <c r="E937">
        <v>2</v>
      </c>
      <c r="F937">
        <v>14</v>
      </c>
      <c r="G937" t="b">
        <f>IF(COUNTIF(AB$4:AB$20,Append1[[#This Row],[dteday]]) &gt; 0, TRUE, FALSE)</f>
        <v>0</v>
      </c>
      <c r="H937">
        <v>5</v>
      </c>
      <c r="I937">
        <v>1</v>
      </c>
      <c r="J937">
        <v>0.3</v>
      </c>
      <c r="K937">
        <f>Append1[[#This Row],[temp]]*100</f>
        <v>30</v>
      </c>
      <c r="L937">
        <v>0.28789999999999999</v>
      </c>
      <c r="M937">
        <v>0.26</v>
      </c>
      <c r="N937">
        <v>0.25369999999999998</v>
      </c>
      <c r="O937">
        <v>17</v>
      </c>
      <c r="P937">
        <v>67</v>
      </c>
      <c r="Q937">
        <v>84</v>
      </c>
      <c r="R937" s="12" t="str">
        <f t="shared" si="70"/>
        <v>Clear/Few Clouds</v>
      </c>
      <c r="S937" s="14" t="str">
        <f t="shared" si="71"/>
        <v>Winter</v>
      </c>
      <c r="T937" s="15" t="str">
        <f t="shared" si="72"/>
        <v>Friday</v>
      </c>
      <c r="U937" t="str">
        <f t="shared" si="73"/>
        <v>February</v>
      </c>
      <c r="V937" s="16" t="str">
        <f t="shared" si="74"/>
        <v>GOOD</v>
      </c>
    </row>
    <row r="938" spans="1:22" x14ac:dyDescent="0.3">
      <c r="A938">
        <v>937</v>
      </c>
      <c r="B938" s="1">
        <v>40585</v>
      </c>
      <c r="C938">
        <v>1</v>
      </c>
      <c r="D938">
        <v>0</v>
      </c>
      <c r="E938">
        <v>2</v>
      </c>
      <c r="F938">
        <v>15</v>
      </c>
      <c r="G938" t="b">
        <f>IF(COUNTIF(AB$4:AB$20,Append1[[#This Row],[dteday]]) &gt; 0, TRUE, FALSE)</f>
        <v>0</v>
      </c>
      <c r="H938">
        <v>5</v>
      </c>
      <c r="I938">
        <v>1</v>
      </c>
      <c r="J938">
        <v>0.32</v>
      </c>
      <c r="K938">
        <f>Append1[[#This Row],[temp]]*100</f>
        <v>32</v>
      </c>
      <c r="L938">
        <v>0.31819999999999998</v>
      </c>
      <c r="M938">
        <v>0.21</v>
      </c>
      <c r="N938">
        <v>0.16420000000000001</v>
      </c>
      <c r="O938">
        <v>12</v>
      </c>
      <c r="P938">
        <v>62</v>
      </c>
      <c r="Q938">
        <v>74</v>
      </c>
      <c r="R938" s="12" t="str">
        <f t="shared" si="70"/>
        <v>Clear/Few Clouds</v>
      </c>
      <c r="S938" s="14" t="str">
        <f t="shared" si="71"/>
        <v>Winter</v>
      </c>
      <c r="T938" s="15" t="str">
        <f t="shared" si="72"/>
        <v>Friday</v>
      </c>
      <c r="U938" t="str">
        <f t="shared" si="73"/>
        <v>February</v>
      </c>
      <c r="V938" s="16" t="str">
        <f t="shared" si="74"/>
        <v>GOOD</v>
      </c>
    </row>
    <row r="939" spans="1:22" x14ac:dyDescent="0.3">
      <c r="A939">
        <v>938</v>
      </c>
      <c r="B939" s="1">
        <v>40585</v>
      </c>
      <c r="C939">
        <v>1</v>
      </c>
      <c r="D939">
        <v>0</v>
      </c>
      <c r="E939">
        <v>2</v>
      </c>
      <c r="F939">
        <v>16</v>
      </c>
      <c r="G939" t="b">
        <f>IF(COUNTIF(AB$4:AB$20,Append1[[#This Row],[dteday]]) &gt; 0, TRUE, FALSE)</f>
        <v>0</v>
      </c>
      <c r="H939">
        <v>5</v>
      </c>
      <c r="I939">
        <v>1</v>
      </c>
      <c r="J939">
        <v>0.3</v>
      </c>
      <c r="K939">
        <f>Append1[[#This Row],[temp]]*100</f>
        <v>30</v>
      </c>
      <c r="L939">
        <v>0.28789999999999999</v>
      </c>
      <c r="M939">
        <v>0.28000000000000003</v>
      </c>
      <c r="N939">
        <v>0.19400000000000001</v>
      </c>
      <c r="O939">
        <v>14</v>
      </c>
      <c r="P939">
        <v>111</v>
      </c>
      <c r="Q939">
        <v>125</v>
      </c>
      <c r="R939" s="12" t="str">
        <f t="shared" si="70"/>
        <v>Clear/Few Clouds</v>
      </c>
      <c r="S939" s="14" t="str">
        <f t="shared" si="71"/>
        <v>Winter</v>
      </c>
      <c r="T939" s="15" t="str">
        <f t="shared" si="72"/>
        <v>Friday</v>
      </c>
      <c r="U939" t="str">
        <f t="shared" si="73"/>
        <v>February</v>
      </c>
      <c r="V939" s="16" t="str">
        <f t="shared" si="74"/>
        <v>GOOD</v>
      </c>
    </row>
    <row r="940" spans="1:22" x14ac:dyDescent="0.3">
      <c r="A940">
        <v>939</v>
      </c>
      <c r="B940" s="1">
        <v>40585</v>
      </c>
      <c r="C940">
        <v>1</v>
      </c>
      <c r="D940">
        <v>0</v>
      </c>
      <c r="E940">
        <v>2</v>
      </c>
      <c r="F940">
        <v>17</v>
      </c>
      <c r="G940" t="b">
        <f>IF(COUNTIF(AB$4:AB$20,Append1[[#This Row],[dteday]]) &gt; 0, TRUE, FALSE)</f>
        <v>0</v>
      </c>
      <c r="H940">
        <v>5</v>
      </c>
      <c r="I940">
        <v>1</v>
      </c>
      <c r="J940">
        <v>0.3</v>
      </c>
      <c r="K940">
        <f>Append1[[#This Row],[temp]]*100</f>
        <v>30</v>
      </c>
      <c r="L940">
        <v>0.33329999999999999</v>
      </c>
      <c r="M940">
        <v>0.24</v>
      </c>
      <c r="N940">
        <v>0</v>
      </c>
      <c r="O940">
        <v>18</v>
      </c>
      <c r="P940">
        <v>193</v>
      </c>
      <c r="Q940">
        <v>211</v>
      </c>
      <c r="R940" s="12" t="str">
        <f t="shared" si="70"/>
        <v>Clear/Few Clouds</v>
      </c>
      <c r="S940" s="14" t="str">
        <f t="shared" si="71"/>
        <v>Winter</v>
      </c>
      <c r="T940" s="15" t="str">
        <f t="shared" si="72"/>
        <v>Friday</v>
      </c>
      <c r="U940" t="str">
        <f t="shared" si="73"/>
        <v>February</v>
      </c>
      <c r="V940" s="16" t="str">
        <f t="shared" si="74"/>
        <v>GOOD</v>
      </c>
    </row>
    <row r="941" spans="1:22" x14ac:dyDescent="0.3">
      <c r="A941">
        <v>940</v>
      </c>
      <c r="B941" s="1">
        <v>40585</v>
      </c>
      <c r="C941">
        <v>1</v>
      </c>
      <c r="D941">
        <v>0</v>
      </c>
      <c r="E941">
        <v>2</v>
      </c>
      <c r="F941">
        <v>18</v>
      </c>
      <c r="G941" t="b">
        <f>IF(COUNTIF(AB$4:AB$20,Append1[[#This Row],[dteday]]) &gt; 0, TRUE, FALSE)</f>
        <v>0</v>
      </c>
      <c r="H941">
        <v>5</v>
      </c>
      <c r="I941">
        <v>1</v>
      </c>
      <c r="J941">
        <v>0.28000000000000003</v>
      </c>
      <c r="K941">
        <f>Append1[[#This Row],[temp]]*100</f>
        <v>28.000000000000004</v>
      </c>
      <c r="L941">
        <v>0.31819999999999998</v>
      </c>
      <c r="M941">
        <v>0.28000000000000003</v>
      </c>
      <c r="N941">
        <v>0</v>
      </c>
      <c r="O941">
        <v>9</v>
      </c>
      <c r="P941">
        <v>165</v>
      </c>
      <c r="Q941">
        <v>174</v>
      </c>
      <c r="R941" s="12" t="str">
        <f t="shared" si="70"/>
        <v>Clear/Few Clouds</v>
      </c>
      <c r="S941" s="14" t="str">
        <f t="shared" si="71"/>
        <v>Winter</v>
      </c>
      <c r="T941" s="15" t="str">
        <f t="shared" si="72"/>
        <v>Friday</v>
      </c>
      <c r="U941" t="str">
        <f t="shared" si="73"/>
        <v>February</v>
      </c>
      <c r="V941" s="16" t="str">
        <f t="shared" si="74"/>
        <v>GOOD</v>
      </c>
    </row>
    <row r="942" spans="1:22" x14ac:dyDescent="0.3">
      <c r="A942">
        <v>941</v>
      </c>
      <c r="B942" s="1">
        <v>40585</v>
      </c>
      <c r="C942">
        <v>1</v>
      </c>
      <c r="D942">
        <v>0</v>
      </c>
      <c r="E942">
        <v>2</v>
      </c>
      <c r="F942">
        <v>19</v>
      </c>
      <c r="G942" t="b">
        <f>IF(COUNTIF(AB$4:AB$20,Append1[[#This Row],[dteday]]) &gt; 0, TRUE, FALSE)</f>
        <v>0</v>
      </c>
      <c r="H942">
        <v>5</v>
      </c>
      <c r="I942">
        <v>1</v>
      </c>
      <c r="J942">
        <v>0.26</v>
      </c>
      <c r="K942">
        <f>Append1[[#This Row],[temp]]*100</f>
        <v>26</v>
      </c>
      <c r="L942">
        <v>0.30299999999999999</v>
      </c>
      <c r="M942">
        <v>0.33</v>
      </c>
      <c r="N942">
        <v>0</v>
      </c>
      <c r="O942">
        <v>7</v>
      </c>
      <c r="P942">
        <v>94</v>
      </c>
      <c r="Q942">
        <v>101</v>
      </c>
      <c r="R942" s="12" t="str">
        <f t="shared" si="70"/>
        <v>Clear/Few Clouds</v>
      </c>
      <c r="S942" s="14" t="str">
        <f t="shared" si="71"/>
        <v>Winter</v>
      </c>
      <c r="T942" s="15" t="str">
        <f t="shared" si="72"/>
        <v>Friday</v>
      </c>
      <c r="U942" t="str">
        <f t="shared" si="73"/>
        <v>February</v>
      </c>
      <c r="V942" s="16" t="str">
        <f t="shared" si="74"/>
        <v>GOOD</v>
      </c>
    </row>
    <row r="943" spans="1:22" x14ac:dyDescent="0.3">
      <c r="A943">
        <v>942</v>
      </c>
      <c r="B943" s="1">
        <v>40585</v>
      </c>
      <c r="C943">
        <v>1</v>
      </c>
      <c r="D943">
        <v>0</v>
      </c>
      <c r="E943">
        <v>2</v>
      </c>
      <c r="F943">
        <v>20</v>
      </c>
      <c r="G943" t="b">
        <f>IF(COUNTIF(AB$4:AB$20,Append1[[#This Row],[dteday]]) &gt; 0, TRUE, FALSE)</f>
        <v>0</v>
      </c>
      <c r="H943">
        <v>5</v>
      </c>
      <c r="I943">
        <v>1</v>
      </c>
      <c r="J943">
        <v>0.22</v>
      </c>
      <c r="K943">
        <f>Append1[[#This Row],[temp]]*100</f>
        <v>22</v>
      </c>
      <c r="L943">
        <v>0.2273</v>
      </c>
      <c r="M943">
        <v>0.55000000000000004</v>
      </c>
      <c r="N943">
        <v>0.1343</v>
      </c>
      <c r="O943">
        <v>2</v>
      </c>
      <c r="P943">
        <v>61</v>
      </c>
      <c r="Q943">
        <v>63</v>
      </c>
      <c r="R943" s="12" t="str">
        <f t="shared" si="70"/>
        <v>Clear/Few Clouds</v>
      </c>
      <c r="S943" s="14" t="str">
        <f t="shared" si="71"/>
        <v>Winter</v>
      </c>
      <c r="T943" s="15" t="str">
        <f t="shared" si="72"/>
        <v>Friday</v>
      </c>
      <c r="U943" t="str">
        <f t="shared" si="73"/>
        <v>February</v>
      </c>
      <c r="V943" s="16" t="str">
        <f t="shared" si="74"/>
        <v>GOOD</v>
      </c>
    </row>
    <row r="944" spans="1:22" x14ac:dyDescent="0.3">
      <c r="A944">
        <v>943</v>
      </c>
      <c r="B944" s="1">
        <v>40585</v>
      </c>
      <c r="C944">
        <v>1</v>
      </c>
      <c r="D944">
        <v>0</v>
      </c>
      <c r="E944">
        <v>2</v>
      </c>
      <c r="F944">
        <v>21</v>
      </c>
      <c r="G944" t="b">
        <f>IF(COUNTIF(AB$4:AB$20,Append1[[#This Row],[dteday]]) &gt; 0, TRUE, FALSE)</f>
        <v>0</v>
      </c>
      <c r="H944">
        <v>5</v>
      </c>
      <c r="I944">
        <v>1</v>
      </c>
      <c r="J944">
        <v>0.2</v>
      </c>
      <c r="K944">
        <f>Append1[[#This Row],[temp]]*100</f>
        <v>20</v>
      </c>
      <c r="L944">
        <v>0.21210000000000001</v>
      </c>
      <c r="M944">
        <v>0.59</v>
      </c>
      <c r="N944">
        <v>0.1343</v>
      </c>
      <c r="O944">
        <v>1</v>
      </c>
      <c r="P944">
        <v>46</v>
      </c>
      <c r="Q944">
        <v>47</v>
      </c>
      <c r="R944" s="12" t="str">
        <f t="shared" si="70"/>
        <v>Clear/Few Clouds</v>
      </c>
      <c r="S944" s="14" t="str">
        <f t="shared" si="71"/>
        <v>Winter</v>
      </c>
      <c r="T944" s="15" t="str">
        <f t="shared" si="72"/>
        <v>Friday</v>
      </c>
      <c r="U944" t="str">
        <f t="shared" si="73"/>
        <v>February</v>
      </c>
      <c r="V944" s="16" t="str">
        <f t="shared" si="74"/>
        <v>GOOD</v>
      </c>
    </row>
    <row r="945" spans="1:22" x14ac:dyDescent="0.3">
      <c r="A945">
        <v>944</v>
      </c>
      <c r="B945" s="1">
        <v>40585</v>
      </c>
      <c r="C945">
        <v>1</v>
      </c>
      <c r="D945">
        <v>0</v>
      </c>
      <c r="E945">
        <v>2</v>
      </c>
      <c r="F945">
        <v>22</v>
      </c>
      <c r="G945" t="b">
        <f>IF(COUNTIF(AB$4:AB$20,Append1[[#This Row],[dteday]]) &gt; 0, TRUE, FALSE)</f>
        <v>0</v>
      </c>
      <c r="H945">
        <v>5</v>
      </c>
      <c r="I945">
        <v>1</v>
      </c>
      <c r="J945">
        <v>0.2</v>
      </c>
      <c r="K945">
        <f>Append1[[#This Row],[temp]]*100</f>
        <v>20</v>
      </c>
      <c r="L945">
        <v>0.2273</v>
      </c>
      <c r="M945">
        <v>0.64</v>
      </c>
      <c r="N945">
        <v>8.9599999999999999E-2</v>
      </c>
      <c r="O945">
        <v>2</v>
      </c>
      <c r="P945">
        <v>41</v>
      </c>
      <c r="Q945">
        <v>43</v>
      </c>
      <c r="R945" s="12" t="str">
        <f t="shared" si="70"/>
        <v>Clear/Few Clouds</v>
      </c>
      <c r="S945" s="14" t="str">
        <f t="shared" si="71"/>
        <v>Winter</v>
      </c>
      <c r="T945" s="15" t="str">
        <f t="shared" si="72"/>
        <v>Friday</v>
      </c>
      <c r="U945" t="str">
        <f t="shared" si="73"/>
        <v>February</v>
      </c>
      <c r="V945" s="16" t="str">
        <f t="shared" si="74"/>
        <v>GOOD</v>
      </c>
    </row>
    <row r="946" spans="1:22" x14ac:dyDescent="0.3">
      <c r="A946">
        <v>945</v>
      </c>
      <c r="B946" s="1">
        <v>40585</v>
      </c>
      <c r="C946">
        <v>1</v>
      </c>
      <c r="D946">
        <v>0</v>
      </c>
      <c r="E946">
        <v>2</v>
      </c>
      <c r="F946">
        <v>23</v>
      </c>
      <c r="G946" t="b">
        <f>IF(COUNTIF(AB$4:AB$20,Append1[[#This Row],[dteday]]) &gt; 0, TRUE, FALSE)</f>
        <v>0</v>
      </c>
      <c r="H946">
        <v>5</v>
      </c>
      <c r="I946">
        <v>1</v>
      </c>
      <c r="J946">
        <v>0.18</v>
      </c>
      <c r="K946">
        <f>Append1[[#This Row],[temp]]*100</f>
        <v>18</v>
      </c>
      <c r="L946">
        <v>0.2424</v>
      </c>
      <c r="M946">
        <v>0.69</v>
      </c>
      <c r="N946">
        <v>0</v>
      </c>
      <c r="O946">
        <v>5</v>
      </c>
      <c r="P946">
        <v>48</v>
      </c>
      <c r="Q946">
        <v>53</v>
      </c>
      <c r="R946" s="12" t="str">
        <f t="shared" si="70"/>
        <v>Clear/Few Clouds</v>
      </c>
      <c r="S946" s="14" t="str">
        <f t="shared" si="71"/>
        <v>Winter</v>
      </c>
      <c r="T946" s="15" t="str">
        <f t="shared" si="72"/>
        <v>Friday</v>
      </c>
      <c r="U946" t="str">
        <f t="shared" si="73"/>
        <v>February</v>
      </c>
      <c r="V946" s="16" t="str">
        <f t="shared" si="74"/>
        <v>GOOD</v>
      </c>
    </row>
    <row r="947" spans="1:22" x14ac:dyDescent="0.3">
      <c r="A947">
        <v>946</v>
      </c>
      <c r="B947" s="1">
        <v>40586</v>
      </c>
      <c r="C947">
        <v>1</v>
      </c>
      <c r="D947">
        <v>0</v>
      </c>
      <c r="E947">
        <v>2</v>
      </c>
      <c r="F947">
        <v>0</v>
      </c>
      <c r="G947" t="b">
        <f>IF(COUNTIF(AB$4:AB$20,Append1[[#This Row],[dteday]]) &gt; 0, TRUE, FALSE)</f>
        <v>0</v>
      </c>
      <c r="H947">
        <v>6</v>
      </c>
      <c r="I947">
        <v>1</v>
      </c>
      <c r="J947">
        <v>0.16</v>
      </c>
      <c r="K947">
        <f>Append1[[#This Row],[temp]]*100</f>
        <v>16</v>
      </c>
      <c r="L947">
        <v>0.19700000000000001</v>
      </c>
      <c r="M947">
        <v>0.69</v>
      </c>
      <c r="N947">
        <v>8.9599999999999999E-2</v>
      </c>
      <c r="O947">
        <v>3</v>
      </c>
      <c r="P947">
        <v>27</v>
      </c>
      <c r="Q947">
        <v>30</v>
      </c>
      <c r="R947" s="12" t="str">
        <f t="shared" si="70"/>
        <v>Clear/Few Clouds</v>
      </c>
      <c r="S947" s="14" t="str">
        <f t="shared" si="71"/>
        <v>Winter</v>
      </c>
      <c r="T947" s="15" t="str">
        <f t="shared" si="72"/>
        <v>Saturday</v>
      </c>
      <c r="U947" t="str">
        <f t="shared" si="73"/>
        <v>February</v>
      </c>
      <c r="V947" s="16" t="str">
        <f t="shared" si="74"/>
        <v>GOOD</v>
      </c>
    </row>
    <row r="948" spans="1:22" x14ac:dyDescent="0.3">
      <c r="A948">
        <v>947</v>
      </c>
      <c r="B948" s="1">
        <v>40586</v>
      </c>
      <c r="C948">
        <v>1</v>
      </c>
      <c r="D948">
        <v>0</v>
      </c>
      <c r="E948">
        <v>2</v>
      </c>
      <c r="F948">
        <v>1</v>
      </c>
      <c r="G948" t="b">
        <f>IF(COUNTIF(AB$4:AB$20,Append1[[#This Row],[dteday]]) &gt; 0, TRUE, FALSE)</f>
        <v>0</v>
      </c>
      <c r="H948">
        <v>6</v>
      </c>
      <c r="I948">
        <v>1</v>
      </c>
      <c r="J948">
        <v>0.14000000000000001</v>
      </c>
      <c r="K948">
        <f>Append1[[#This Row],[temp]]*100</f>
        <v>14.000000000000002</v>
      </c>
      <c r="L948">
        <v>0.21210000000000001</v>
      </c>
      <c r="M948">
        <v>0.86</v>
      </c>
      <c r="N948">
        <v>0</v>
      </c>
      <c r="O948">
        <v>2</v>
      </c>
      <c r="P948">
        <v>22</v>
      </c>
      <c r="Q948">
        <v>24</v>
      </c>
      <c r="R948" s="12" t="str">
        <f t="shared" si="70"/>
        <v>Clear/Few Clouds</v>
      </c>
      <c r="S948" s="14" t="str">
        <f t="shared" si="71"/>
        <v>Winter</v>
      </c>
      <c r="T948" s="15" t="str">
        <f t="shared" si="72"/>
        <v>Saturday</v>
      </c>
      <c r="U948" t="str">
        <f t="shared" si="73"/>
        <v>February</v>
      </c>
      <c r="V948" s="16" t="str">
        <f t="shared" si="74"/>
        <v>GOOD</v>
      </c>
    </row>
    <row r="949" spans="1:22" x14ac:dyDescent="0.3">
      <c r="A949">
        <v>948</v>
      </c>
      <c r="B949" s="1">
        <v>40586</v>
      </c>
      <c r="C949">
        <v>1</v>
      </c>
      <c r="D949">
        <v>0</v>
      </c>
      <c r="E949">
        <v>2</v>
      </c>
      <c r="F949">
        <v>2</v>
      </c>
      <c r="G949" t="b">
        <f>IF(COUNTIF(AB$4:AB$20,Append1[[#This Row],[dteday]]) &gt; 0, TRUE, FALSE)</f>
        <v>0</v>
      </c>
      <c r="H949">
        <v>6</v>
      </c>
      <c r="I949">
        <v>1</v>
      </c>
      <c r="J949">
        <v>0.14000000000000001</v>
      </c>
      <c r="K949">
        <f>Append1[[#This Row],[temp]]*100</f>
        <v>14.000000000000002</v>
      </c>
      <c r="L949">
        <v>0.21210000000000001</v>
      </c>
      <c r="M949">
        <v>0.8</v>
      </c>
      <c r="N949">
        <v>0</v>
      </c>
      <c r="O949">
        <v>2</v>
      </c>
      <c r="P949">
        <v>13</v>
      </c>
      <c r="Q949">
        <v>15</v>
      </c>
      <c r="R949" s="12" t="str">
        <f t="shared" si="70"/>
        <v>Clear/Few Clouds</v>
      </c>
      <c r="S949" s="14" t="str">
        <f t="shared" si="71"/>
        <v>Winter</v>
      </c>
      <c r="T949" s="15" t="str">
        <f t="shared" si="72"/>
        <v>Saturday</v>
      </c>
      <c r="U949" t="str">
        <f t="shared" si="73"/>
        <v>February</v>
      </c>
      <c r="V949" s="16" t="str">
        <f t="shared" si="74"/>
        <v>GOOD</v>
      </c>
    </row>
    <row r="950" spans="1:22" x14ac:dyDescent="0.3">
      <c r="A950">
        <v>949</v>
      </c>
      <c r="B950" s="1">
        <v>40586</v>
      </c>
      <c r="C950">
        <v>1</v>
      </c>
      <c r="D950">
        <v>0</v>
      </c>
      <c r="E950">
        <v>2</v>
      </c>
      <c r="F950">
        <v>3</v>
      </c>
      <c r="G950" t="b">
        <f>IF(COUNTIF(AB$4:AB$20,Append1[[#This Row],[dteday]]) &gt; 0, TRUE, FALSE)</f>
        <v>0</v>
      </c>
      <c r="H950">
        <v>6</v>
      </c>
      <c r="I950">
        <v>1</v>
      </c>
      <c r="J950">
        <v>0.12</v>
      </c>
      <c r="K950">
        <f>Append1[[#This Row],[temp]]*100</f>
        <v>12</v>
      </c>
      <c r="L950">
        <v>0.19700000000000001</v>
      </c>
      <c r="M950">
        <v>0.8</v>
      </c>
      <c r="N950">
        <v>0</v>
      </c>
      <c r="O950">
        <v>3</v>
      </c>
      <c r="P950">
        <v>7</v>
      </c>
      <c r="Q950">
        <v>10</v>
      </c>
      <c r="R950" s="12" t="str">
        <f t="shared" si="70"/>
        <v>Clear/Few Clouds</v>
      </c>
      <c r="S950" s="14" t="str">
        <f t="shared" si="71"/>
        <v>Winter</v>
      </c>
      <c r="T950" s="15" t="str">
        <f t="shared" si="72"/>
        <v>Saturday</v>
      </c>
      <c r="U950" t="str">
        <f t="shared" si="73"/>
        <v>February</v>
      </c>
      <c r="V950" s="16" t="str">
        <f t="shared" si="74"/>
        <v>GOOD</v>
      </c>
    </row>
    <row r="951" spans="1:22" x14ac:dyDescent="0.3">
      <c r="A951">
        <v>950</v>
      </c>
      <c r="B951" s="1">
        <v>40586</v>
      </c>
      <c r="C951">
        <v>1</v>
      </c>
      <c r="D951">
        <v>0</v>
      </c>
      <c r="E951">
        <v>2</v>
      </c>
      <c r="F951">
        <v>4</v>
      </c>
      <c r="G951" t="b">
        <f>IF(COUNTIF(AB$4:AB$20,Append1[[#This Row],[dteday]]) &gt; 0, TRUE, FALSE)</f>
        <v>0</v>
      </c>
      <c r="H951">
        <v>6</v>
      </c>
      <c r="I951">
        <v>1</v>
      </c>
      <c r="J951">
        <v>0.12</v>
      </c>
      <c r="K951">
        <f>Append1[[#This Row],[temp]]*100</f>
        <v>12</v>
      </c>
      <c r="L951">
        <v>0.16669999999999999</v>
      </c>
      <c r="M951">
        <v>0.74</v>
      </c>
      <c r="N951">
        <v>8.9599999999999999E-2</v>
      </c>
      <c r="O951">
        <v>0</v>
      </c>
      <c r="P951">
        <v>4</v>
      </c>
      <c r="Q951">
        <v>4</v>
      </c>
      <c r="R951" s="12" t="str">
        <f t="shared" si="70"/>
        <v>Clear/Few Clouds</v>
      </c>
      <c r="S951" s="14" t="str">
        <f t="shared" si="71"/>
        <v>Winter</v>
      </c>
      <c r="T951" s="15" t="str">
        <f t="shared" si="72"/>
        <v>Saturday</v>
      </c>
      <c r="U951" t="str">
        <f t="shared" si="73"/>
        <v>February</v>
      </c>
      <c r="V951" s="16" t="str">
        <f t="shared" si="74"/>
        <v>GOOD</v>
      </c>
    </row>
    <row r="952" spans="1:22" x14ac:dyDescent="0.3">
      <c r="A952">
        <v>951</v>
      </c>
      <c r="B952" s="1">
        <v>40586</v>
      </c>
      <c r="C952">
        <v>1</v>
      </c>
      <c r="D952">
        <v>0</v>
      </c>
      <c r="E952">
        <v>2</v>
      </c>
      <c r="F952">
        <v>5</v>
      </c>
      <c r="G952" t="b">
        <f>IF(COUNTIF(AB$4:AB$20,Append1[[#This Row],[dteday]]) &gt; 0, TRUE, FALSE)</f>
        <v>0</v>
      </c>
      <c r="H952">
        <v>6</v>
      </c>
      <c r="I952">
        <v>1</v>
      </c>
      <c r="J952">
        <v>0.12</v>
      </c>
      <c r="K952">
        <f>Append1[[#This Row],[temp]]*100</f>
        <v>12</v>
      </c>
      <c r="L952">
        <v>0.16669999999999999</v>
      </c>
      <c r="M952">
        <v>0.74</v>
      </c>
      <c r="N952">
        <v>8.9599999999999999E-2</v>
      </c>
      <c r="O952">
        <v>0</v>
      </c>
      <c r="P952">
        <v>1</v>
      </c>
      <c r="Q952">
        <v>1</v>
      </c>
      <c r="R952" s="12" t="str">
        <f t="shared" si="70"/>
        <v>Clear/Few Clouds</v>
      </c>
      <c r="S952" s="14" t="str">
        <f t="shared" si="71"/>
        <v>Winter</v>
      </c>
      <c r="T952" s="15" t="str">
        <f t="shared" si="72"/>
        <v>Saturday</v>
      </c>
      <c r="U952" t="str">
        <f t="shared" si="73"/>
        <v>February</v>
      </c>
      <c r="V952" s="16" t="str">
        <f t="shared" si="74"/>
        <v>GOOD</v>
      </c>
    </row>
    <row r="953" spans="1:22" x14ac:dyDescent="0.3">
      <c r="A953">
        <v>952</v>
      </c>
      <c r="B953" s="1">
        <v>40586</v>
      </c>
      <c r="C953">
        <v>1</v>
      </c>
      <c r="D953">
        <v>0</v>
      </c>
      <c r="E953">
        <v>2</v>
      </c>
      <c r="F953">
        <v>6</v>
      </c>
      <c r="G953" t="b">
        <f>IF(COUNTIF(AB$4:AB$20,Append1[[#This Row],[dteday]]) &gt; 0, TRUE, FALSE)</f>
        <v>0</v>
      </c>
      <c r="H953">
        <v>6</v>
      </c>
      <c r="I953">
        <v>1</v>
      </c>
      <c r="J953">
        <v>0.12</v>
      </c>
      <c r="K953">
        <f>Append1[[#This Row],[temp]]*100</f>
        <v>12</v>
      </c>
      <c r="L953">
        <v>0.13639999999999999</v>
      </c>
      <c r="M953">
        <v>0.93</v>
      </c>
      <c r="N953">
        <v>0.19400000000000001</v>
      </c>
      <c r="O953">
        <v>1</v>
      </c>
      <c r="P953">
        <v>1</v>
      </c>
      <c r="Q953">
        <v>2</v>
      </c>
      <c r="R953" s="12" t="str">
        <f t="shared" si="70"/>
        <v>Clear/Few Clouds</v>
      </c>
      <c r="S953" s="14" t="str">
        <f t="shared" si="71"/>
        <v>Winter</v>
      </c>
      <c r="T953" s="15" t="str">
        <f t="shared" si="72"/>
        <v>Saturday</v>
      </c>
      <c r="U953" t="str">
        <f t="shared" si="73"/>
        <v>February</v>
      </c>
      <c r="V953" s="16" t="str">
        <f t="shared" si="74"/>
        <v>GOOD</v>
      </c>
    </row>
    <row r="954" spans="1:22" x14ac:dyDescent="0.3">
      <c r="A954">
        <v>953</v>
      </c>
      <c r="B954" s="1">
        <v>40586</v>
      </c>
      <c r="C954">
        <v>1</v>
      </c>
      <c r="D954">
        <v>0</v>
      </c>
      <c r="E954">
        <v>2</v>
      </c>
      <c r="F954">
        <v>7</v>
      </c>
      <c r="G954" t="b">
        <f>IF(COUNTIF(AB$4:AB$20,Append1[[#This Row],[dteday]]) &gt; 0, TRUE, FALSE)</f>
        <v>0</v>
      </c>
      <c r="H954">
        <v>6</v>
      </c>
      <c r="I954">
        <v>1</v>
      </c>
      <c r="J954">
        <v>0.12</v>
      </c>
      <c r="K954">
        <f>Append1[[#This Row],[temp]]*100</f>
        <v>12</v>
      </c>
      <c r="L954">
        <v>0.1515</v>
      </c>
      <c r="M954">
        <v>0.8</v>
      </c>
      <c r="N954">
        <v>0.1045</v>
      </c>
      <c r="O954">
        <v>2</v>
      </c>
      <c r="P954">
        <v>9</v>
      </c>
      <c r="Q954">
        <v>11</v>
      </c>
      <c r="R954" s="12" t="str">
        <f t="shared" si="70"/>
        <v>Clear/Few Clouds</v>
      </c>
      <c r="S954" s="14" t="str">
        <f t="shared" si="71"/>
        <v>Winter</v>
      </c>
      <c r="T954" s="15" t="str">
        <f t="shared" si="72"/>
        <v>Saturday</v>
      </c>
      <c r="U954" t="str">
        <f t="shared" si="73"/>
        <v>February</v>
      </c>
      <c r="V954" s="16" t="str">
        <f t="shared" si="74"/>
        <v>GOOD</v>
      </c>
    </row>
    <row r="955" spans="1:22" x14ac:dyDescent="0.3">
      <c r="A955">
        <v>954</v>
      </c>
      <c r="B955" s="1">
        <v>40586</v>
      </c>
      <c r="C955">
        <v>1</v>
      </c>
      <c r="D955">
        <v>0</v>
      </c>
      <c r="E955">
        <v>2</v>
      </c>
      <c r="F955">
        <v>8</v>
      </c>
      <c r="G955" t="b">
        <f>IF(COUNTIF(AB$4:AB$20,Append1[[#This Row],[dteday]]) &gt; 0, TRUE, FALSE)</f>
        <v>0</v>
      </c>
      <c r="H955">
        <v>6</v>
      </c>
      <c r="I955">
        <v>1</v>
      </c>
      <c r="J955">
        <v>0.14000000000000001</v>
      </c>
      <c r="K955">
        <f>Append1[[#This Row],[temp]]*100</f>
        <v>14.000000000000002</v>
      </c>
      <c r="L955">
        <v>0.1515</v>
      </c>
      <c r="M955">
        <v>0.86</v>
      </c>
      <c r="N955">
        <v>0.1343</v>
      </c>
      <c r="O955">
        <v>2</v>
      </c>
      <c r="P955">
        <v>28</v>
      </c>
      <c r="Q955">
        <v>30</v>
      </c>
      <c r="R955" s="12" t="str">
        <f t="shared" si="70"/>
        <v>Clear/Few Clouds</v>
      </c>
      <c r="S955" s="14" t="str">
        <f t="shared" si="71"/>
        <v>Winter</v>
      </c>
      <c r="T955" s="15" t="str">
        <f t="shared" si="72"/>
        <v>Saturday</v>
      </c>
      <c r="U955" t="str">
        <f t="shared" si="73"/>
        <v>February</v>
      </c>
      <c r="V955" s="16" t="str">
        <f t="shared" si="74"/>
        <v>GOOD</v>
      </c>
    </row>
    <row r="956" spans="1:22" x14ac:dyDescent="0.3">
      <c r="A956">
        <v>955</v>
      </c>
      <c r="B956" s="1">
        <v>40586</v>
      </c>
      <c r="C956">
        <v>1</v>
      </c>
      <c r="D956">
        <v>0</v>
      </c>
      <c r="E956">
        <v>2</v>
      </c>
      <c r="F956">
        <v>9</v>
      </c>
      <c r="G956" t="b">
        <f>IF(COUNTIF(AB$4:AB$20,Append1[[#This Row],[dteday]]) &gt; 0, TRUE, FALSE)</f>
        <v>0</v>
      </c>
      <c r="H956">
        <v>6</v>
      </c>
      <c r="I956">
        <v>1</v>
      </c>
      <c r="J956">
        <v>0.16</v>
      </c>
      <c r="K956">
        <f>Append1[[#This Row],[temp]]*100</f>
        <v>16</v>
      </c>
      <c r="L956">
        <v>0.18179999999999999</v>
      </c>
      <c r="M956">
        <v>0.64</v>
      </c>
      <c r="N956">
        <v>0.1343</v>
      </c>
      <c r="O956">
        <v>5</v>
      </c>
      <c r="P956">
        <v>38</v>
      </c>
      <c r="Q956">
        <v>43</v>
      </c>
      <c r="R956" s="12" t="str">
        <f t="shared" si="70"/>
        <v>Clear/Few Clouds</v>
      </c>
      <c r="S956" s="14" t="str">
        <f t="shared" si="71"/>
        <v>Winter</v>
      </c>
      <c r="T956" s="15" t="str">
        <f t="shared" si="72"/>
        <v>Saturday</v>
      </c>
      <c r="U956" t="str">
        <f t="shared" si="73"/>
        <v>February</v>
      </c>
      <c r="V956" s="16" t="str">
        <f t="shared" si="74"/>
        <v>GOOD</v>
      </c>
    </row>
    <row r="957" spans="1:22" x14ac:dyDescent="0.3">
      <c r="A957">
        <v>956</v>
      </c>
      <c r="B957" s="1">
        <v>40586</v>
      </c>
      <c r="C957">
        <v>1</v>
      </c>
      <c r="D957">
        <v>0</v>
      </c>
      <c r="E957">
        <v>2</v>
      </c>
      <c r="F957">
        <v>10</v>
      </c>
      <c r="G957" t="b">
        <f>IF(COUNTIF(AB$4:AB$20,Append1[[#This Row],[dteday]]) &gt; 0, TRUE, FALSE)</f>
        <v>0</v>
      </c>
      <c r="H957">
        <v>6</v>
      </c>
      <c r="I957">
        <v>1</v>
      </c>
      <c r="J957">
        <v>0.22</v>
      </c>
      <c r="K957">
        <f>Append1[[#This Row],[temp]]*100</f>
        <v>22</v>
      </c>
      <c r="L957">
        <v>0.21210000000000001</v>
      </c>
      <c r="M957">
        <v>0.41</v>
      </c>
      <c r="N957">
        <v>0.25369999999999998</v>
      </c>
      <c r="O957">
        <v>13</v>
      </c>
      <c r="P957">
        <v>71</v>
      </c>
      <c r="Q957">
        <v>84</v>
      </c>
      <c r="R957" s="12" t="str">
        <f t="shared" si="70"/>
        <v>Clear/Few Clouds</v>
      </c>
      <c r="S957" s="14" t="str">
        <f t="shared" si="71"/>
        <v>Winter</v>
      </c>
      <c r="T957" s="15" t="str">
        <f t="shared" si="72"/>
        <v>Saturday</v>
      </c>
      <c r="U957" t="str">
        <f t="shared" si="73"/>
        <v>February</v>
      </c>
      <c r="V957" s="16" t="str">
        <f t="shared" si="74"/>
        <v>GOOD</v>
      </c>
    </row>
    <row r="958" spans="1:22" x14ac:dyDescent="0.3">
      <c r="A958">
        <v>957</v>
      </c>
      <c r="B958" s="1">
        <v>40586</v>
      </c>
      <c r="C958">
        <v>1</v>
      </c>
      <c r="D958">
        <v>0</v>
      </c>
      <c r="E958">
        <v>2</v>
      </c>
      <c r="F958">
        <v>11</v>
      </c>
      <c r="G958" t="b">
        <f>IF(COUNTIF(AB$4:AB$20,Append1[[#This Row],[dteday]]) &gt; 0, TRUE, FALSE)</f>
        <v>0</v>
      </c>
      <c r="H958">
        <v>6</v>
      </c>
      <c r="I958">
        <v>1</v>
      </c>
      <c r="J958">
        <v>0.3</v>
      </c>
      <c r="K958">
        <f>Append1[[#This Row],[temp]]*100</f>
        <v>30</v>
      </c>
      <c r="L958">
        <v>0.2727</v>
      </c>
      <c r="M958">
        <v>0.28000000000000003</v>
      </c>
      <c r="N958">
        <v>0.32840000000000003</v>
      </c>
      <c r="O958">
        <v>30</v>
      </c>
      <c r="P958">
        <v>84</v>
      </c>
      <c r="Q958">
        <v>114</v>
      </c>
      <c r="R958" s="12" t="str">
        <f t="shared" si="70"/>
        <v>Clear/Few Clouds</v>
      </c>
      <c r="S958" s="14" t="str">
        <f t="shared" si="71"/>
        <v>Winter</v>
      </c>
      <c r="T958" s="15" t="str">
        <f t="shared" si="72"/>
        <v>Saturday</v>
      </c>
      <c r="U958" t="str">
        <f t="shared" si="73"/>
        <v>February</v>
      </c>
      <c r="V958" s="16" t="str">
        <f t="shared" si="74"/>
        <v>GOOD</v>
      </c>
    </row>
    <row r="959" spans="1:22" x14ac:dyDescent="0.3">
      <c r="A959">
        <v>958</v>
      </c>
      <c r="B959" s="1">
        <v>40586</v>
      </c>
      <c r="C959">
        <v>1</v>
      </c>
      <c r="D959">
        <v>0</v>
      </c>
      <c r="E959">
        <v>2</v>
      </c>
      <c r="F959">
        <v>12</v>
      </c>
      <c r="G959" t="b">
        <f>IF(COUNTIF(AB$4:AB$20,Append1[[#This Row],[dteday]]) &gt; 0, TRUE, FALSE)</f>
        <v>0</v>
      </c>
      <c r="H959">
        <v>6</v>
      </c>
      <c r="I959">
        <v>1</v>
      </c>
      <c r="J959">
        <v>0.3</v>
      </c>
      <c r="K959">
        <f>Append1[[#This Row],[temp]]*100</f>
        <v>30</v>
      </c>
      <c r="L959">
        <v>0.2727</v>
      </c>
      <c r="M959">
        <v>0.39</v>
      </c>
      <c r="N959">
        <v>0.4627</v>
      </c>
      <c r="O959">
        <v>27</v>
      </c>
      <c r="P959">
        <v>93</v>
      </c>
      <c r="Q959">
        <v>120</v>
      </c>
      <c r="R959" s="12" t="str">
        <f t="shared" si="70"/>
        <v>Clear/Few Clouds</v>
      </c>
      <c r="S959" s="14" t="str">
        <f t="shared" si="71"/>
        <v>Winter</v>
      </c>
      <c r="T959" s="15" t="str">
        <f t="shared" si="72"/>
        <v>Saturday</v>
      </c>
      <c r="U959" t="str">
        <f t="shared" si="73"/>
        <v>February</v>
      </c>
      <c r="V959" s="16" t="str">
        <f t="shared" si="74"/>
        <v>GOOD</v>
      </c>
    </row>
    <row r="960" spans="1:22" x14ac:dyDescent="0.3">
      <c r="A960">
        <v>959</v>
      </c>
      <c r="B960" s="1">
        <v>40586</v>
      </c>
      <c r="C960">
        <v>1</v>
      </c>
      <c r="D960">
        <v>0</v>
      </c>
      <c r="E960">
        <v>2</v>
      </c>
      <c r="F960">
        <v>13</v>
      </c>
      <c r="G960" t="b">
        <f>IF(COUNTIF(AB$4:AB$20,Append1[[#This Row],[dteday]]) &gt; 0, TRUE, FALSE)</f>
        <v>0</v>
      </c>
      <c r="H960">
        <v>6</v>
      </c>
      <c r="I960">
        <v>1</v>
      </c>
      <c r="J960">
        <v>0.3</v>
      </c>
      <c r="K960">
        <f>Append1[[#This Row],[temp]]*100</f>
        <v>30</v>
      </c>
      <c r="L960">
        <v>0.2727</v>
      </c>
      <c r="M960">
        <v>0.39</v>
      </c>
      <c r="N960">
        <v>0.41789999999999999</v>
      </c>
      <c r="O960">
        <v>32</v>
      </c>
      <c r="P960">
        <v>103</v>
      </c>
      <c r="Q960">
        <v>135</v>
      </c>
      <c r="R960" s="12" t="str">
        <f t="shared" si="70"/>
        <v>Clear/Few Clouds</v>
      </c>
      <c r="S960" s="14" t="str">
        <f t="shared" si="71"/>
        <v>Winter</v>
      </c>
      <c r="T960" s="15" t="str">
        <f t="shared" si="72"/>
        <v>Saturday</v>
      </c>
      <c r="U960" t="str">
        <f t="shared" si="73"/>
        <v>February</v>
      </c>
      <c r="V960" s="16" t="str">
        <f t="shared" si="74"/>
        <v>GOOD</v>
      </c>
    </row>
    <row r="961" spans="1:22" x14ac:dyDescent="0.3">
      <c r="A961">
        <v>960</v>
      </c>
      <c r="B961" s="1">
        <v>40586</v>
      </c>
      <c r="C961">
        <v>1</v>
      </c>
      <c r="D961">
        <v>0</v>
      </c>
      <c r="E961">
        <v>2</v>
      </c>
      <c r="F961">
        <v>14</v>
      </c>
      <c r="G961" t="b">
        <f>IF(COUNTIF(AB$4:AB$20,Append1[[#This Row],[dteday]]) &gt; 0, TRUE, FALSE)</f>
        <v>0</v>
      </c>
      <c r="H961">
        <v>6</v>
      </c>
      <c r="I961">
        <v>1</v>
      </c>
      <c r="J961">
        <v>0.34</v>
      </c>
      <c r="K961">
        <f>Append1[[#This Row],[temp]]*100</f>
        <v>34</v>
      </c>
      <c r="L961">
        <v>0.31819999999999998</v>
      </c>
      <c r="M961">
        <v>0.31</v>
      </c>
      <c r="N961">
        <v>0.28360000000000002</v>
      </c>
      <c r="O961">
        <v>30</v>
      </c>
      <c r="P961">
        <v>90</v>
      </c>
      <c r="Q961">
        <v>120</v>
      </c>
      <c r="R961" s="12" t="str">
        <f t="shared" si="70"/>
        <v>Clear/Few Clouds</v>
      </c>
      <c r="S961" s="14" t="str">
        <f t="shared" si="71"/>
        <v>Winter</v>
      </c>
      <c r="T961" s="15" t="str">
        <f t="shared" si="72"/>
        <v>Saturday</v>
      </c>
      <c r="U961" t="str">
        <f t="shared" si="73"/>
        <v>February</v>
      </c>
      <c r="V961" s="16" t="str">
        <f t="shared" si="74"/>
        <v>GOOD</v>
      </c>
    </row>
    <row r="962" spans="1:22" x14ac:dyDescent="0.3">
      <c r="A962">
        <v>961</v>
      </c>
      <c r="B962" s="1">
        <v>40586</v>
      </c>
      <c r="C962">
        <v>1</v>
      </c>
      <c r="D962">
        <v>0</v>
      </c>
      <c r="E962">
        <v>2</v>
      </c>
      <c r="F962">
        <v>15</v>
      </c>
      <c r="G962" t="b">
        <f>IF(COUNTIF(AB$4:AB$20,Append1[[#This Row],[dteday]]) &gt; 0, TRUE, FALSE)</f>
        <v>0</v>
      </c>
      <c r="H962">
        <v>6</v>
      </c>
      <c r="I962">
        <v>1</v>
      </c>
      <c r="J962">
        <v>0.34</v>
      </c>
      <c r="K962">
        <f>Append1[[#This Row],[temp]]*100</f>
        <v>34</v>
      </c>
      <c r="L962">
        <v>0.30299999999999999</v>
      </c>
      <c r="M962">
        <v>0.28999999999999998</v>
      </c>
      <c r="N962">
        <v>0.41789999999999999</v>
      </c>
      <c r="O962">
        <v>47</v>
      </c>
      <c r="P962">
        <v>127</v>
      </c>
      <c r="Q962">
        <v>174</v>
      </c>
      <c r="R962" s="12" t="str">
        <f t="shared" ref="R962:R1001" si="75">_xlfn.IFS(I962=1,"Clear/Few Clouds",I962=2,"Mist/Cloudy",I962=3,"Light Rain/Snow",I962=4,"Heavy Rain/Snow")</f>
        <v>Clear/Few Clouds</v>
      </c>
      <c r="S962" s="14" t="str">
        <f t="shared" ref="S962:S1001" si="76">_xlfn.IFS(C962=1,"Winter",C962=2,"Spring",C962=3,"Summer",C962=4,"Autumn")</f>
        <v>Winter</v>
      </c>
      <c r="T962" s="15" t="str">
        <f t="shared" ref="T962:T1001" si="77">TEXT(B962,"dddd")</f>
        <v>Saturday</v>
      </c>
      <c r="U962" t="str">
        <f t="shared" ref="U962:U1001" si="78">TEXT(B962,"mmmm")</f>
        <v>February</v>
      </c>
      <c r="V962" s="16" t="str">
        <f t="shared" ref="V962:V1001" si="79">_xlfn.IFS(I962=1,"GOOD",I962=2,"MODERATE",I962=3,"BAD",I962=4,"WORSE")</f>
        <v>GOOD</v>
      </c>
    </row>
    <row r="963" spans="1:22" x14ac:dyDescent="0.3">
      <c r="A963">
        <v>962</v>
      </c>
      <c r="B963" s="1">
        <v>40586</v>
      </c>
      <c r="C963">
        <v>1</v>
      </c>
      <c r="D963">
        <v>0</v>
      </c>
      <c r="E963">
        <v>2</v>
      </c>
      <c r="F963">
        <v>16</v>
      </c>
      <c r="G963" t="b">
        <f>IF(COUNTIF(AB$4:AB$20,Append1[[#This Row],[dteday]]) &gt; 0, TRUE, FALSE)</f>
        <v>0</v>
      </c>
      <c r="H963">
        <v>6</v>
      </c>
      <c r="I963">
        <v>1</v>
      </c>
      <c r="J963">
        <v>0.34</v>
      </c>
      <c r="K963">
        <f>Append1[[#This Row],[temp]]*100</f>
        <v>34</v>
      </c>
      <c r="L963">
        <v>0.30299999999999999</v>
      </c>
      <c r="M963">
        <v>0.28999999999999998</v>
      </c>
      <c r="N963">
        <v>0.41789999999999999</v>
      </c>
      <c r="O963">
        <v>42</v>
      </c>
      <c r="P963">
        <v>103</v>
      </c>
      <c r="Q963">
        <v>145</v>
      </c>
      <c r="R963" s="12" t="str">
        <f t="shared" si="75"/>
        <v>Clear/Few Clouds</v>
      </c>
      <c r="S963" s="14" t="str">
        <f t="shared" si="76"/>
        <v>Winter</v>
      </c>
      <c r="T963" s="15" t="str">
        <f t="shared" si="77"/>
        <v>Saturday</v>
      </c>
      <c r="U963" t="str">
        <f t="shared" si="78"/>
        <v>February</v>
      </c>
      <c r="V963" s="16" t="str">
        <f t="shared" si="79"/>
        <v>GOOD</v>
      </c>
    </row>
    <row r="964" spans="1:22" x14ac:dyDescent="0.3">
      <c r="A964">
        <v>963</v>
      </c>
      <c r="B964" s="1">
        <v>40586</v>
      </c>
      <c r="C964">
        <v>1</v>
      </c>
      <c r="D964">
        <v>0</v>
      </c>
      <c r="E964">
        <v>2</v>
      </c>
      <c r="F964">
        <v>17</v>
      </c>
      <c r="G964" t="b">
        <f>IF(COUNTIF(AB$4:AB$20,Append1[[#This Row],[dteday]]) &gt; 0, TRUE, FALSE)</f>
        <v>0</v>
      </c>
      <c r="H964">
        <v>6</v>
      </c>
      <c r="I964">
        <v>1</v>
      </c>
      <c r="J964">
        <v>0.32</v>
      </c>
      <c r="K964">
        <f>Append1[[#This Row],[temp]]*100</f>
        <v>32</v>
      </c>
      <c r="L964">
        <v>0.28789999999999999</v>
      </c>
      <c r="M964">
        <v>0.31</v>
      </c>
      <c r="N964">
        <v>0.52239999999999998</v>
      </c>
      <c r="O964">
        <v>24</v>
      </c>
      <c r="P964">
        <v>113</v>
      </c>
      <c r="Q964">
        <v>137</v>
      </c>
      <c r="R964" s="12" t="str">
        <f t="shared" si="75"/>
        <v>Clear/Few Clouds</v>
      </c>
      <c r="S964" s="14" t="str">
        <f t="shared" si="76"/>
        <v>Winter</v>
      </c>
      <c r="T964" s="15" t="str">
        <f t="shared" si="77"/>
        <v>Saturday</v>
      </c>
      <c r="U964" t="str">
        <f t="shared" si="78"/>
        <v>February</v>
      </c>
      <c r="V964" s="16" t="str">
        <f t="shared" si="79"/>
        <v>GOOD</v>
      </c>
    </row>
    <row r="965" spans="1:22" x14ac:dyDescent="0.3">
      <c r="A965">
        <v>964</v>
      </c>
      <c r="B965" s="1">
        <v>40586</v>
      </c>
      <c r="C965">
        <v>1</v>
      </c>
      <c r="D965">
        <v>0</v>
      </c>
      <c r="E965">
        <v>2</v>
      </c>
      <c r="F965">
        <v>18</v>
      </c>
      <c r="G965" t="b">
        <f>IF(COUNTIF(AB$4:AB$20,Append1[[#This Row],[dteday]]) &gt; 0, TRUE, FALSE)</f>
        <v>0</v>
      </c>
      <c r="H965">
        <v>6</v>
      </c>
      <c r="I965">
        <v>1</v>
      </c>
      <c r="J965">
        <v>0.28000000000000003</v>
      </c>
      <c r="K965">
        <f>Append1[[#This Row],[temp]]*100</f>
        <v>28.000000000000004</v>
      </c>
      <c r="L965">
        <v>0.2576</v>
      </c>
      <c r="M965">
        <v>0.38</v>
      </c>
      <c r="N965">
        <v>0.32840000000000003</v>
      </c>
      <c r="O965">
        <v>4</v>
      </c>
      <c r="P965">
        <v>60</v>
      </c>
      <c r="Q965">
        <v>64</v>
      </c>
      <c r="R965" s="12" t="str">
        <f t="shared" si="75"/>
        <v>Clear/Few Clouds</v>
      </c>
      <c r="S965" s="14" t="str">
        <f t="shared" si="76"/>
        <v>Winter</v>
      </c>
      <c r="T965" s="15" t="str">
        <f t="shared" si="77"/>
        <v>Saturday</v>
      </c>
      <c r="U965" t="str">
        <f t="shared" si="78"/>
        <v>February</v>
      </c>
      <c r="V965" s="16" t="str">
        <f t="shared" si="79"/>
        <v>GOOD</v>
      </c>
    </row>
    <row r="966" spans="1:22" x14ac:dyDescent="0.3">
      <c r="A966">
        <v>965</v>
      </c>
      <c r="B966" s="1">
        <v>40586</v>
      </c>
      <c r="C966">
        <v>1</v>
      </c>
      <c r="D966">
        <v>0</v>
      </c>
      <c r="E966">
        <v>2</v>
      </c>
      <c r="F966">
        <v>19</v>
      </c>
      <c r="G966" t="b">
        <f>IF(COUNTIF(AB$4:AB$20,Append1[[#This Row],[dteday]]) &gt; 0, TRUE, FALSE)</f>
        <v>0</v>
      </c>
      <c r="H966">
        <v>6</v>
      </c>
      <c r="I966">
        <v>1</v>
      </c>
      <c r="J966">
        <v>0.28000000000000003</v>
      </c>
      <c r="K966">
        <f>Append1[[#This Row],[temp]]*100</f>
        <v>28.000000000000004</v>
      </c>
      <c r="L966">
        <v>0.2727</v>
      </c>
      <c r="M966">
        <v>0.38</v>
      </c>
      <c r="N966">
        <v>0.16420000000000001</v>
      </c>
      <c r="O966">
        <v>2</v>
      </c>
      <c r="P966">
        <v>39</v>
      </c>
      <c r="Q966">
        <v>41</v>
      </c>
      <c r="R966" s="12" t="str">
        <f t="shared" si="75"/>
        <v>Clear/Few Clouds</v>
      </c>
      <c r="S966" s="14" t="str">
        <f t="shared" si="76"/>
        <v>Winter</v>
      </c>
      <c r="T966" s="15" t="str">
        <f t="shared" si="77"/>
        <v>Saturday</v>
      </c>
      <c r="U966" t="str">
        <f t="shared" si="78"/>
        <v>February</v>
      </c>
      <c r="V966" s="16" t="str">
        <f t="shared" si="79"/>
        <v>GOOD</v>
      </c>
    </row>
    <row r="967" spans="1:22" x14ac:dyDescent="0.3">
      <c r="A967">
        <v>966</v>
      </c>
      <c r="B967" s="1">
        <v>40586</v>
      </c>
      <c r="C967">
        <v>1</v>
      </c>
      <c r="D967">
        <v>0</v>
      </c>
      <c r="E967">
        <v>2</v>
      </c>
      <c r="F967">
        <v>20</v>
      </c>
      <c r="G967" t="b">
        <f>IF(COUNTIF(AB$4:AB$20,Append1[[#This Row],[dteday]]) &gt; 0, TRUE, FALSE)</f>
        <v>0</v>
      </c>
      <c r="H967">
        <v>6</v>
      </c>
      <c r="I967">
        <v>1</v>
      </c>
      <c r="J967">
        <v>0.26</v>
      </c>
      <c r="K967">
        <f>Append1[[#This Row],[temp]]*100</f>
        <v>26</v>
      </c>
      <c r="L967">
        <v>0.2576</v>
      </c>
      <c r="M967">
        <v>0.41</v>
      </c>
      <c r="N967">
        <v>0.22389999999999999</v>
      </c>
      <c r="O967">
        <v>1</v>
      </c>
      <c r="P967">
        <v>39</v>
      </c>
      <c r="Q967">
        <v>40</v>
      </c>
      <c r="R967" s="12" t="str">
        <f t="shared" si="75"/>
        <v>Clear/Few Clouds</v>
      </c>
      <c r="S967" s="14" t="str">
        <f t="shared" si="76"/>
        <v>Winter</v>
      </c>
      <c r="T967" s="15" t="str">
        <f t="shared" si="77"/>
        <v>Saturday</v>
      </c>
      <c r="U967" t="str">
        <f t="shared" si="78"/>
        <v>February</v>
      </c>
      <c r="V967" s="16" t="str">
        <f t="shared" si="79"/>
        <v>GOOD</v>
      </c>
    </row>
    <row r="968" spans="1:22" x14ac:dyDescent="0.3">
      <c r="A968">
        <v>967</v>
      </c>
      <c r="B968" s="1">
        <v>40586</v>
      </c>
      <c r="C968">
        <v>1</v>
      </c>
      <c r="D968">
        <v>0</v>
      </c>
      <c r="E968">
        <v>2</v>
      </c>
      <c r="F968">
        <v>21</v>
      </c>
      <c r="G968" t="b">
        <f>IF(COUNTIF(AB$4:AB$20,Append1[[#This Row],[dteday]]) &gt; 0, TRUE, FALSE)</f>
        <v>0</v>
      </c>
      <c r="H968">
        <v>6</v>
      </c>
      <c r="I968">
        <v>1</v>
      </c>
      <c r="J968">
        <v>0.26</v>
      </c>
      <c r="K968">
        <f>Append1[[#This Row],[temp]]*100</f>
        <v>26</v>
      </c>
      <c r="L968">
        <v>0.30299999999999999</v>
      </c>
      <c r="M968">
        <v>0.41</v>
      </c>
      <c r="N968">
        <v>0</v>
      </c>
      <c r="O968">
        <v>9</v>
      </c>
      <c r="P968">
        <v>42</v>
      </c>
      <c r="Q968">
        <v>51</v>
      </c>
      <c r="R968" s="12" t="str">
        <f t="shared" si="75"/>
        <v>Clear/Few Clouds</v>
      </c>
      <c r="S968" s="14" t="str">
        <f t="shared" si="76"/>
        <v>Winter</v>
      </c>
      <c r="T968" s="15" t="str">
        <f t="shared" si="77"/>
        <v>Saturday</v>
      </c>
      <c r="U968" t="str">
        <f t="shared" si="78"/>
        <v>February</v>
      </c>
      <c r="V968" s="16" t="str">
        <f t="shared" si="79"/>
        <v>GOOD</v>
      </c>
    </row>
    <row r="969" spans="1:22" x14ac:dyDescent="0.3">
      <c r="A969">
        <v>968</v>
      </c>
      <c r="B969" s="1">
        <v>40586</v>
      </c>
      <c r="C969">
        <v>1</v>
      </c>
      <c r="D969">
        <v>0</v>
      </c>
      <c r="E969">
        <v>2</v>
      </c>
      <c r="F969">
        <v>22</v>
      </c>
      <c r="G969" t="b">
        <f>IF(COUNTIF(AB$4:AB$20,Append1[[#This Row],[dteday]]) &gt; 0, TRUE, FALSE)</f>
        <v>0</v>
      </c>
      <c r="H969">
        <v>6</v>
      </c>
      <c r="I969">
        <v>1</v>
      </c>
      <c r="J969">
        <v>0.24</v>
      </c>
      <c r="K969">
        <f>Append1[[#This Row],[temp]]*100</f>
        <v>24</v>
      </c>
      <c r="L969">
        <v>0.2576</v>
      </c>
      <c r="M969">
        <v>0.44</v>
      </c>
      <c r="N969">
        <v>8.9599999999999999E-2</v>
      </c>
      <c r="O969">
        <v>6</v>
      </c>
      <c r="P969">
        <v>39</v>
      </c>
      <c r="Q969">
        <v>45</v>
      </c>
      <c r="R969" s="12" t="str">
        <f t="shared" si="75"/>
        <v>Clear/Few Clouds</v>
      </c>
      <c r="S969" s="14" t="str">
        <f t="shared" si="76"/>
        <v>Winter</v>
      </c>
      <c r="T969" s="15" t="str">
        <f t="shared" si="77"/>
        <v>Saturday</v>
      </c>
      <c r="U969" t="str">
        <f t="shared" si="78"/>
        <v>February</v>
      </c>
      <c r="V969" s="16" t="str">
        <f t="shared" si="79"/>
        <v>GOOD</v>
      </c>
    </row>
    <row r="970" spans="1:22" x14ac:dyDescent="0.3">
      <c r="A970">
        <v>969</v>
      </c>
      <c r="B970" s="1">
        <v>40586</v>
      </c>
      <c r="C970">
        <v>1</v>
      </c>
      <c r="D970">
        <v>0</v>
      </c>
      <c r="E970">
        <v>2</v>
      </c>
      <c r="F970">
        <v>23</v>
      </c>
      <c r="G970" t="b">
        <f>IF(COUNTIF(AB$4:AB$20,Append1[[#This Row],[dteday]]) &gt; 0, TRUE, FALSE)</f>
        <v>0</v>
      </c>
      <c r="H970">
        <v>6</v>
      </c>
      <c r="I970">
        <v>1</v>
      </c>
      <c r="J970">
        <v>0.22</v>
      </c>
      <c r="K970">
        <f>Append1[[#This Row],[temp]]*100</f>
        <v>22</v>
      </c>
      <c r="L970">
        <v>0.2273</v>
      </c>
      <c r="M970">
        <v>0.51</v>
      </c>
      <c r="N970">
        <v>0.1343</v>
      </c>
      <c r="O970">
        <v>1</v>
      </c>
      <c r="P970">
        <v>31</v>
      </c>
      <c r="Q970">
        <v>32</v>
      </c>
      <c r="R970" s="12" t="str">
        <f t="shared" si="75"/>
        <v>Clear/Few Clouds</v>
      </c>
      <c r="S970" s="14" t="str">
        <f t="shared" si="76"/>
        <v>Winter</v>
      </c>
      <c r="T970" s="15" t="str">
        <f t="shared" si="77"/>
        <v>Saturday</v>
      </c>
      <c r="U970" t="str">
        <f t="shared" si="78"/>
        <v>February</v>
      </c>
      <c r="V970" s="16" t="str">
        <f t="shared" si="79"/>
        <v>GOOD</v>
      </c>
    </row>
    <row r="971" spans="1:22" x14ac:dyDescent="0.3">
      <c r="A971">
        <v>970</v>
      </c>
      <c r="B971" s="1">
        <v>40587</v>
      </c>
      <c r="C971">
        <v>1</v>
      </c>
      <c r="D971">
        <v>0</v>
      </c>
      <c r="E971">
        <v>2</v>
      </c>
      <c r="F971">
        <v>0</v>
      </c>
      <c r="G971" t="b">
        <f>IF(COUNTIF(AB$4:AB$20,Append1[[#This Row],[dteday]]) &gt; 0, TRUE, FALSE)</f>
        <v>0</v>
      </c>
      <c r="H971">
        <v>0</v>
      </c>
      <c r="I971">
        <v>1</v>
      </c>
      <c r="J971">
        <v>0.2</v>
      </c>
      <c r="K971">
        <f>Append1[[#This Row],[temp]]*100</f>
        <v>20</v>
      </c>
      <c r="L971">
        <v>0.2273</v>
      </c>
      <c r="M971">
        <v>0.64</v>
      </c>
      <c r="N971">
        <v>0.1045</v>
      </c>
      <c r="O971">
        <v>5</v>
      </c>
      <c r="P971">
        <v>34</v>
      </c>
      <c r="Q971">
        <v>39</v>
      </c>
      <c r="R971" s="12" t="str">
        <f t="shared" si="75"/>
        <v>Clear/Few Clouds</v>
      </c>
      <c r="S971" s="14" t="str">
        <f t="shared" si="76"/>
        <v>Winter</v>
      </c>
      <c r="T971" s="15" t="str">
        <f t="shared" si="77"/>
        <v>Sunday</v>
      </c>
      <c r="U971" t="str">
        <f t="shared" si="78"/>
        <v>February</v>
      </c>
      <c r="V971" s="16" t="str">
        <f t="shared" si="79"/>
        <v>GOOD</v>
      </c>
    </row>
    <row r="972" spans="1:22" x14ac:dyDescent="0.3">
      <c r="A972">
        <v>971</v>
      </c>
      <c r="B972" s="1">
        <v>40587</v>
      </c>
      <c r="C972">
        <v>1</v>
      </c>
      <c r="D972">
        <v>0</v>
      </c>
      <c r="E972">
        <v>2</v>
      </c>
      <c r="F972">
        <v>1</v>
      </c>
      <c r="G972" t="b">
        <f>IF(COUNTIF(AB$4:AB$20,Append1[[#This Row],[dteday]]) &gt; 0, TRUE, FALSE)</f>
        <v>0</v>
      </c>
      <c r="H972">
        <v>0</v>
      </c>
      <c r="I972">
        <v>1</v>
      </c>
      <c r="J972">
        <v>0.2</v>
      </c>
      <c r="K972">
        <f>Append1[[#This Row],[temp]]*100</f>
        <v>20</v>
      </c>
      <c r="L972">
        <v>0.2273</v>
      </c>
      <c r="M972">
        <v>0.59</v>
      </c>
      <c r="N972">
        <v>8.9599999999999999E-2</v>
      </c>
      <c r="O972">
        <v>1</v>
      </c>
      <c r="P972">
        <v>23</v>
      </c>
      <c r="Q972">
        <v>24</v>
      </c>
      <c r="R972" s="12" t="str">
        <f t="shared" si="75"/>
        <v>Clear/Few Clouds</v>
      </c>
      <c r="S972" s="14" t="str">
        <f t="shared" si="76"/>
        <v>Winter</v>
      </c>
      <c r="T972" s="15" t="str">
        <f t="shared" si="77"/>
        <v>Sunday</v>
      </c>
      <c r="U972" t="str">
        <f t="shared" si="78"/>
        <v>February</v>
      </c>
      <c r="V972" s="16" t="str">
        <f t="shared" si="79"/>
        <v>GOOD</v>
      </c>
    </row>
    <row r="973" spans="1:22" x14ac:dyDescent="0.3">
      <c r="A973">
        <v>972</v>
      </c>
      <c r="B973" s="1">
        <v>40587</v>
      </c>
      <c r="C973">
        <v>1</v>
      </c>
      <c r="D973">
        <v>0</v>
      </c>
      <c r="E973">
        <v>2</v>
      </c>
      <c r="F973">
        <v>2</v>
      </c>
      <c r="G973" t="b">
        <f>IF(COUNTIF(AB$4:AB$20,Append1[[#This Row],[dteday]]) &gt; 0, TRUE, FALSE)</f>
        <v>0</v>
      </c>
      <c r="H973">
        <v>0</v>
      </c>
      <c r="I973">
        <v>2</v>
      </c>
      <c r="J973">
        <v>0.2</v>
      </c>
      <c r="K973">
        <f>Append1[[#This Row],[temp]]*100</f>
        <v>20</v>
      </c>
      <c r="L973">
        <v>0.2273</v>
      </c>
      <c r="M973">
        <v>0.75</v>
      </c>
      <c r="N973">
        <v>8.9599999999999999E-2</v>
      </c>
      <c r="O973">
        <v>1</v>
      </c>
      <c r="P973">
        <v>19</v>
      </c>
      <c r="Q973">
        <v>20</v>
      </c>
      <c r="R973" s="12" t="str">
        <f t="shared" si="75"/>
        <v>Mist/Cloudy</v>
      </c>
      <c r="S973" s="14" t="str">
        <f t="shared" si="76"/>
        <v>Winter</v>
      </c>
      <c r="T973" s="15" t="str">
        <f t="shared" si="77"/>
        <v>Sunday</v>
      </c>
      <c r="U973" t="str">
        <f t="shared" si="78"/>
        <v>February</v>
      </c>
      <c r="V973" s="16" t="str">
        <f t="shared" si="79"/>
        <v>MODERATE</v>
      </c>
    </row>
    <row r="974" spans="1:22" x14ac:dyDescent="0.3">
      <c r="A974">
        <v>973</v>
      </c>
      <c r="B974" s="1">
        <v>40587</v>
      </c>
      <c r="C974">
        <v>1</v>
      </c>
      <c r="D974">
        <v>0</v>
      </c>
      <c r="E974">
        <v>2</v>
      </c>
      <c r="F974">
        <v>3</v>
      </c>
      <c r="G974" t="b">
        <f>IF(COUNTIF(AB$4:AB$20,Append1[[#This Row],[dteday]]) &gt; 0, TRUE, FALSE)</f>
        <v>0</v>
      </c>
      <c r="H974">
        <v>0</v>
      </c>
      <c r="I974">
        <v>2</v>
      </c>
      <c r="J974">
        <v>0.2</v>
      </c>
      <c r="K974">
        <f>Append1[[#This Row],[temp]]*100</f>
        <v>20</v>
      </c>
      <c r="L974">
        <v>0.2273</v>
      </c>
      <c r="M974">
        <v>0.69</v>
      </c>
      <c r="N974">
        <v>0.1045</v>
      </c>
      <c r="O974">
        <v>4</v>
      </c>
      <c r="P974">
        <v>8</v>
      </c>
      <c r="Q974">
        <v>12</v>
      </c>
      <c r="R974" s="12" t="str">
        <f t="shared" si="75"/>
        <v>Mist/Cloudy</v>
      </c>
      <c r="S974" s="14" t="str">
        <f t="shared" si="76"/>
        <v>Winter</v>
      </c>
      <c r="T974" s="15" t="str">
        <f t="shared" si="77"/>
        <v>Sunday</v>
      </c>
      <c r="U974" t="str">
        <f t="shared" si="78"/>
        <v>February</v>
      </c>
      <c r="V974" s="16" t="str">
        <f t="shared" si="79"/>
        <v>MODERATE</v>
      </c>
    </row>
    <row r="975" spans="1:22" x14ac:dyDescent="0.3">
      <c r="A975">
        <v>974</v>
      </c>
      <c r="B975" s="1">
        <v>40587</v>
      </c>
      <c r="C975">
        <v>1</v>
      </c>
      <c r="D975">
        <v>0</v>
      </c>
      <c r="E975">
        <v>2</v>
      </c>
      <c r="F975">
        <v>4</v>
      </c>
      <c r="G975" t="b">
        <f>IF(COUNTIF(AB$4:AB$20,Append1[[#This Row],[dteday]]) &gt; 0, TRUE, FALSE)</f>
        <v>0</v>
      </c>
      <c r="H975">
        <v>0</v>
      </c>
      <c r="I975">
        <v>2</v>
      </c>
      <c r="J975">
        <v>0.2</v>
      </c>
      <c r="K975">
        <f>Append1[[#This Row],[temp]]*100</f>
        <v>20</v>
      </c>
      <c r="L975">
        <v>0.21210000000000001</v>
      </c>
      <c r="M975">
        <v>0.69</v>
      </c>
      <c r="N975">
        <v>0.16420000000000001</v>
      </c>
      <c r="O975">
        <v>0</v>
      </c>
      <c r="P975">
        <v>2</v>
      </c>
      <c r="Q975">
        <v>2</v>
      </c>
      <c r="R975" s="12" t="str">
        <f t="shared" si="75"/>
        <v>Mist/Cloudy</v>
      </c>
      <c r="S975" s="14" t="str">
        <f t="shared" si="76"/>
        <v>Winter</v>
      </c>
      <c r="T975" s="15" t="str">
        <f t="shared" si="77"/>
        <v>Sunday</v>
      </c>
      <c r="U975" t="str">
        <f t="shared" si="78"/>
        <v>February</v>
      </c>
      <c r="V975" s="16" t="str">
        <f t="shared" si="79"/>
        <v>MODERATE</v>
      </c>
    </row>
    <row r="976" spans="1:22" x14ac:dyDescent="0.3">
      <c r="A976">
        <v>975</v>
      </c>
      <c r="B976" s="1">
        <v>40587</v>
      </c>
      <c r="C976">
        <v>1</v>
      </c>
      <c r="D976">
        <v>0</v>
      </c>
      <c r="E976">
        <v>2</v>
      </c>
      <c r="F976">
        <v>6</v>
      </c>
      <c r="G976" t="b">
        <f>IF(COUNTIF(AB$4:AB$20,Append1[[#This Row],[dteday]]) &gt; 0, TRUE, FALSE)</f>
        <v>0</v>
      </c>
      <c r="H976">
        <v>0</v>
      </c>
      <c r="I976">
        <v>2</v>
      </c>
      <c r="J976">
        <v>0.2</v>
      </c>
      <c r="K976">
        <f>Append1[[#This Row],[temp]]*100</f>
        <v>20</v>
      </c>
      <c r="L976">
        <v>0.21210000000000001</v>
      </c>
      <c r="M976">
        <v>0.69</v>
      </c>
      <c r="N976">
        <v>0.1343</v>
      </c>
      <c r="O976">
        <v>2</v>
      </c>
      <c r="P976">
        <v>3</v>
      </c>
      <c r="Q976">
        <v>5</v>
      </c>
      <c r="R976" s="12" t="str">
        <f t="shared" si="75"/>
        <v>Mist/Cloudy</v>
      </c>
      <c r="S976" s="14" t="str">
        <f t="shared" si="76"/>
        <v>Winter</v>
      </c>
      <c r="T976" s="15" t="str">
        <f t="shared" si="77"/>
        <v>Sunday</v>
      </c>
      <c r="U976" t="str">
        <f t="shared" si="78"/>
        <v>February</v>
      </c>
      <c r="V976" s="16" t="str">
        <f t="shared" si="79"/>
        <v>MODERATE</v>
      </c>
    </row>
    <row r="977" spans="1:22" x14ac:dyDescent="0.3">
      <c r="A977">
        <v>976</v>
      </c>
      <c r="B977" s="1">
        <v>40587</v>
      </c>
      <c r="C977">
        <v>1</v>
      </c>
      <c r="D977">
        <v>0</v>
      </c>
      <c r="E977">
        <v>2</v>
      </c>
      <c r="F977">
        <v>7</v>
      </c>
      <c r="G977" t="b">
        <f>IF(COUNTIF(AB$4:AB$20,Append1[[#This Row],[dteday]]) &gt; 0, TRUE, FALSE)</f>
        <v>0</v>
      </c>
      <c r="H977">
        <v>0</v>
      </c>
      <c r="I977">
        <v>2</v>
      </c>
      <c r="J977">
        <v>0.22</v>
      </c>
      <c r="K977">
        <f>Append1[[#This Row],[temp]]*100</f>
        <v>22</v>
      </c>
      <c r="L977">
        <v>0.2727</v>
      </c>
      <c r="M977">
        <v>0.55000000000000004</v>
      </c>
      <c r="N977">
        <v>0</v>
      </c>
      <c r="O977">
        <v>0</v>
      </c>
      <c r="P977">
        <v>3</v>
      </c>
      <c r="Q977">
        <v>3</v>
      </c>
      <c r="R977" s="12" t="str">
        <f t="shared" si="75"/>
        <v>Mist/Cloudy</v>
      </c>
      <c r="S977" s="14" t="str">
        <f t="shared" si="76"/>
        <v>Winter</v>
      </c>
      <c r="T977" s="15" t="str">
        <f t="shared" si="77"/>
        <v>Sunday</v>
      </c>
      <c r="U977" t="str">
        <f t="shared" si="78"/>
        <v>February</v>
      </c>
      <c r="V977" s="16" t="str">
        <f t="shared" si="79"/>
        <v>MODERATE</v>
      </c>
    </row>
    <row r="978" spans="1:22" x14ac:dyDescent="0.3">
      <c r="A978">
        <v>977</v>
      </c>
      <c r="B978" s="1">
        <v>40587</v>
      </c>
      <c r="C978">
        <v>1</v>
      </c>
      <c r="D978">
        <v>0</v>
      </c>
      <c r="E978">
        <v>2</v>
      </c>
      <c r="F978">
        <v>8</v>
      </c>
      <c r="G978" t="b">
        <f>IF(COUNTIF(AB$4:AB$20,Append1[[#This Row],[dteday]]) &gt; 0, TRUE, FALSE)</f>
        <v>0</v>
      </c>
      <c r="H978">
        <v>0</v>
      </c>
      <c r="I978">
        <v>2</v>
      </c>
      <c r="J978">
        <v>0.22</v>
      </c>
      <c r="K978">
        <f>Append1[[#This Row],[temp]]*100</f>
        <v>22</v>
      </c>
      <c r="L978">
        <v>0.2273</v>
      </c>
      <c r="M978">
        <v>0.64</v>
      </c>
      <c r="N978">
        <v>0.19400000000000001</v>
      </c>
      <c r="O978">
        <v>1</v>
      </c>
      <c r="P978">
        <v>11</v>
      </c>
      <c r="Q978">
        <v>12</v>
      </c>
      <c r="R978" s="12" t="str">
        <f t="shared" si="75"/>
        <v>Mist/Cloudy</v>
      </c>
      <c r="S978" s="14" t="str">
        <f t="shared" si="76"/>
        <v>Winter</v>
      </c>
      <c r="T978" s="15" t="str">
        <f t="shared" si="77"/>
        <v>Sunday</v>
      </c>
      <c r="U978" t="str">
        <f t="shared" si="78"/>
        <v>February</v>
      </c>
      <c r="V978" s="16" t="str">
        <f t="shared" si="79"/>
        <v>MODERATE</v>
      </c>
    </row>
    <row r="979" spans="1:22" x14ac:dyDescent="0.3">
      <c r="A979">
        <v>978</v>
      </c>
      <c r="B979" s="1">
        <v>40587</v>
      </c>
      <c r="C979">
        <v>1</v>
      </c>
      <c r="D979">
        <v>0</v>
      </c>
      <c r="E979">
        <v>2</v>
      </c>
      <c r="F979">
        <v>9</v>
      </c>
      <c r="G979" t="b">
        <f>IF(COUNTIF(AB$4:AB$20,Append1[[#This Row],[dteday]]) &gt; 0, TRUE, FALSE)</f>
        <v>0</v>
      </c>
      <c r="H979">
        <v>0</v>
      </c>
      <c r="I979">
        <v>2</v>
      </c>
      <c r="J979">
        <v>0.24</v>
      </c>
      <c r="K979">
        <f>Append1[[#This Row],[temp]]*100</f>
        <v>24</v>
      </c>
      <c r="L979">
        <v>0.2273</v>
      </c>
      <c r="M979">
        <v>0.6</v>
      </c>
      <c r="N979">
        <v>0.22389999999999999</v>
      </c>
      <c r="O979">
        <v>12</v>
      </c>
      <c r="P979">
        <v>35</v>
      </c>
      <c r="Q979">
        <v>47</v>
      </c>
      <c r="R979" s="12" t="str">
        <f t="shared" si="75"/>
        <v>Mist/Cloudy</v>
      </c>
      <c r="S979" s="14" t="str">
        <f t="shared" si="76"/>
        <v>Winter</v>
      </c>
      <c r="T979" s="15" t="str">
        <f t="shared" si="77"/>
        <v>Sunday</v>
      </c>
      <c r="U979" t="str">
        <f t="shared" si="78"/>
        <v>February</v>
      </c>
      <c r="V979" s="16" t="str">
        <f t="shared" si="79"/>
        <v>MODERATE</v>
      </c>
    </row>
    <row r="980" spans="1:22" x14ac:dyDescent="0.3">
      <c r="A980">
        <v>979</v>
      </c>
      <c r="B980" s="1">
        <v>40587</v>
      </c>
      <c r="C980">
        <v>1</v>
      </c>
      <c r="D980">
        <v>0</v>
      </c>
      <c r="E980">
        <v>2</v>
      </c>
      <c r="F980">
        <v>10</v>
      </c>
      <c r="G980" t="b">
        <f>IF(COUNTIF(AB$4:AB$20,Append1[[#This Row],[dteday]]) &gt; 0, TRUE, FALSE)</f>
        <v>0</v>
      </c>
      <c r="H980">
        <v>0</v>
      </c>
      <c r="I980">
        <v>1</v>
      </c>
      <c r="J980">
        <v>0.3</v>
      </c>
      <c r="K980">
        <f>Append1[[#This Row],[temp]]*100</f>
        <v>30</v>
      </c>
      <c r="L980">
        <v>0.2727</v>
      </c>
      <c r="M980">
        <v>0.45</v>
      </c>
      <c r="N980">
        <v>0.32840000000000003</v>
      </c>
      <c r="O980">
        <v>19</v>
      </c>
      <c r="P980">
        <v>86</v>
      </c>
      <c r="Q980">
        <v>105</v>
      </c>
      <c r="R980" s="12" t="str">
        <f t="shared" si="75"/>
        <v>Clear/Few Clouds</v>
      </c>
      <c r="S980" s="14" t="str">
        <f t="shared" si="76"/>
        <v>Winter</v>
      </c>
      <c r="T980" s="15" t="str">
        <f t="shared" si="77"/>
        <v>Sunday</v>
      </c>
      <c r="U980" t="str">
        <f t="shared" si="78"/>
        <v>February</v>
      </c>
      <c r="V980" s="16" t="str">
        <f t="shared" si="79"/>
        <v>GOOD</v>
      </c>
    </row>
    <row r="981" spans="1:22" x14ac:dyDescent="0.3">
      <c r="A981">
        <v>980</v>
      </c>
      <c r="B981" s="1">
        <v>40587</v>
      </c>
      <c r="C981">
        <v>1</v>
      </c>
      <c r="D981">
        <v>0</v>
      </c>
      <c r="E981">
        <v>2</v>
      </c>
      <c r="F981">
        <v>11</v>
      </c>
      <c r="G981" t="b">
        <f>IF(COUNTIF(AB$4:AB$20,Append1[[#This Row],[dteday]]) &gt; 0, TRUE, FALSE)</f>
        <v>0</v>
      </c>
      <c r="H981">
        <v>0</v>
      </c>
      <c r="I981">
        <v>1</v>
      </c>
      <c r="J981">
        <v>0.32</v>
      </c>
      <c r="K981">
        <f>Append1[[#This Row],[temp]]*100</f>
        <v>32</v>
      </c>
      <c r="L981">
        <v>0.28789999999999999</v>
      </c>
      <c r="M981">
        <v>0.39</v>
      </c>
      <c r="N981">
        <v>0.44779999999999998</v>
      </c>
      <c r="O981">
        <v>26</v>
      </c>
      <c r="P981">
        <v>86</v>
      </c>
      <c r="Q981">
        <v>112</v>
      </c>
      <c r="R981" s="12" t="str">
        <f t="shared" si="75"/>
        <v>Clear/Few Clouds</v>
      </c>
      <c r="S981" s="14" t="str">
        <f t="shared" si="76"/>
        <v>Winter</v>
      </c>
      <c r="T981" s="15" t="str">
        <f t="shared" si="77"/>
        <v>Sunday</v>
      </c>
      <c r="U981" t="str">
        <f t="shared" si="78"/>
        <v>February</v>
      </c>
      <c r="V981" s="16" t="str">
        <f t="shared" si="79"/>
        <v>GOOD</v>
      </c>
    </row>
    <row r="982" spans="1:22" x14ac:dyDescent="0.3">
      <c r="A982">
        <v>981</v>
      </c>
      <c r="B982" s="1">
        <v>40587</v>
      </c>
      <c r="C982">
        <v>1</v>
      </c>
      <c r="D982">
        <v>0</v>
      </c>
      <c r="E982">
        <v>2</v>
      </c>
      <c r="F982">
        <v>12</v>
      </c>
      <c r="G982" t="b">
        <f>IF(COUNTIF(AB$4:AB$20,Append1[[#This Row],[dteday]]) &gt; 0, TRUE, FALSE)</f>
        <v>0</v>
      </c>
      <c r="H982">
        <v>0</v>
      </c>
      <c r="I982">
        <v>1</v>
      </c>
      <c r="J982">
        <v>0.36</v>
      </c>
      <c r="K982">
        <f>Append1[[#This Row],[temp]]*100</f>
        <v>36</v>
      </c>
      <c r="L982">
        <v>0.31819999999999998</v>
      </c>
      <c r="M982">
        <v>0.32</v>
      </c>
      <c r="N982">
        <v>0.4627</v>
      </c>
      <c r="O982">
        <v>58</v>
      </c>
      <c r="P982">
        <v>94</v>
      </c>
      <c r="Q982">
        <v>152</v>
      </c>
      <c r="R982" s="12" t="str">
        <f t="shared" si="75"/>
        <v>Clear/Few Clouds</v>
      </c>
      <c r="S982" s="14" t="str">
        <f t="shared" si="76"/>
        <v>Winter</v>
      </c>
      <c r="T982" s="15" t="str">
        <f t="shared" si="77"/>
        <v>Sunday</v>
      </c>
      <c r="U982" t="str">
        <f t="shared" si="78"/>
        <v>February</v>
      </c>
      <c r="V982" s="16" t="str">
        <f t="shared" si="79"/>
        <v>GOOD</v>
      </c>
    </row>
    <row r="983" spans="1:22" x14ac:dyDescent="0.3">
      <c r="A983">
        <v>982</v>
      </c>
      <c r="B983" s="1">
        <v>40587</v>
      </c>
      <c r="C983">
        <v>1</v>
      </c>
      <c r="D983">
        <v>0</v>
      </c>
      <c r="E983">
        <v>2</v>
      </c>
      <c r="F983">
        <v>13</v>
      </c>
      <c r="G983" t="b">
        <f>IF(COUNTIF(AB$4:AB$20,Append1[[#This Row],[dteday]]) &gt; 0, TRUE, FALSE)</f>
        <v>0</v>
      </c>
      <c r="H983">
        <v>0</v>
      </c>
      <c r="I983">
        <v>1</v>
      </c>
      <c r="J983">
        <v>0.38</v>
      </c>
      <c r="K983">
        <f>Append1[[#This Row],[temp]]*100</f>
        <v>38</v>
      </c>
      <c r="L983">
        <v>0.39389999999999997</v>
      </c>
      <c r="M983">
        <v>0.28999999999999998</v>
      </c>
      <c r="N983">
        <v>0.35820000000000002</v>
      </c>
      <c r="O983">
        <v>62</v>
      </c>
      <c r="P983">
        <v>92</v>
      </c>
      <c r="Q983">
        <v>154</v>
      </c>
      <c r="R983" s="12" t="str">
        <f t="shared" si="75"/>
        <v>Clear/Few Clouds</v>
      </c>
      <c r="S983" s="14" t="str">
        <f t="shared" si="76"/>
        <v>Winter</v>
      </c>
      <c r="T983" s="15" t="str">
        <f t="shared" si="77"/>
        <v>Sunday</v>
      </c>
      <c r="U983" t="str">
        <f t="shared" si="78"/>
        <v>February</v>
      </c>
      <c r="V983" s="16" t="str">
        <f t="shared" si="79"/>
        <v>GOOD</v>
      </c>
    </row>
    <row r="984" spans="1:22" x14ac:dyDescent="0.3">
      <c r="A984">
        <v>983</v>
      </c>
      <c r="B984" s="1">
        <v>40587</v>
      </c>
      <c r="C984">
        <v>1</v>
      </c>
      <c r="D984">
        <v>0</v>
      </c>
      <c r="E984">
        <v>2</v>
      </c>
      <c r="F984">
        <v>14</v>
      </c>
      <c r="G984" t="b">
        <f>IF(COUNTIF(AB$4:AB$20,Append1[[#This Row],[dteday]]) &gt; 0, TRUE, FALSE)</f>
        <v>0</v>
      </c>
      <c r="H984">
        <v>0</v>
      </c>
      <c r="I984">
        <v>2</v>
      </c>
      <c r="J984">
        <v>0.4</v>
      </c>
      <c r="K984">
        <f>Append1[[#This Row],[temp]]*100</f>
        <v>40</v>
      </c>
      <c r="L984">
        <v>0.40910000000000002</v>
      </c>
      <c r="M984">
        <v>0.3</v>
      </c>
      <c r="N984">
        <v>0.41789999999999999</v>
      </c>
      <c r="O984">
        <v>51</v>
      </c>
      <c r="P984">
        <v>110</v>
      </c>
      <c r="Q984">
        <v>161</v>
      </c>
      <c r="R984" s="12" t="str">
        <f t="shared" si="75"/>
        <v>Mist/Cloudy</v>
      </c>
      <c r="S984" s="14" t="str">
        <f t="shared" si="76"/>
        <v>Winter</v>
      </c>
      <c r="T984" s="15" t="str">
        <f t="shared" si="77"/>
        <v>Sunday</v>
      </c>
      <c r="U984" t="str">
        <f t="shared" si="78"/>
        <v>February</v>
      </c>
      <c r="V984" s="16" t="str">
        <f t="shared" si="79"/>
        <v>MODERATE</v>
      </c>
    </row>
    <row r="985" spans="1:22" x14ac:dyDescent="0.3">
      <c r="A985">
        <v>984</v>
      </c>
      <c r="B985" s="1">
        <v>40587</v>
      </c>
      <c r="C985">
        <v>1</v>
      </c>
      <c r="D985">
        <v>0</v>
      </c>
      <c r="E985">
        <v>2</v>
      </c>
      <c r="F985">
        <v>15</v>
      </c>
      <c r="G985" t="b">
        <f>IF(COUNTIF(AB$4:AB$20,Append1[[#This Row],[dteday]]) &gt; 0, TRUE, FALSE)</f>
        <v>0</v>
      </c>
      <c r="H985">
        <v>0</v>
      </c>
      <c r="I985">
        <v>2</v>
      </c>
      <c r="J985">
        <v>0.4</v>
      </c>
      <c r="K985">
        <f>Append1[[#This Row],[temp]]*100</f>
        <v>40</v>
      </c>
      <c r="L985">
        <v>0.40910000000000002</v>
      </c>
      <c r="M985">
        <v>0.3</v>
      </c>
      <c r="N985">
        <v>0.29849999999999999</v>
      </c>
      <c r="O985">
        <v>40</v>
      </c>
      <c r="P985">
        <v>122</v>
      </c>
      <c r="Q985">
        <v>162</v>
      </c>
      <c r="R985" s="12" t="str">
        <f t="shared" si="75"/>
        <v>Mist/Cloudy</v>
      </c>
      <c r="S985" s="14" t="str">
        <f t="shared" si="76"/>
        <v>Winter</v>
      </c>
      <c r="T985" s="15" t="str">
        <f t="shared" si="77"/>
        <v>Sunday</v>
      </c>
      <c r="U985" t="str">
        <f t="shared" si="78"/>
        <v>February</v>
      </c>
      <c r="V985" s="16" t="str">
        <f t="shared" si="79"/>
        <v>MODERATE</v>
      </c>
    </row>
    <row r="986" spans="1:22" x14ac:dyDescent="0.3">
      <c r="A986">
        <v>985</v>
      </c>
      <c r="B986" s="1">
        <v>40587</v>
      </c>
      <c r="C986">
        <v>1</v>
      </c>
      <c r="D986">
        <v>0</v>
      </c>
      <c r="E986">
        <v>2</v>
      </c>
      <c r="F986">
        <v>16</v>
      </c>
      <c r="G986" t="b">
        <f>IF(COUNTIF(AB$4:AB$20,Append1[[#This Row],[dteday]]) &gt; 0, TRUE, FALSE)</f>
        <v>0</v>
      </c>
      <c r="H986">
        <v>0</v>
      </c>
      <c r="I986">
        <v>2</v>
      </c>
      <c r="J986">
        <v>0.42</v>
      </c>
      <c r="K986">
        <f>Append1[[#This Row],[temp]]*100</f>
        <v>42</v>
      </c>
      <c r="L986">
        <v>0.42420000000000002</v>
      </c>
      <c r="M986">
        <v>0.28000000000000003</v>
      </c>
      <c r="N986">
        <v>0.32840000000000003</v>
      </c>
      <c r="O986">
        <v>28</v>
      </c>
      <c r="P986">
        <v>106</v>
      </c>
      <c r="Q986">
        <v>134</v>
      </c>
      <c r="R986" s="12" t="str">
        <f t="shared" si="75"/>
        <v>Mist/Cloudy</v>
      </c>
      <c r="S986" s="14" t="str">
        <f t="shared" si="76"/>
        <v>Winter</v>
      </c>
      <c r="T986" s="15" t="str">
        <f t="shared" si="77"/>
        <v>Sunday</v>
      </c>
      <c r="U986" t="str">
        <f t="shared" si="78"/>
        <v>February</v>
      </c>
      <c r="V986" s="16" t="str">
        <f t="shared" si="79"/>
        <v>MODERATE</v>
      </c>
    </row>
    <row r="987" spans="1:22" x14ac:dyDescent="0.3">
      <c r="A987">
        <v>986</v>
      </c>
      <c r="B987" s="1">
        <v>40587</v>
      </c>
      <c r="C987">
        <v>1</v>
      </c>
      <c r="D987">
        <v>0</v>
      </c>
      <c r="E987">
        <v>2</v>
      </c>
      <c r="F987">
        <v>17</v>
      </c>
      <c r="G987" t="b">
        <f>IF(COUNTIF(AB$4:AB$20,Append1[[#This Row],[dteday]]) &gt; 0, TRUE, FALSE)</f>
        <v>0</v>
      </c>
      <c r="H987">
        <v>0</v>
      </c>
      <c r="I987">
        <v>1</v>
      </c>
      <c r="J987">
        <v>0.42</v>
      </c>
      <c r="K987">
        <f>Append1[[#This Row],[temp]]*100</f>
        <v>42</v>
      </c>
      <c r="L987">
        <v>0.42420000000000002</v>
      </c>
      <c r="M987">
        <v>0.28000000000000003</v>
      </c>
      <c r="N987">
        <v>0.32840000000000003</v>
      </c>
      <c r="O987">
        <v>30</v>
      </c>
      <c r="P987">
        <v>95</v>
      </c>
      <c r="Q987">
        <v>125</v>
      </c>
      <c r="R987" s="12" t="str">
        <f t="shared" si="75"/>
        <v>Clear/Few Clouds</v>
      </c>
      <c r="S987" s="14" t="str">
        <f t="shared" si="76"/>
        <v>Winter</v>
      </c>
      <c r="T987" s="15" t="str">
        <f t="shared" si="77"/>
        <v>Sunday</v>
      </c>
      <c r="U987" t="str">
        <f t="shared" si="78"/>
        <v>February</v>
      </c>
      <c r="V987" s="16" t="str">
        <f t="shared" si="79"/>
        <v>GOOD</v>
      </c>
    </row>
    <row r="988" spans="1:22" x14ac:dyDescent="0.3">
      <c r="A988">
        <v>987</v>
      </c>
      <c r="B988" s="1">
        <v>40587</v>
      </c>
      <c r="C988">
        <v>1</v>
      </c>
      <c r="D988">
        <v>0</v>
      </c>
      <c r="E988">
        <v>2</v>
      </c>
      <c r="F988">
        <v>18</v>
      </c>
      <c r="G988" t="b">
        <f>IF(COUNTIF(AB$4:AB$20,Append1[[#This Row],[dteday]]) &gt; 0, TRUE, FALSE)</f>
        <v>0</v>
      </c>
      <c r="H988">
        <v>0</v>
      </c>
      <c r="I988">
        <v>1</v>
      </c>
      <c r="J988">
        <v>0.4</v>
      </c>
      <c r="K988">
        <f>Append1[[#This Row],[temp]]*100</f>
        <v>40</v>
      </c>
      <c r="L988">
        <v>0.40910000000000002</v>
      </c>
      <c r="M988">
        <v>0.32</v>
      </c>
      <c r="N988">
        <v>0.29849999999999999</v>
      </c>
      <c r="O988">
        <v>17</v>
      </c>
      <c r="P988">
        <v>78</v>
      </c>
      <c r="Q988">
        <v>95</v>
      </c>
      <c r="R988" s="12" t="str">
        <f t="shared" si="75"/>
        <v>Clear/Few Clouds</v>
      </c>
      <c r="S988" s="14" t="str">
        <f t="shared" si="76"/>
        <v>Winter</v>
      </c>
      <c r="T988" s="15" t="str">
        <f t="shared" si="77"/>
        <v>Sunday</v>
      </c>
      <c r="U988" t="str">
        <f t="shared" si="78"/>
        <v>February</v>
      </c>
      <c r="V988" s="16" t="str">
        <f>_xlfn.IFS(I988=1,"GOOD",I988=2,"MODERATE",I988=3,"BAD",I988=4,"WORSE")</f>
        <v>GOOD</v>
      </c>
    </row>
    <row r="989" spans="1:22" x14ac:dyDescent="0.3">
      <c r="A989">
        <v>988</v>
      </c>
      <c r="B989" s="1">
        <v>40587</v>
      </c>
      <c r="C989">
        <v>1</v>
      </c>
      <c r="D989">
        <v>0</v>
      </c>
      <c r="E989">
        <v>2</v>
      </c>
      <c r="F989">
        <v>19</v>
      </c>
      <c r="G989" t="b">
        <f>IF(COUNTIF(AB$4:AB$20,Append1[[#This Row],[dteday]]) &gt; 0, TRUE, FALSE)</f>
        <v>0</v>
      </c>
      <c r="H989">
        <v>0</v>
      </c>
      <c r="I989">
        <v>1</v>
      </c>
      <c r="J989">
        <v>0.4</v>
      </c>
      <c r="K989">
        <f>Append1[[#This Row],[temp]]*100</f>
        <v>40</v>
      </c>
      <c r="L989">
        <v>0.40910000000000002</v>
      </c>
      <c r="M989">
        <v>0.35</v>
      </c>
      <c r="N989">
        <v>0.28360000000000002</v>
      </c>
      <c r="O989">
        <v>11</v>
      </c>
      <c r="P989">
        <v>50</v>
      </c>
      <c r="Q989">
        <v>61</v>
      </c>
      <c r="R989" s="12" t="str">
        <f t="shared" si="75"/>
        <v>Clear/Few Clouds</v>
      </c>
      <c r="S989" s="14" t="str">
        <f t="shared" si="76"/>
        <v>Winter</v>
      </c>
      <c r="T989" s="15" t="str">
        <f t="shared" si="77"/>
        <v>Sunday</v>
      </c>
      <c r="U989" t="str">
        <f t="shared" si="78"/>
        <v>February</v>
      </c>
      <c r="V989" s="16" t="str">
        <f t="shared" si="79"/>
        <v>GOOD</v>
      </c>
    </row>
    <row r="990" spans="1:22" x14ac:dyDescent="0.3">
      <c r="A990">
        <v>989</v>
      </c>
      <c r="B990" s="1">
        <v>40587</v>
      </c>
      <c r="C990">
        <v>1</v>
      </c>
      <c r="D990">
        <v>0</v>
      </c>
      <c r="E990">
        <v>2</v>
      </c>
      <c r="F990">
        <v>20</v>
      </c>
      <c r="G990" t="b">
        <f>IF(COUNTIF(AB$4:AB$20,Append1[[#This Row],[dteday]]) &gt; 0, TRUE, FALSE)</f>
        <v>0</v>
      </c>
      <c r="H990">
        <v>0</v>
      </c>
      <c r="I990">
        <v>1</v>
      </c>
      <c r="J990">
        <v>0.4</v>
      </c>
      <c r="K990">
        <f>Append1[[#This Row],[temp]]*100</f>
        <v>40</v>
      </c>
      <c r="L990">
        <v>0.40910000000000002</v>
      </c>
      <c r="M990">
        <v>0.35</v>
      </c>
      <c r="N990">
        <v>0.32840000000000003</v>
      </c>
      <c r="O990">
        <v>15</v>
      </c>
      <c r="P990">
        <v>32</v>
      </c>
      <c r="Q990">
        <v>47</v>
      </c>
      <c r="R990" s="12" t="str">
        <f t="shared" si="75"/>
        <v>Clear/Few Clouds</v>
      </c>
      <c r="S990" s="14" t="str">
        <f t="shared" si="76"/>
        <v>Winter</v>
      </c>
      <c r="T990" s="15" t="str">
        <f t="shared" si="77"/>
        <v>Sunday</v>
      </c>
      <c r="U990" t="str">
        <f t="shared" si="78"/>
        <v>February</v>
      </c>
      <c r="V990" s="16" t="str">
        <f t="shared" si="79"/>
        <v>GOOD</v>
      </c>
    </row>
    <row r="991" spans="1:22" x14ac:dyDescent="0.3">
      <c r="A991">
        <v>990</v>
      </c>
      <c r="B991" s="1">
        <v>40587</v>
      </c>
      <c r="C991">
        <v>1</v>
      </c>
      <c r="D991">
        <v>0</v>
      </c>
      <c r="E991">
        <v>2</v>
      </c>
      <c r="F991">
        <v>21</v>
      </c>
      <c r="G991" t="b">
        <f>IF(COUNTIF(AB$4:AB$20,Append1[[#This Row],[dteday]]) &gt; 0, TRUE, FALSE)</f>
        <v>0</v>
      </c>
      <c r="H991">
        <v>0</v>
      </c>
      <c r="I991">
        <v>1</v>
      </c>
      <c r="J991">
        <v>0.4</v>
      </c>
      <c r="K991">
        <f>Append1[[#This Row],[temp]]*100</f>
        <v>40</v>
      </c>
      <c r="L991">
        <v>0.40910000000000002</v>
      </c>
      <c r="M991">
        <v>0.35</v>
      </c>
      <c r="N991">
        <v>0.35820000000000002</v>
      </c>
      <c r="O991">
        <v>6</v>
      </c>
      <c r="P991">
        <v>45</v>
      </c>
      <c r="Q991">
        <v>51</v>
      </c>
      <c r="R991" s="12" t="str">
        <f t="shared" si="75"/>
        <v>Clear/Few Clouds</v>
      </c>
      <c r="S991" s="14" t="str">
        <f t="shared" si="76"/>
        <v>Winter</v>
      </c>
      <c r="T991" s="15" t="str">
        <f t="shared" si="77"/>
        <v>Sunday</v>
      </c>
      <c r="U991" t="str">
        <f t="shared" si="78"/>
        <v>February</v>
      </c>
      <c r="V991" s="16" t="str">
        <f t="shared" si="79"/>
        <v>GOOD</v>
      </c>
    </row>
    <row r="992" spans="1:22" x14ac:dyDescent="0.3">
      <c r="A992">
        <v>991</v>
      </c>
      <c r="B992" s="1">
        <v>40587</v>
      </c>
      <c r="C992">
        <v>1</v>
      </c>
      <c r="D992">
        <v>0</v>
      </c>
      <c r="E992">
        <v>2</v>
      </c>
      <c r="F992">
        <v>22</v>
      </c>
      <c r="G992" t="b">
        <f>IF(COUNTIF(AB$4:AB$20,Append1[[#This Row],[dteday]]) &gt; 0, TRUE, FALSE)</f>
        <v>0</v>
      </c>
      <c r="H992">
        <v>0</v>
      </c>
      <c r="I992">
        <v>1</v>
      </c>
      <c r="J992">
        <v>0.4</v>
      </c>
      <c r="K992">
        <f>Append1[[#This Row],[temp]]*100</f>
        <v>40</v>
      </c>
      <c r="L992">
        <v>0.40910000000000002</v>
      </c>
      <c r="M992">
        <v>0.35</v>
      </c>
      <c r="N992">
        <v>0.29849999999999999</v>
      </c>
      <c r="O992">
        <v>5</v>
      </c>
      <c r="P992">
        <v>31</v>
      </c>
      <c r="Q992">
        <v>36</v>
      </c>
      <c r="R992" s="12" t="str">
        <f t="shared" si="75"/>
        <v>Clear/Few Clouds</v>
      </c>
      <c r="S992" s="14" t="str">
        <f t="shared" si="76"/>
        <v>Winter</v>
      </c>
      <c r="T992" s="15" t="str">
        <f t="shared" si="77"/>
        <v>Sunday</v>
      </c>
      <c r="U992" t="str">
        <f t="shared" si="78"/>
        <v>February</v>
      </c>
      <c r="V992" s="16" t="str">
        <f t="shared" si="79"/>
        <v>GOOD</v>
      </c>
    </row>
    <row r="993" spans="1:22" x14ac:dyDescent="0.3">
      <c r="A993">
        <v>992</v>
      </c>
      <c r="B993" s="1">
        <v>40587</v>
      </c>
      <c r="C993">
        <v>1</v>
      </c>
      <c r="D993">
        <v>0</v>
      </c>
      <c r="E993">
        <v>2</v>
      </c>
      <c r="F993">
        <v>23</v>
      </c>
      <c r="G993" t="b">
        <f>IF(COUNTIF(AB$4:AB$20,Append1[[#This Row],[dteday]]) &gt; 0, TRUE, FALSE)</f>
        <v>0</v>
      </c>
      <c r="H993">
        <v>0</v>
      </c>
      <c r="I993">
        <v>1</v>
      </c>
      <c r="J993">
        <v>0.4</v>
      </c>
      <c r="K993">
        <f>Append1[[#This Row],[temp]]*100</f>
        <v>40</v>
      </c>
      <c r="L993">
        <v>0.40910000000000002</v>
      </c>
      <c r="M993">
        <v>0.35</v>
      </c>
      <c r="N993">
        <v>0.35820000000000002</v>
      </c>
      <c r="O993">
        <v>3</v>
      </c>
      <c r="P993">
        <v>27</v>
      </c>
      <c r="Q993">
        <v>30</v>
      </c>
      <c r="R993" s="12" t="str">
        <f t="shared" si="75"/>
        <v>Clear/Few Clouds</v>
      </c>
      <c r="S993" s="14" t="str">
        <f t="shared" si="76"/>
        <v>Winter</v>
      </c>
      <c r="T993" s="15" t="str">
        <f t="shared" si="77"/>
        <v>Sunday</v>
      </c>
      <c r="U993" t="str">
        <f t="shared" si="78"/>
        <v>February</v>
      </c>
      <c r="V993" s="16" t="str">
        <f t="shared" si="79"/>
        <v>GOOD</v>
      </c>
    </row>
    <row r="994" spans="1:22" x14ac:dyDescent="0.3">
      <c r="A994">
        <v>993</v>
      </c>
      <c r="B994" s="1">
        <v>40588</v>
      </c>
      <c r="C994">
        <v>1</v>
      </c>
      <c r="D994">
        <v>0</v>
      </c>
      <c r="E994">
        <v>2</v>
      </c>
      <c r="F994">
        <v>0</v>
      </c>
      <c r="G994" t="b">
        <f>IF(COUNTIF(AB$4:AB$20,Append1[[#This Row],[dteday]]) &gt; 0, TRUE, FALSE)</f>
        <v>0</v>
      </c>
      <c r="H994">
        <v>1</v>
      </c>
      <c r="I994">
        <v>1</v>
      </c>
      <c r="J994">
        <v>0.38</v>
      </c>
      <c r="K994">
        <f>Append1[[#This Row],[temp]]*100</f>
        <v>38</v>
      </c>
      <c r="L994">
        <v>0.39389999999999997</v>
      </c>
      <c r="M994">
        <v>0.37</v>
      </c>
      <c r="N994">
        <v>0.35820000000000002</v>
      </c>
      <c r="O994">
        <v>3</v>
      </c>
      <c r="P994">
        <v>8</v>
      </c>
      <c r="Q994">
        <v>11</v>
      </c>
      <c r="R994" s="12" t="str">
        <f t="shared" si="75"/>
        <v>Clear/Few Clouds</v>
      </c>
      <c r="S994" s="14" t="str">
        <f t="shared" si="76"/>
        <v>Winter</v>
      </c>
      <c r="T994" s="15" t="str">
        <f t="shared" si="77"/>
        <v>Monday</v>
      </c>
      <c r="U994" t="str">
        <f t="shared" si="78"/>
        <v>February</v>
      </c>
      <c r="V994" s="16" t="str">
        <f t="shared" si="79"/>
        <v>GOOD</v>
      </c>
    </row>
    <row r="995" spans="1:22" x14ac:dyDescent="0.3">
      <c r="A995">
        <v>994</v>
      </c>
      <c r="B995" s="1">
        <v>40588</v>
      </c>
      <c r="C995">
        <v>1</v>
      </c>
      <c r="D995">
        <v>0</v>
      </c>
      <c r="E995">
        <v>2</v>
      </c>
      <c r="F995">
        <v>1</v>
      </c>
      <c r="G995" t="b">
        <f>IF(COUNTIF(AB$4:AB$20,Append1[[#This Row],[dteday]]) &gt; 0, TRUE, FALSE)</f>
        <v>0</v>
      </c>
      <c r="H995">
        <v>1</v>
      </c>
      <c r="I995">
        <v>1</v>
      </c>
      <c r="J995">
        <v>0.38</v>
      </c>
      <c r="K995">
        <f>Append1[[#This Row],[temp]]*100</f>
        <v>38</v>
      </c>
      <c r="L995">
        <v>0.39389999999999997</v>
      </c>
      <c r="M995">
        <v>0.37</v>
      </c>
      <c r="N995">
        <v>0.35820000000000002</v>
      </c>
      <c r="O995">
        <v>1</v>
      </c>
      <c r="P995">
        <v>6</v>
      </c>
      <c r="Q995">
        <v>7</v>
      </c>
      <c r="R995" s="12" t="str">
        <f t="shared" si="75"/>
        <v>Clear/Few Clouds</v>
      </c>
      <c r="S995" s="14" t="str">
        <f t="shared" si="76"/>
        <v>Winter</v>
      </c>
      <c r="T995" s="15" t="str">
        <f t="shared" si="77"/>
        <v>Monday</v>
      </c>
      <c r="U995" t="str">
        <f t="shared" si="78"/>
        <v>February</v>
      </c>
      <c r="V995" s="16" t="str">
        <f t="shared" si="79"/>
        <v>GOOD</v>
      </c>
    </row>
    <row r="996" spans="1:22" x14ac:dyDescent="0.3">
      <c r="A996">
        <v>995</v>
      </c>
      <c r="B996" s="1">
        <v>40588</v>
      </c>
      <c r="C996">
        <v>1</v>
      </c>
      <c r="D996">
        <v>0</v>
      </c>
      <c r="E996">
        <v>2</v>
      </c>
      <c r="F996">
        <v>2</v>
      </c>
      <c r="G996" t="b">
        <f>IF(COUNTIF(AB$4:AB$20,Append1[[#This Row],[dteday]]) &gt; 0, TRUE, FALSE)</f>
        <v>0</v>
      </c>
      <c r="H996">
        <v>1</v>
      </c>
      <c r="I996">
        <v>1</v>
      </c>
      <c r="J996">
        <v>0.36</v>
      </c>
      <c r="K996">
        <f>Append1[[#This Row],[temp]]*100</f>
        <v>36</v>
      </c>
      <c r="L996">
        <v>0.33329999999999999</v>
      </c>
      <c r="M996">
        <v>0.4</v>
      </c>
      <c r="N996">
        <v>0.29849999999999999</v>
      </c>
      <c r="O996">
        <v>0</v>
      </c>
      <c r="P996">
        <v>2</v>
      </c>
      <c r="Q996">
        <v>2</v>
      </c>
      <c r="R996" s="12" t="str">
        <f t="shared" si="75"/>
        <v>Clear/Few Clouds</v>
      </c>
      <c r="S996" s="14" t="str">
        <f t="shared" si="76"/>
        <v>Winter</v>
      </c>
      <c r="T996" s="15" t="str">
        <f t="shared" si="77"/>
        <v>Monday</v>
      </c>
      <c r="U996" t="str">
        <f t="shared" si="78"/>
        <v>February</v>
      </c>
      <c r="V996" s="16" t="str">
        <f t="shared" si="79"/>
        <v>GOOD</v>
      </c>
    </row>
    <row r="997" spans="1:22" x14ac:dyDescent="0.3">
      <c r="A997">
        <v>996</v>
      </c>
      <c r="B997" s="1">
        <v>40588</v>
      </c>
      <c r="C997">
        <v>1</v>
      </c>
      <c r="D997">
        <v>0</v>
      </c>
      <c r="E997">
        <v>2</v>
      </c>
      <c r="F997">
        <v>3</v>
      </c>
      <c r="G997" t="b">
        <f>IF(COUNTIF(AB$4:AB$20,Append1[[#This Row],[dteday]]) &gt; 0, TRUE, FALSE)</f>
        <v>0</v>
      </c>
      <c r="H997">
        <v>1</v>
      </c>
      <c r="I997">
        <v>1</v>
      </c>
      <c r="J997">
        <v>0.34</v>
      </c>
      <c r="K997">
        <f>Append1[[#This Row],[temp]]*100</f>
        <v>34</v>
      </c>
      <c r="L997">
        <v>0.31819999999999998</v>
      </c>
      <c r="M997">
        <v>0.46</v>
      </c>
      <c r="N997">
        <v>0.22389999999999999</v>
      </c>
      <c r="O997">
        <v>1</v>
      </c>
      <c r="P997">
        <v>1</v>
      </c>
      <c r="Q997">
        <v>2</v>
      </c>
      <c r="R997" s="12" t="str">
        <f t="shared" si="75"/>
        <v>Clear/Few Clouds</v>
      </c>
      <c r="S997" s="14" t="str">
        <f t="shared" si="76"/>
        <v>Winter</v>
      </c>
      <c r="T997" s="15" t="str">
        <f t="shared" si="77"/>
        <v>Monday</v>
      </c>
      <c r="U997" t="str">
        <f t="shared" si="78"/>
        <v>February</v>
      </c>
      <c r="V997" s="16" t="str">
        <f t="shared" si="79"/>
        <v>GOOD</v>
      </c>
    </row>
    <row r="998" spans="1:22" x14ac:dyDescent="0.3">
      <c r="A998">
        <v>997</v>
      </c>
      <c r="B998" s="1">
        <v>40588</v>
      </c>
      <c r="C998">
        <v>1</v>
      </c>
      <c r="D998">
        <v>0</v>
      </c>
      <c r="E998">
        <v>2</v>
      </c>
      <c r="F998">
        <v>4</v>
      </c>
      <c r="G998" t="b">
        <f>IF(COUNTIF(AB$4:AB$20,Append1[[#This Row],[dteday]]) &gt; 0, TRUE, FALSE)</f>
        <v>0</v>
      </c>
      <c r="H998">
        <v>1</v>
      </c>
      <c r="I998">
        <v>1</v>
      </c>
      <c r="J998">
        <v>0.32</v>
      </c>
      <c r="K998">
        <f>Append1[[#This Row],[temp]]*100</f>
        <v>32</v>
      </c>
      <c r="L998">
        <v>0.30299999999999999</v>
      </c>
      <c r="M998">
        <v>0.53</v>
      </c>
      <c r="N998">
        <v>0.28360000000000002</v>
      </c>
      <c r="O998">
        <v>0</v>
      </c>
      <c r="P998">
        <v>2</v>
      </c>
      <c r="Q998">
        <v>2</v>
      </c>
      <c r="R998" s="12" t="str">
        <f t="shared" si="75"/>
        <v>Clear/Few Clouds</v>
      </c>
      <c r="S998" s="14" t="str">
        <f t="shared" si="76"/>
        <v>Winter</v>
      </c>
      <c r="T998" s="15" t="str">
        <f t="shared" si="77"/>
        <v>Monday</v>
      </c>
      <c r="U998" t="str">
        <f t="shared" si="78"/>
        <v>February</v>
      </c>
      <c r="V998" s="16" t="str">
        <f t="shared" si="79"/>
        <v>GOOD</v>
      </c>
    </row>
    <row r="999" spans="1:22" x14ac:dyDescent="0.3">
      <c r="A999">
        <v>998</v>
      </c>
      <c r="B999" s="1">
        <v>40588</v>
      </c>
      <c r="C999">
        <v>1</v>
      </c>
      <c r="D999">
        <v>0</v>
      </c>
      <c r="E999">
        <v>2</v>
      </c>
      <c r="F999">
        <v>5</v>
      </c>
      <c r="G999" t="b">
        <f>IF(COUNTIF(AB$4:AB$20,Append1[[#This Row],[dteday]]) &gt; 0, TRUE, FALSE)</f>
        <v>0</v>
      </c>
      <c r="H999">
        <v>1</v>
      </c>
      <c r="I999">
        <v>1</v>
      </c>
      <c r="J999">
        <v>0.32</v>
      </c>
      <c r="K999">
        <f>Append1[[#This Row],[temp]]*100</f>
        <v>32</v>
      </c>
      <c r="L999">
        <v>0.30299999999999999</v>
      </c>
      <c r="M999">
        <v>0.53</v>
      </c>
      <c r="N999">
        <v>0.28360000000000002</v>
      </c>
      <c r="O999">
        <v>0</v>
      </c>
      <c r="P999">
        <v>3</v>
      </c>
      <c r="Q999">
        <v>3</v>
      </c>
      <c r="R999" s="12" t="str">
        <f t="shared" si="75"/>
        <v>Clear/Few Clouds</v>
      </c>
      <c r="S999" s="14" t="str">
        <f t="shared" si="76"/>
        <v>Winter</v>
      </c>
      <c r="T999" s="15" t="str">
        <f t="shared" si="77"/>
        <v>Monday</v>
      </c>
      <c r="U999" t="str">
        <f t="shared" si="78"/>
        <v>February</v>
      </c>
      <c r="V999" s="16" t="str">
        <f t="shared" si="79"/>
        <v>GOOD</v>
      </c>
    </row>
    <row r="1000" spans="1:22" x14ac:dyDescent="0.3">
      <c r="A1000">
        <v>999</v>
      </c>
      <c r="B1000" s="1">
        <v>40588</v>
      </c>
      <c r="C1000">
        <v>1</v>
      </c>
      <c r="D1000">
        <v>0</v>
      </c>
      <c r="E1000">
        <v>2</v>
      </c>
      <c r="F1000">
        <v>6</v>
      </c>
      <c r="G1000" t="b">
        <f>IF(COUNTIF(AB$4:AB$20,Append1[[#This Row],[dteday]]) &gt; 0, TRUE, FALSE)</f>
        <v>0</v>
      </c>
      <c r="H1000">
        <v>1</v>
      </c>
      <c r="I1000">
        <v>1</v>
      </c>
      <c r="J1000">
        <v>0.34</v>
      </c>
      <c r="K1000">
        <f>Append1[[#This Row],[temp]]*100</f>
        <v>34</v>
      </c>
      <c r="L1000">
        <v>0.30299999999999999</v>
      </c>
      <c r="M1000">
        <v>0.46</v>
      </c>
      <c r="N1000">
        <v>0.29849999999999999</v>
      </c>
      <c r="O1000">
        <v>1</v>
      </c>
      <c r="P1000">
        <v>25</v>
      </c>
      <c r="Q1000">
        <v>26</v>
      </c>
      <c r="R1000" s="12" t="str">
        <f t="shared" si="75"/>
        <v>Clear/Few Clouds</v>
      </c>
      <c r="S1000" s="14" t="str">
        <f t="shared" si="76"/>
        <v>Winter</v>
      </c>
      <c r="T1000" s="15" t="str">
        <f t="shared" si="77"/>
        <v>Monday</v>
      </c>
      <c r="U1000" t="str">
        <f t="shared" si="78"/>
        <v>February</v>
      </c>
      <c r="V1000" s="16" t="str">
        <f t="shared" si="79"/>
        <v>GOOD</v>
      </c>
    </row>
    <row r="1001" spans="1:22" x14ac:dyDescent="0.3">
      <c r="A1001">
        <v>1000</v>
      </c>
      <c r="B1001" s="1">
        <v>40588</v>
      </c>
      <c r="C1001">
        <v>1</v>
      </c>
      <c r="D1001">
        <v>0</v>
      </c>
      <c r="E1001">
        <v>2</v>
      </c>
      <c r="F1001">
        <v>7</v>
      </c>
      <c r="G1001" t="b">
        <f>IF(COUNTIF(AB$4:AB$20,Append1[[#This Row],[dteday]]) &gt; 0, TRUE, FALSE)</f>
        <v>0</v>
      </c>
      <c r="H1001">
        <v>1</v>
      </c>
      <c r="I1001">
        <v>1</v>
      </c>
      <c r="J1001">
        <v>0.34</v>
      </c>
      <c r="K1001">
        <f>Append1[[#This Row],[temp]]*100</f>
        <v>34</v>
      </c>
      <c r="L1001">
        <v>0.30299999999999999</v>
      </c>
      <c r="M1001">
        <v>0.46</v>
      </c>
      <c r="N1001">
        <v>0.29849999999999999</v>
      </c>
      <c r="O1001">
        <v>2</v>
      </c>
      <c r="P1001">
        <v>96</v>
      </c>
      <c r="Q1001">
        <v>98</v>
      </c>
      <c r="R1001" s="12" t="str">
        <f t="shared" si="75"/>
        <v>Clear/Few Clouds</v>
      </c>
      <c r="S1001" s="14" t="str">
        <f t="shared" si="76"/>
        <v>Winter</v>
      </c>
      <c r="T1001" s="15" t="str">
        <f t="shared" si="77"/>
        <v>Monday</v>
      </c>
      <c r="U1001" t="str">
        <f t="shared" si="78"/>
        <v>February</v>
      </c>
      <c r="V1001" s="16" t="str">
        <f t="shared" si="79"/>
        <v>GOOD</v>
      </c>
    </row>
    <row r="1002" spans="1:22" x14ac:dyDescent="0.3">
      <c r="B1002" s="1"/>
    </row>
  </sheetData>
  <mergeCells count="1">
    <mergeCell ref="AB2:AD2"/>
  </mergeCells>
  <phoneticPr fontId="1" type="noConversion"/>
  <pageMargins left="0.7" right="0.7" top="0.75" bottom="0.75" header="0.3" footer="0.3"/>
  <pageSetup paperSize="9" orientation="portrait" verticalDpi="300"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0D84B4-48DB-442A-99B6-A751CE8C5C33}">
  <dimension ref="B2:G57"/>
  <sheetViews>
    <sheetView workbookViewId="0">
      <selection activeCell="D3" sqref="D3"/>
    </sheetView>
  </sheetViews>
  <sheetFormatPr defaultRowHeight="14.4" x14ac:dyDescent="0.3"/>
  <cols>
    <col min="1" max="1" width="2.44140625" customWidth="1"/>
    <col min="2" max="2" width="14.33203125" bestFit="1" customWidth="1"/>
    <col min="3" max="3" width="15.88671875" bestFit="1" customWidth="1"/>
    <col min="4" max="4" width="14.109375" bestFit="1" customWidth="1"/>
    <col min="5" max="5" width="9.21875" bestFit="1" customWidth="1"/>
    <col min="6" max="6" width="12.5546875" bestFit="1" customWidth="1"/>
    <col min="7" max="7" width="10.109375" bestFit="1" customWidth="1"/>
    <col min="13" max="13" width="12.5546875" bestFit="1" customWidth="1"/>
    <col min="14" max="14" width="10.109375" bestFit="1" customWidth="1"/>
  </cols>
  <sheetData>
    <row r="2" spans="2:5" ht="18" x14ac:dyDescent="0.35">
      <c r="B2" s="17" t="s">
        <v>66</v>
      </c>
      <c r="C2" s="17" t="s">
        <v>60</v>
      </c>
      <c r="D2" s="17" t="s">
        <v>67</v>
      </c>
      <c r="E2" s="22"/>
    </row>
    <row r="3" spans="2:5" ht="18" x14ac:dyDescent="0.35">
      <c r="B3" s="18">
        <f>GETPIVOTDATA("Sum of cnt",$B$29)</f>
        <v>58304</v>
      </c>
      <c r="C3" s="18">
        <f>GETPIVOTDATA("Sum of casual",$B$29)</f>
        <v>4921</v>
      </c>
      <c r="D3" s="18">
        <f>GETPIVOTDATA("Sum of registered",$B$29)</f>
        <v>53383</v>
      </c>
      <c r="E3" s="23"/>
    </row>
    <row r="28" spans="2:7" x14ac:dyDescent="0.3">
      <c r="B28" s="27" t="s">
        <v>97</v>
      </c>
      <c r="C28" s="27"/>
    </row>
    <row r="29" spans="2:7" x14ac:dyDescent="0.3">
      <c r="B29" t="s">
        <v>59</v>
      </c>
      <c r="C29" t="s">
        <v>75</v>
      </c>
      <c r="D29" t="s">
        <v>74</v>
      </c>
    </row>
    <row r="30" spans="2:7" x14ac:dyDescent="0.3">
      <c r="B30">
        <v>58304</v>
      </c>
      <c r="C30">
        <v>53383</v>
      </c>
      <c r="D30">
        <v>4921</v>
      </c>
    </row>
    <row r="32" spans="2:7" x14ac:dyDescent="0.3">
      <c r="B32" s="2" t="s">
        <v>17</v>
      </c>
      <c r="C32" t="s">
        <v>98</v>
      </c>
      <c r="F32" s="2" t="s">
        <v>17</v>
      </c>
      <c r="G32" t="s">
        <v>59</v>
      </c>
    </row>
    <row r="33" spans="2:7" x14ac:dyDescent="0.3">
      <c r="B33" s="3">
        <v>0</v>
      </c>
      <c r="C33">
        <v>16.348837209302324</v>
      </c>
      <c r="F33" s="3" t="s">
        <v>23</v>
      </c>
      <c r="G33">
        <v>8450</v>
      </c>
    </row>
    <row r="34" spans="2:7" x14ac:dyDescent="0.3">
      <c r="B34" s="3">
        <v>1</v>
      </c>
      <c r="C34">
        <v>10.697674418604651</v>
      </c>
      <c r="F34" s="3" t="s">
        <v>27</v>
      </c>
      <c r="G34">
        <v>8383</v>
      </c>
    </row>
    <row r="35" spans="2:7" x14ac:dyDescent="0.3">
      <c r="B35" s="3">
        <v>2</v>
      </c>
      <c r="C35">
        <v>7.1707317073170733</v>
      </c>
      <c r="F35" s="3" t="s">
        <v>28</v>
      </c>
      <c r="G35">
        <v>8049</v>
      </c>
    </row>
    <row r="36" spans="2:7" x14ac:dyDescent="0.3">
      <c r="B36" s="3">
        <v>3</v>
      </c>
      <c r="C36">
        <v>4.870967741935484</v>
      </c>
      <c r="F36" s="3" t="s">
        <v>26</v>
      </c>
      <c r="G36">
        <v>8458</v>
      </c>
    </row>
    <row r="37" spans="2:7" x14ac:dyDescent="0.3">
      <c r="B37" s="3">
        <v>4</v>
      </c>
      <c r="C37">
        <v>2.15625</v>
      </c>
      <c r="F37" s="3" t="s">
        <v>22</v>
      </c>
      <c r="G37">
        <v>9095</v>
      </c>
    </row>
    <row r="38" spans="2:7" x14ac:dyDescent="0.3">
      <c r="B38" s="3">
        <v>5</v>
      </c>
      <c r="C38">
        <v>4.2051282051282053</v>
      </c>
      <c r="F38" s="3" t="s">
        <v>24</v>
      </c>
      <c r="G38">
        <v>7748</v>
      </c>
    </row>
    <row r="39" spans="2:7" x14ac:dyDescent="0.3">
      <c r="B39" s="3">
        <v>6</v>
      </c>
      <c r="C39">
        <v>19.571428571428573</v>
      </c>
      <c r="F39" s="3" t="s">
        <v>25</v>
      </c>
      <c r="G39">
        <v>8121</v>
      </c>
    </row>
    <row r="40" spans="2:7" x14ac:dyDescent="0.3">
      <c r="B40" s="3">
        <v>7</v>
      </c>
      <c r="C40">
        <v>54.395348837209305</v>
      </c>
      <c r="F40" s="3" t="s">
        <v>18</v>
      </c>
      <c r="G40">
        <v>58304</v>
      </c>
    </row>
    <row r="41" spans="2:7" x14ac:dyDescent="0.3">
      <c r="B41" s="3">
        <v>8</v>
      </c>
      <c r="C41">
        <v>128.28571428571428</v>
      </c>
    </row>
    <row r="42" spans="2:7" x14ac:dyDescent="0.3">
      <c r="B42" s="3">
        <v>9</v>
      </c>
      <c r="C42">
        <v>87.428571428571431</v>
      </c>
    </row>
    <row r="43" spans="2:7" x14ac:dyDescent="0.3">
      <c r="B43" s="3">
        <v>10</v>
      </c>
      <c r="C43">
        <v>53.642857142857146</v>
      </c>
    </row>
    <row r="44" spans="2:7" x14ac:dyDescent="0.3">
      <c r="B44" s="3">
        <v>11</v>
      </c>
      <c r="C44">
        <v>59.38095238095238</v>
      </c>
    </row>
    <row r="45" spans="2:7" x14ac:dyDescent="0.3">
      <c r="B45" s="3">
        <v>12</v>
      </c>
      <c r="C45">
        <v>76.348837209302332</v>
      </c>
    </row>
    <row r="46" spans="2:7" x14ac:dyDescent="0.3">
      <c r="B46" s="3">
        <v>13</v>
      </c>
      <c r="C46">
        <v>78.511627906976742</v>
      </c>
    </row>
    <row r="47" spans="2:7" x14ac:dyDescent="0.3">
      <c r="B47" s="3">
        <v>14</v>
      </c>
      <c r="C47">
        <v>74.418604651162795</v>
      </c>
    </row>
    <row r="48" spans="2:7" x14ac:dyDescent="0.3">
      <c r="B48" s="3">
        <v>15</v>
      </c>
      <c r="C48">
        <v>77.95348837209302</v>
      </c>
    </row>
    <row r="49" spans="2:3" x14ac:dyDescent="0.3">
      <c r="B49" s="3">
        <v>16</v>
      </c>
      <c r="C49">
        <v>89.272727272727266</v>
      </c>
    </row>
    <row r="50" spans="2:3" x14ac:dyDescent="0.3">
      <c r="B50" s="3">
        <v>17</v>
      </c>
      <c r="C50">
        <v>140.20454545454547</v>
      </c>
    </row>
    <row r="51" spans="2:3" x14ac:dyDescent="0.3">
      <c r="B51" s="3">
        <v>18</v>
      </c>
      <c r="C51">
        <v>122.86046511627907</v>
      </c>
    </row>
    <row r="52" spans="2:3" x14ac:dyDescent="0.3">
      <c r="B52" s="3">
        <v>19</v>
      </c>
      <c r="C52">
        <v>85.139534883720927</v>
      </c>
    </row>
    <row r="53" spans="2:3" x14ac:dyDescent="0.3">
      <c r="B53" s="3">
        <v>20</v>
      </c>
      <c r="C53">
        <v>61.767441860465119</v>
      </c>
    </row>
    <row r="54" spans="2:3" x14ac:dyDescent="0.3">
      <c r="B54" s="3">
        <v>21</v>
      </c>
      <c r="C54">
        <v>46.418604651162788</v>
      </c>
    </row>
    <row r="55" spans="2:3" x14ac:dyDescent="0.3">
      <c r="B55" s="3">
        <v>22</v>
      </c>
      <c r="C55">
        <v>35.069767441860463</v>
      </c>
    </row>
    <row r="56" spans="2:3" x14ac:dyDescent="0.3">
      <c r="B56" s="3">
        <v>23</v>
      </c>
      <c r="C56">
        <v>25.186046511627907</v>
      </c>
    </row>
    <row r="57" spans="2:3" x14ac:dyDescent="0.3">
      <c r="B57" s="3" t="s">
        <v>18</v>
      </c>
      <c r="C57">
        <v>58.304000000000002</v>
      </c>
    </row>
  </sheetData>
  <mergeCells count="1">
    <mergeCell ref="B28:C28"/>
  </mergeCells>
  <pageMargins left="0.7" right="0.7" top="0.75" bottom="0.75" header="0.3" footer="0.3"/>
  <drawing r:id="rId4"/>
  <extLst>
    <ext xmlns:x14="http://schemas.microsoft.com/office/spreadsheetml/2009/9/main" uri="{A8765BA9-456A-4dab-B4F3-ACF838C121DE}">
      <x14:slicerList>
        <x14:slicer r:id="rId5"/>
      </x14:slicerList>
    </ext>
  </extLs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4F069C6-69AE-4C85-8081-5BFD6B5BD835}">
  <sheetPr codeName="Sheet6"/>
  <dimension ref="A1:D9"/>
  <sheetViews>
    <sheetView workbookViewId="0">
      <selection activeCell="D10" sqref="D10"/>
    </sheetView>
  </sheetViews>
  <sheetFormatPr defaultRowHeight="14.4" x14ac:dyDescent="0.3"/>
  <cols>
    <col min="1" max="1" width="16.44140625" bestFit="1" customWidth="1"/>
    <col min="2" max="2" width="24.6640625" bestFit="1" customWidth="1"/>
    <col min="3" max="3" width="24.77734375" bestFit="1" customWidth="1"/>
    <col min="4" max="4" width="21.88671875" customWidth="1"/>
    <col min="5" max="5" width="17.33203125" bestFit="1" customWidth="1"/>
    <col min="6" max="6" width="17" bestFit="1" customWidth="1"/>
    <col min="7" max="7" width="34" bestFit="1" customWidth="1"/>
    <col min="8" max="8" width="32.6640625" bestFit="1" customWidth="1"/>
  </cols>
  <sheetData>
    <row r="1" spans="1:4" s="5" customFormat="1" x14ac:dyDescent="0.3">
      <c r="A1" s="7" t="s">
        <v>36</v>
      </c>
      <c r="B1" s="7" t="s">
        <v>37</v>
      </c>
      <c r="C1" s="7" t="s">
        <v>41</v>
      </c>
      <c r="D1" s="7" t="s">
        <v>42</v>
      </c>
    </row>
    <row r="2" spans="1:4" x14ac:dyDescent="0.3">
      <c r="A2" s="4" t="s">
        <v>38</v>
      </c>
      <c r="B2" s="4" t="s">
        <v>45</v>
      </c>
      <c r="C2" s="8">
        <f>SUM(Append1[registered])</f>
        <v>53383</v>
      </c>
      <c r="D2" s="8">
        <f>SUM(Append1[casual])</f>
        <v>4921</v>
      </c>
    </row>
    <row r="3" spans="1:4" x14ac:dyDescent="0.3">
      <c r="C3" s="6"/>
      <c r="D3" s="6"/>
    </row>
    <row r="4" spans="1:4" x14ac:dyDescent="0.3">
      <c r="C4" s="6"/>
      <c r="D4" s="6"/>
    </row>
    <row r="5" spans="1:4" x14ac:dyDescent="0.3">
      <c r="A5" s="4"/>
      <c r="B5" s="4"/>
      <c r="C5" s="9" t="s">
        <v>43</v>
      </c>
      <c r="D5" s="9" t="s">
        <v>44</v>
      </c>
    </row>
    <row r="6" spans="1:4" x14ac:dyDescent="0.3">
      <c r="A6" s="4" t="s">
        <v>39</v>
      </c>
      <c r="B6" s="4" t="s">
        <v>46</v>
      </c>
      <c r="C6" s="8">
        <f>AVERAGE(Append1[registered])</f>
        <v>53.383000000000003</v>
      </c>
      <c r="D6" s="8">
        <f>AVERAGE(Append1[casual])</f>
        <v>4.9210000000000003</v>
      </c>
    </row>
    <row r="7" spans="1:4" x14ac:dyDescent="0.3">
      <c r="C7" s="6"/>
      <c r="D7" s="6"/>
    </row>
    <row r="8" spans="1:4" ht="28.8" x14ac:dyDescent="0.3">
      <c r="A8" s="4"/>
      <c r="B8" s="4"/>
      <c r="C8" s="10" t="s">
        <v>40</v>
      </c>
      <c r="D8" s="10" t="s">
        <v>40</v>
      </c>
    </row>
    <row r="9" spans="1:4" x14ac:dyDescent="0.3">
      <c r="A9" s="4" t="s">
        <v>47</v>
      </c>
      <c r="B9" s="4" t="s">
        <v>48</v>
      </c>
      <c r="C9" s="8">
        <f>_xlfn.STDEV.S(Append1[registered])</f>
        <v>47.893967711426278</v>
      </c>
      <c r="D9" s="8">
        <f>_xlfn.STDEV.S(Append1[casual])</f>
        <v>7.6438987557520797</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A20FD7-6C87-46D3-8071-ED1BA0CDBE90}">
  <sheetPr codeName="Sheet5"/>
  <dimension ref="A1:C16"/>
  <sheetViews>
    <sheetView workbookViewId="0">
      <selection activeCell="B17" sqref="B17"/>
    </sheetView>
  </sheetViews>
  <sheetFormatPr defaultRowHeight="14.4" x14ac:dyDescent="0.3"/>
  <cols>
    <col min="1" max="1" width="33.44140625" bestFit="1" customWidth="1"/>
    <col min="2" max="2" width="20.21875" bestFit="1" customWidth="1"/>
    <col min="3" max="3" width="94" bestFit="1" customWidth="1"/>
  </cols>
  <sheetData>
    <row r="1" spans="1:3" x14ac:dyDescent="0.3">
      <c r="A1" s="4" t="s">
        <v>34</v>
      </c>
      <c r="B1" s="4" t="s">
        <v>35</v>
      </c>
      <c r="C1" t="s">
        <v>69</v>
      </c>
    </row>
    <row r="2" spans="1:3" x14ac:dyDescent="0.3">
      <c r="A2" s="4" t="s">
        <v>31</v>
      </c>
      <c r="B2" s="4">
        <f>CORREL(Append1[temp],Append1[cnt])</f>
        <v>0.22929155386993369</v>
      </c>
      <c r="C2" t="s">
        <v>70</v>
      </c>
    </row>
    <row r="3" spans="1:3" x14ac:dyDescent="0.3">
      <c r="A3" s="4"/>
      <c r="B3" s="4"/>
    </row>
    <row r="4" spans="1:3" x14ac:dyDescent="0.3">
      <c r="A4" s="4" t="s">
        <v>32</v>
      </c>
      <c r="B4" s="4">
        <f>CORREL(Append1[hum],Append1[cnt])</f>
        <v>-0.25435329828790432</v>
      </c>
      <c r="C4" t="s">
        <v>71</v>
      </c>
    </row>
    <row r="5" spans="1:3" x14ac:dyDescent="0.3">
      <c r="A5" s="4"/>
      <c r="B5" s="4"/>
    </row>
    <row r="6" spans="1:3" x14ac:dyDescent="0.3">
      <c r="A6" s="4" t="s">
        <v>33</v>
      </c>
      <c r="B6" s="4">
        <f>CORREL(Append1[windspeed],Append1[cnt])</f>
        <v>0.10399668008577614</v>
      </c>
      <c r="C6" t="s">
        <v>72</v>
      </c>
    </row>
    <row r="7" spans="1:3" x14ac:dyDescent="0.3">
      <c r="A7" s="4"/>
      <c r="B7" s="4"/>
    </row>
    <row r="8" spans="1:3" x14ac:dyDescent="0.3">
      <c r="A8" s="4" t="s">
        <v>49</v>
      </c>
      <c r="B8" s="4">
        <f>CORREL(Append1[atemp],Append1[cnt])</f>
        <v>0.19299386277830383</v>
      </c>
      <c r="C8" t="s">
        <v>73</v>
      </c>
    </row>
    <row r="9" spans="1:3" x14ac:dyDescent="0.3">
      <c r="A9" s="4"/>
      <c r="B9" s="4"/>
    </row>
    <row r="12" spans="1:3" x14ac:dyDescent="0.3">
      <c r="A12" s="7" t="s">
        <v>50</v>
      </c>
      <c r="B12" s="4">
        <f>SUMIF('Merged Data'!R:R,"Light Rain/Snow",'Merged Data'!Q:Q)</f>
        <v>2789</v>
      </c>
    </row>
    <row r="13" spans="1:3" x14ac:dyDescent="0.3">
      <c r="A13" s="7" t="s">
        <v>51</v>
      </c>
      <c r="B13" s="4">
        <f>SUMIF('Merged Data'!R:R,"Clear/Few Clouds",'Merged Data'!Q:Q)</f>
        <v>37373</v>
      </c>
    </row>
    <row r="14" spans="1:3" x14ac:dyDescent="0.3">
      <c r="A14" s="7" t="s">
        <v>52</v>
      </c>
      <c r="B14" s="4">
        <f>SUMIF('Merged Data'!R:R,"Mist/Cloudy",'Merged Data'!Q:Q)</f>
        <v>18106</v>
      </c>
    </row>
    <row r="15" spans="1:3" x14ac:dyDescent="0.3">
      <c r="A15" s="7" t="s">
        <v>53</v>
      </c>
      <c r="B15" s="4">
        <f>SUMIF('Merged Data'!R:R,"Heavy Rain/Snow",'Merged Data'!Q:Q)</f>
        <v>36</v>
      </c>
    </row>
    <row r="16" spans="1:3" x14ac:dyDescent="0.3">
      <c r="A16" s="7" t="s">
        <v>54</v>
      </c>
      <c r="B16" s="7">
        <f>SUM(B12:B15)</f>
        <v>58304</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8FAB34-7642-42D2-9CC4-BD61BFB28E4A}">
  <sheetPr codeName="Sheet3"/>
  <dimension ref="A1:B13"/>
  <sheetViews>
    <sheetView workbookViewId="0">
      <selection sqref="A1:B2"/>
    </sheetView>
  </sheetViews>
  <sheetFormatPr defaultRowHeight="14.4" x14ac:dyDescent="0.3"/>
  <cols>
    <col min="1" max="1" width="19.33203125" bestFit="1" customWidth="1"/>
    <col min="2" max="2" width="10.109375" bestFit="1" customWidth="1"/>
    <col min="3" max="3" width="13.33203125" bestFit="1" customWidth="1"/>
  </cols>
  <sheetData>
    <row r="1" spans="1:2" x14ac:dyDescent="0.3">
      <c r="A1" s="30" t="s">
        <v>56</v>
      </c>
      <c r="B1" s="30"/>
    </row>
    <row r="2" spans="1:2" x14ac:dyDescent="0.3">
      <c r="A2" s="30"/>
      <c r="B2" s="30"/>
    </row>
    <row r="3" spans="1:2" x14ac:dyDescent="0.3">
      <c r="A3" s="2" t="s">
        <v>17</v>
      </c>
      <c r="B3" t="s">
        <v>59</v>
      </c>
    </row>
    <row r="4" spans="1:2" x14ac:dyDescent="0.3">
      <c r="A4" s="3" t="s">
        <v>29</v>
      </c>
    </row>
    <row r="5" spans="1:2" x14ac:dyDescent="0.3">
      <c r="A5" s="11" t="s">
        <v>62</v>
      </c>
      <c r="B5">
        <v>13287</v>
      </c>
    </row>
    <row r="6" spans="1:2" x14ac:dyDescent="0.3">
      <c r="A6" s="11" t="s">
        <v>63</v>
      </c>
      <c r="B6">
        <v>1192</v>
      </c>
    </row>
    <row r="7" spans="1:2" x14ac:dyDescent="0.3">
      <c r="A7" s="11" t="s">
        <v>64</v>
      </c>
      <c r="B7">
        <v>5636</v>
      </c>
    </row>
    <row r="8" spans="1:2" x14ac:dyDescent="0.3">
      <c r="A8" s="3" t="s">
        <v>30</v>
      </c>
    </row>
    <row r="9" spans="1:2" x14ac:dyDescent="0.3">
      <c r="A9" s="11" t="s">
        <v>62</v>
      </c>
      <c r="B9">
        <v>24086</v>
      </c>
    </row>
    <row r="10" spans="1:2" x14ac:dyDescent="0.3">
      <c r="A10" s="11" t="s">
        <v>65</v>
      </c>
      <c r="B10">
        <v>36</v>
      </c>
    </row>
    <row r="11" spans="1:2" x14ac:dyDescent="0.3">
      <c r="A11" s="11" t="s">
        <v>63</v>
      </c>
      <c r="B11">
        <v>1597</v>
      </c>
    </row>
    <row r="12" spans="1:2" x14ac:dyDescent="0.3">
      <c r="A12" s="11" t="s">
        <v>64</v>
      </c>
      <c r="B12">
        <v>12470</v>
      </c>
    </row>
    <row r="13" spans="1:2" x14ac:dyDescent="0.3">
      <c r="A13" s="3" t="s">
        <v>18</v>
      </c>
      <c r="B13">
        <v>58304</v>
      </c>
    </row>
  </sheetData>
  <mergeCells count="1">
    <mergeCell ref="A1:B2"/>
  </mergeCell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DE1E56-2D97-4ECE-B3B0-C0AAC666D15A}">
  <dimension ref="A1:B6"/>
  <sheetViews>
    <sheetView workbookViewId="0">
      <selection sqref="A1:B2"/>
    </sheetView>
  </sheetViews>
  <sheetFormatPr defaultRowHeight="14.4" x14ac:dyDescent="0.3"/>
  <cols>
    <col min="1" max="1" width="12.5546875" bestFit="1" customWidth="1"/>
    <col min="2" max="2" width="11.88671875" customWidth="1"/>
  </cols>
  <sheetData>
    <row r="1" spans="1:2" x14ac:dyDescent="0.3">
      <c r="A1" s="28" t="s">
        <v>96</v>
      </c>
      <c r="B1" s="28"/>
    </row>
    <row r="2" spans="1:2" x14ac:dyDescent="0.3">
      <c r="A2" s="28"/>
      <c r="B2" s="28"/>
    </row>
    <row r="3" spans="1:2" x14ac:dyDescent="0.3">
      <c r="A3" s="2" t="s">
        <v>17</v>
      </c>
      <c r="B3" t="s">
        <v>59</v>
      </c>
    </row>
    <row r="4" spans="1:2" x14ac:dyDescent="0.3">
      <c r="A4" s="3" t="s">
        <v>57</v>
      </c>
      <c r="B4">
        <v>57304</v>
      </c>
    </row>
    <row r="5" spans="1:2" x14ac:dyDescent="0.3">
      <c r="A5" s="3" t="s">
        <v>58</v>
      </c>
      <c r="B5">
        <v>1000</v>
      </c>
    </row>
    <row r="6" spans="1:2" x14ac:dyDescent="0.3">
      <c r="A6" s="3" t="s">
        <v>18</v>
      </c>
      <c r="B6">
        <v>58304</v>
      </c>
    </row>
  </sheetData>
  <mergeCells count="1">
    <mergeCell ref="A1:B2"/>
  </mergeCells>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EF4622-11E1-42AE-8CD0-353D7707C8B2}">
  <dimension ref="A1:C11"/>
  <sheetViews>
    <sheetView workbookViewId="0">
      <selection activeCell="C11" sqref="C11"/>
    </sheetView>
  </sheetViews>
  <sheetFormatPr defaultRowHeight="14.4" x14ac:dyDescent="0.3"/>
  <cols>
    <col min="1" max="1" width="12.5546875" bestFit="1" customWidth="1"/>
    <col min="2" max="2" width="12.6640625" bestFit="1" customWidth="1"/>
    <col min="3" max="3" width="15.88671875" bestFit="1" customWidth="1"/>
  </cols>
  <sheetData>
    <row r="1" spans="1:3" x14ac:dyDescent="0.3">
      <c r="A1" s="29" t="s">
        <v>99</v>
      </c>
      <c r="B1" s="29"/>
      <c r="C1" s="29"/>
    </row>
    <row r="2" spans="1:3" x14ac:dyDescent="0.3">
      <c r="A2" s="29"/>
      <c r="B2" s="29"/>
      <c r="C2" s="29"/>
    </row>
    <row r="3" spans="1:3" x14ac:dyDescent="0.3">
      <c r="A3" s="2" t="s">
        <v>17</v>
      </c>
      <c r="B3" t="s">
        <v>74</v>
      </c>
      <c r="C3" t="s">
        <v>75</v>
      </c>
    </row>
    <row r="4" spans="1:3" x14ac:dyDescent="0.3">
      <c r="A4" s="3" t="s">
        <v>23</v>
      </c>
      <c r="B4">
        <v>534</v>
      </c>
      <c r="C4">
        <v>7916</v>
      </c>
    </row>
    <row r="5" spans="1:3" x14ac:dyDescent="0.3">
      <c r="A5" s="3" t="s">
        <v>27</v>
      </c>
      <c r="B5">
        <v>457</v>
      </c>
      <c r="C5">
        <v>7926</v>
      </c>
    </row>
    <row r="6" spans="1:3" x14ac:dyDescent="0.3">
      <c r="A6" s="3" t="s">
        <v>28</v>
      </c>
      <c r="B6">
        <v>344</v>
      </c>
      <c r="C6">
        <v>7705</v>
      </c>
    </row>
    <row r="7" spans="1:3" x14ac:dyDescent="0.3">
      <c r="A7" s="3" t="s">
        <v>26</v>
      </c>
      <c r="B7">
        <v>332</v>
      </c>
      <c r="C7">
        <v>8126</v>
      </c>
    </row>
    <row r="8" spans="1:3" x14ac:dyDescent="0.3">
      <c r="A8" s="3" t="s">
        <v>22</v>
      </c>
      <c r="B8">
        <v>552</v>
      </c>
      <c r="C8">
        <v>8543</v>
      </c>
    </row>
    <row r="9" spans="1:3" x14ac:dyDescent="0.3">
      <c r="A9" s="3" t="s">
        <v>24</v>
      </c>
      <c r="B9">
        <v>1225</v>
      </c>
      <c r="C9">
        <v>6523</v>
      </c>
    </row>
    <row r="10" spans="1:3" x14ac:dyDescent="0.3">
      <c r="A10" s="3" t="s">
        <v>25</v>
      </c>
      <c r="B10">
        <v>1477</v>
      </c>
      <c r="C10">
        <v>6644</v>
      </c>
    </row>
    <row r="11" spans="1:3" x14ac:dyDescent="0.3">
      <c r="A11" s="3" t="s">
        <v>18</v>
      </c>
      <c r="B11">
        <v>4921</v>
      </c>
      <c r="C11">
        <v>53383</v>
      </c>
    </row>
  </sheetData>
  <mergeCells count="1">
    <mergeCell ref="A1:C2"/>
  </mergeCell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9146D41-648E-409E-A7B2-6CD60FBB517A}">
  <dimension ref="A1:U1003"/>
  <sheetViews>
    <sheetView topLeftCell="A2" workbookViewId="0">
      <selection activeCell="S7" sqref="S7"/>
    </sheetView>
  </sheetViews>
  <sheetFormatPr defaultRowHeight="14.4" x14ac:dyDescent="0.3"/>
  <cols>
    <col min="1" max="1" width="9" bestFit="1" customWidth="1"/>
    <col min="2" max="2" width="10.33203125" bestFit="1" customWidth="1"/>
    <col min="3" max="6" width="9" bestFit="1" customWidth="1"/>
    <col min="7" max="7" width="9.44140625" bestFit="1" customWidth="1"/>
    <col min="8" max="8" width="10.77734375" bestFit="1" customWidth="1"/>
    <col min="9" max="9" width="12" bestFit="1" customWidth="1"/>
    <col min="10" max="12" width="9" bestFit="1" customWidth="1"/>
    <col min="13" max="13" width="12.33203125" bestFit="1" customWidth="1"/>
    <col min="14" max="14" width="9" bestFit="1" customWidth="1"/>
    <col min="15" max="15" width="11.5546875" bestFit="1" customWidth="1"/>
    <col min="16" max="16" width="9" bestFit="1" customWidth="1"/>
    <col min="17" max="17" width="15.44140625" bestFit="1" customWidth="1"/>
    <col min="18" max="18" width="14.6640625" bestFit="1" customWidth="1"/>
    <col min="19" max="19" width="14.109375" bestFit="1" customWidth="1"/>
    <col min="20" max="20" width="9.44140625" bestFit="1" customWidth="1"/>
    <col min="21" max="21" width="13.33203125" bestFit="1" customWidth="1"/>
  </cols>
  <sheetData>
    <row r="1" spans="1:21" x14ac:dyDescent="0.3">
      <c r="A1" s="5" t="s">
        <v>127</v>
      </c>
    </row>
    <row r="3" spans="1:21" x14ac:dyDescent="0.3">
      <c r="A3" t="s">
        <v>0</v>
      </c>
      <c r="B3" t="s">
        <v>1</v>
      </c>
      <c r="C3" t="s">
        <v>2</v>
      </c>
      <c r="D3" t="s">
        <v>3</v>
      </c>
      <c r="E3" t="s">
        <v>4</v>
      </c>
      <c r="F3" t="s">
        <v>5</v>
      </c>
      <c r="G3" t="s">
        <v>6</v>
      </c>
      <c r="H3" t="s">
        <v>7</v>
      </c>
      <c r="I3" t="s">
        <v>8</v>
      </c>
      <c r="J3" t="s">
        <v>9</v>
      </c>
      <c r="K3" t="s">
        <v>10</v>
      </c>
      <c r="L3" t="s">
        <v>11</v>
      </c>
      <c r="M3" t="s">
        <v>12</v>
      </c>
      <c r="N3" t="s">
        <v>13</v>
      </c>
      <c r="O3" t="s">
        <v>14</v>
      </c>
      <c r="P3" t="s">
        <v>15</v>
      </c>
      <c r="Q3" t="s">
        <v>16</v>
      </c>
      <c r="R3" t="s">
        <v>19</v>
      </c>
      <c r="S3" t="s">
        <v>20</v>
      </c>
      <c r="T3" t="s">
        <v>21</v>
      </c>
      <c r="U3" t="s">
        <v>122</v>
      </c>
    </row>
    <row r="4" spans="1:21" x14ac:dyDescent="0.3">
      <c r="A4">
        <v>48</v>
      </c>
      <c r="B4" s="1">
        <v>40546</v>
      </c>
      <c r="C4">
        <v>1</v>
      </c>
      <c r="D4">
        <v>0</v>
      </c>
      <c r="E4">
        <v>1</v>
      </c>
      <c r="F4">
        <v>0</v>
      </c>
      <c r="G4" t="b">
        <v>0</v>
      </c>
      <c r="H4">
        <v>1</v>
      </c>
      <c r="I4">
        <v>1</v>
      </c>
      <c r="J4">
        <v>0.22</v>
      </c>
      <c r="K4">
        <v>0.19700000000000001</v>
      </c>
      <c r="L4">
        <v>0.44</v>
      </c>
      <c r="M4">
        <v>0.35820000000000002</v>
      </c>
      <c r="N4">
        <v>0</v>
      </c>
      <c r="O4">
        <v>5</v>
      </c>
      <c r="P4">
        <v>5</v>
      </c>
      <c r="Q4" t="s">
        <v>62</v>
      </c>
      <c r="R4" t="s">
        <v>120</v>
      </c>
      <c r="S4" t="s">
        <v>23</v>
      </c>
      <c r="T4" t="s">
        <v>30</v>
      </c>
      <c r="U4" t="s">
        <v>123</v>
      </c>
    </row>
    <row r="5" spans="1:21" x14ac:dyDescent="0.3">
      <c r="A5">
        <v>49</v>
      </c>
      <c r="B5" s="1">
        <v>40546</v>
      </c>
      <c r="C5">
        <v>1</v>
      </c>
      <c r="D5">
        <v>0</v>
      </c>
      <c r="E5">
        <v>1</v>
      </c>
      <c r="F5">
        <v>1</v>
      </c>
      <c r="G5" t="b">
        <v>0</v>
      </c>
      <c r="H5">
        <v>1</v>
      </c>
      <c r="I5">
        <v>1</v>
      </c>
      <c r="J5">
        <v>0.2</v>
      </c>
      <c r="L5">
        <v>0.44</v>
      </c>
      <c r="M5">
        <v>0.41789999999999999</v>
      </c>
      <c r="N5">
        <v>0</v>
      </c>
      <c r="O5">
        <v>2</v>
      </c>
      <c r="P5">
        <v>2</v>
      </c>
      <c r="Q5" t="s">
        <v>62</v>
      </c>
      <c r="R5" t="s">
        <v>120</v>
      </c>
      <c r="S5" t="s">
        <v>23</v>
      </c>
      <c r="T5" t="s">
        <v>30</v>
      </c>
      <c r="U5" t="s">
        <v>123</v>
      </c>
    </row>
    <row r="6" spans="1:21" x14ac:dyDescent="0.3">
      <c r="A6">
        <v>50</v>
      </c>
      <c r="B6" s="1">
        <v>40546</v>
      </c>
      <c r="C6">
        <v>1</v>
      </c>
      <c r="D6">
        <v>0</v>
      </c>
      <c r="E6">
        <v>1</v>
      </c>
      <c r="F6">
        <v>4</v>
      </c>
      <c r="G6" t="b">
        <v>0</v>
      </c>
      <c r="H6">
        <v>1</v>
      </c>
      <c r="I6">
        <v>1</v>
      </c>
      <c r="J6">
        <v>0.16</v>
      </c>
      <c r="K6">
        <v>0.13639999999999999</v>
      </c>
      <c r="L6">
        <v>0.47</v>
      </c>
      <c r="M6">
        <v>0.3881</v>
      </c>
      <c r="N6">
        <v>0</v>
      </c>
      <c r="O6">
        <v>1</v>
      </c>
      <c r="P6">
        <v>1</v>
      </c>
      <c r="Q6" t="s">
        <v>62</v>
      </c>
      <c r="R6" t="s">
        <v>120</v>
      </c>
      <c r="S6" t="s">
        <v>23</v>
      </c>
      <c r="T6" t="s">
        <v>30</v>
      </c>
      <c r="U6" t="s">
        <v>123</v>
      </c>
    </row>
    <row r="7" spans="1:21" x14ac:dyDescent="0.3">
      <c r="A7">
        <v>51</v>
      </c>
      <c r="B7" s="1">
        <v>40546</v>
      </c>
      <c r="C7">
        <v>1</v>
      </c>
      <c r="D7">
        <v>0</v>
      </c>
      <c r="E7">
        <v>1</v>
      </c>
      <c r="F7">
        <v>5</v>
      </c>
      <c r="G7" t="b">
        <v>0</v>
      </c>
      <c r="H7">
        <v>1</v>
      </c>
      <c r="I7">
        <v>1</v>
      </c>
      <c r="J7">
        <v>0.16</v>
      </c>
      <c r="K7">
        <v>0.13639999999999999</v>
      </c>
      <c r="L7">
        <v>0.47</v>
      </c>
      <c r="M7">
        <v>0.28360000000000002</v>
      </c>
      <c r="N7">
        <v>0</v>
      </c>
      <c r="O7">
        <v>3</v>
      </c>
      <c r="P7">
        <v>3</v>
      </c>
      <c r="Q7" t="s">
        <v>62</v>
      </c>
      <c r="R7" t="s">
        <v>120</v>
      </c>
      <c r="S7" t="s">
        <v>23</v>
      </c>
      <c r="T7" t="s">
        <v>30</v>
      </c>
      <c r="U7" t="s">
        <v>123</v>
      </c>
    </row>
    <row r="8" spans="1:21" x14ac:dyDescent="0.3">
      <c r="A8">
        <v>52</v>
      </c>
      <c r="B8" s="1">
        <v>40546</v>
      </c>
      <c r="C8">
        <v>1</v>
      </c>
      <c r="D8">
        <v>0</v>
      </c>
      <c r="E8">
        <v>1</v>
      </c>
      <c r="F8">
        <v>6</v>
      </c>
      <c r="G8" t="b">
        <v>0</v>
      </c>
      <c r="H8">
        <v>1</v>
      </c>
      <c r="I8">
        <v>1</v>
      </c>
      <c r="J8">
        <v>0.14000000000000001</v>
      </c>
      <c r="K8">
        <v>0.1061</v>
      </c>
      <c r="L8">
        <v>0.5</v>
      </c>
      <c r="M8">
        <v>0.3881</v>
      </c>
      <c r="N8">
        <v>0</v>
      </c>
      <c r="O8">
        <v>30</v>
      </c>
      <c r="P8">
        <v>30</v>
      </c>
      <c r="Q8" t="s">
        <v>62</v>
      </c>
      <c r="R8" t="s">
        <v>120</v>
      </c>
      <c r="S8" t="s">
        <v>23</v>
      </c>
      <c r="T8" t="s">
        <v>30</v>
      </c>
      <c r="U8" t="s">
        <v>123</v>
      </c>
    </row>
    <row r="9" spans="1:21" x14ac:dyDescent="0.3">
      <c r="A9">
        <v>53</v>
      </c>
      <c r="B9" s="1">
        <v>40546</v>
      </c>
      <c r="C9">
        <v>1</v>
      </c>
      <c r="D9">
        <v>0</v>
      </c>
      <c r="E9">
        <v>1</v>
      </c>
      <c r="F9">
        <v>7</v>
      </c>
      <c r="G9" t="b">
        <v>0</v>
      </c>
      <c r="H9">
        <v>1</v>
      </c>
      <c r="I9">
        <v>1</v>
      </c>
      <c r="J9">
        <v>0.14000000000000001</v>
      </c>
      <c r="K9">
        <v>0.13639999999999999</v>
      </c>
      <c r="L9">
        <v>0.5</v>
      </c>
      <c r="M9">
        <v>0.19400000000000001</v>
      </c>
      <c r="N9">
        <v>1</v>
      </c>
      <c r="O9">
        <v>63</v>
      </c>
      <c r="P9">
        <v>64</v>
      </c>
      <c r="Q9" t="s">
        <v>62</v>
      </c>
      <c r="R9" t="s">
        <v>120</v>
      </c>
      <c r="S9" t="s">
        <v>23</v>
      </c>
      <c r="T9" t="s">
        <v>30</v>
      </c>
      <c r="U9" t="s">
        <v>123</v>
      </c>
    </row>
    <row r="10" spans="1:21" x14ac:dyDescent="0.3">
      <c r="A10">
        <v>54</v>
      </c>
      <c r="B10" s="1">
        <v>40546</v>
      </c>
      <c r="C10">
        <v>1</v>
      </c>
      <c r="D10">
        <v>0</v>
      </c>
      <c r="E10">
        <v>1</v>
      </c>
      <c r="F10">
        <v>8</v>
      </c>
      <c r="G10" t="b">
        <v>0</v>
      </c>
      <c r="H10">
        <v>1</v>
      </c>
      <c r="I10">
        <v>1</v>
      </c>
      <c r="J10">
        <v>0.14000000000000001</v>
      </c>
      <c r="K10">
        <v>0.1212</v>
      </c>
      <c r="L10">
        <v>0.5</v>
      </c>
      <c r="M10">
        <v>0.28360000000000002</v>
      </c>
      <c r="N10">
        <v>1</v>
      </c>
      <c r="O10">
        <v>153</v>
      </c>
      <c r="P10">
        <v>154</v>
      </c>
      <c r="Q10" t="s">
        <v>62</v>
      </c>
      <c r="R10" t="s">
        <v>120</v>
      </c>
      <c r="S10" t="s">
        <v>23</v>
      </c>
      <c r="T10" t="s">
        <v>30</v>
      </c>
      <c r="U10" t="s">
        <v>123</v>
      </c>
    </row>
    <row r="11" spans="1:21" x14ac:dyDescent="0.3">
      <c r="A11">
        <v>55</v>
      </c>
      <c r="B11" s="1">
        <v>40546</v>
      </c>
      <c r="C11">
        <v>1</v>
      </c>
      <c r="D11">
        <v>0</v>
      </c>
      <c r="E11">
        <v>1</v>
      </c>
      <c r="F11">
        <v>9</v>
      </c>
      <c r="G11" t="b">
        <v>0</v>
      </c>
      <c r="H11">
        <v>1</v>
      </c>
      <c r="I11">
        <v>1</v>
      </c>
      <c r="J11">
        <v>0.16</v>
      </c>
      <c r="K11">
        <v>0.13639999999999999</v>
      </c>
      <c r="L11">
        <v>0.43</v>
      </c>
      <c r="M11">
        <v>0.3881</v>
      </c>
      <c r="N11">
        <v>7</v>
      </c>
      <c r="O11">
        <v>81</v>
      </c>
      <c r="P11">
        <v>88</v>
      </c>
      <c r="Q11" t="s">
        <v>62</v>
      </c>
      <c r="R11" t="s">
        <v>120</v>
      </c>
      <c r="S11" t="s">
        <v>23</v>
      </c>
      <c r="T11" t="s">
        <v>30</v>
      </c>
      <c r="U11" t="s">
        <v>123</v>
      </c>
    </row>
    <row r="12" spans="1:21" x14ac:dyDescent="0.3">
      <c r="A12">
        <v>56</v>
      </c>
      <c r="B12" s="1">
        <v>40546</v>
      </c>
      <c r="C12">
        <v>1</v>
      </c>
      <c r="D12">
        <v>0</v>
      </c>
      <c r="E12">
        <v>1</v>
      </c>
      <c r="F12">
        <v>10</v>
      </c>
      <c r="G12" t="b">
        <v>0</v>
      </c>
      <c r="H12">
        <v>1</v>
      </c>
      <c r="I12">
        <v>1</v>
      </c>
      <c r="J12">
        <v>0.18</v>
      </c>
      <c r="K12">
        <v>0.16669999999999999</v>
      </c>
      <c r="L12">
        <v>0.43</v>
      </c>
      <c r="M12">
        <v>0.25369999999999998</v>
      </c>
      <c r="N12">
        <v>11</v>
      </c>
      <c r="O12">
        <v>33</v>
      </c>
      <c r="P12">
        <v>44</v>
      </c>
      <c r="Q12" t="s">
        <v>62</v>
      </c>
      <c r="R12" t="s">
        <v>120</v>
      </c>
      <c r="S12" t="s">
        <v>23</v>
      </c>
      <c r="T12" t="s">
        <v>30</v>
      </c>
      <c r="U12" t="s">
        <v>123</v>
      </c>
    </row>
    <row r="13" spans="1:21" x14ac:dyDescent="0.3">
      <c r="A13">
        <v>57</v>
      </c>
      <c r="B13" s="1">
        <v>40546</v>
      </c>
      <c r="C13">
        <v>1</v>
      </c>
      <c r="D13">
        <v>0</v>
      </c>
      <c r="E13">
        <v>1</v>
      </c>
      <c r="F13">
        <v>11</v>
      </c>
      <c r="G13" t="b">
        <v>0</v>
      </c>
      <c r="H13">
        <v>1</v>
      </c>
      <c r="I13">
        <v>1</v>
      </c>
      <c r="J13">
        <v>0.2</v>
      </c>
      <c r="K13">
        <v>0.18179999999999999</v>
      </c>
      <c r="L13">
        <v>0.4</v>
      </c>
      <c r="M13">
        <v>0.32840000000000003</v>
      </c>
      <c r="N13">
        <v>10</v>
      </c>
      <c r="O13">
        <v>41</v>
      </c>
      <c r="P13">
        <v>51</v>
      </c>
      <c r="Q13" t="s">
        <v>62</v>
      </c>
      <c r="R13" t="s">
        <v>120</v>
      </c>
      <c r="S13" t="s">
        <v>23</v>
      </c>
      <c r="T13" t="s">
        <v>30</v>
      </c>
      <c r="U13" t="s">
        <v>123</v>
      </c>
    </row>
    <row r="14" spans="1:21" x14ac:dyDescent="0.3">
      <c r="A14">
        <v>58</v>
      </c>
      <c r="B14" s="1">
        <v>40546</v>
      </c>
      <c r="C14">
        <v>1</v>
      </c>
      <c r="D14">
        <v>0</v>
      </c>
      <c r="E14">
        <v>1</v>
      </c>
      <c r="F14">
        <v>12</v>
      </c>
      <c r="G14" t="b">
        <v>0</v>
      </c>
      <c r="H14">
        <v>1</v>
      </c>
      <c r="I14">
        <v>1</v>
      </c>
      <c r="J14">
        <v>0.22</v>
      </c>
      <c r="K14">
        <v>0.21210000000000001</v>
      </c>
      <c r="L14">
        <v>0.35</v>
      </c>
      <c r="M14">
        <v>0.29849999999999999</v>
      </c>
      <c r="N14">
        <v>13</v>
      </c>
      <c r="O14">
        <v>48</v>
      </c>
      <c r="P14">
        <v>61</v>
      </c>
      <c r="Q14" t="s">
        <v>62</v>
      </c>
      <c r="R14" t="s">
        <v>120</v>
      </c>
      <c r="S14" t="s">
        <v>23</v>
      </c>
      <c r="T14" t="s">
        <v>30</v>
      </c>
      <c r="U14" t="s">
        <v>123</v>
      </c>
    </row>
    <row r="15" spans="1:21" x14ac:dyDescent="0.3">
      <c r="A15">
        <v>59</v>
      </c>
      <c r="B15" s="1">
        <v>40546</v>
      </c>
      <c r="C15">
        <v>1</v>
      </c>
      <c r="D15">
        <v>0</v>
      </c>
      <c r="E15">
        <v>1</v>
      </c>
      <c r="F15">
        <v>13</v>
      </c>
      <c r="G15" t="b">
        <v>0</v>
      </c>
      <c r="H15">
        <v>1</v>
      </c>
      <c r="I15">
        <v>1</v>
      </c>
      <c r="J15">
        <v>0.24</v>
      </c>
      <c r="L15">
        <v>0.35</v>
      </c>
      <c r="M15">
        <v>0.28360000000000002</v>
      </c>
      <c r="N15">
        <v>8</v>
      </c>
      <c r="O15">
        <v>53</v>
      </c>
      <c r="P15">
        <v>61</v>
      </c>
      <c r="Q15" t="s">
        <v>62</v>
      </c>
      <c r="R15" t="s">
        <v>120</v>
      </c>
      <c r="S15" t="s">
        <v>23</v>
      </c>
      <c r="T15" t="s">
        <v>30</v>
      </c>
      <c r="U15" t="s">
        <v>123</v>
      </c>
    </row>
    <row r="16" spans="1:21" x14ac:dyDescent="0.3">
      <c r="A16">
        <v>60</v>
      </c>
      <c r="B16" s="1">
        <v>40546</v>
      </c>
      <c r="C16">
        <v>1</v>
      </c>
      <c r="D16">
        <v>0</v>
      </c>
      <c r="E16">
        <v>1</v>
      </c>
      <c r="F16">
        <v>14</v>
      </c>
      <c r="G16" t="b">
        <v>0</v>
      </c>
      <c r="H16">
        <v>1</v>
      </c>
      <c r="I16">
        <v>1</v>
      </c>
      <c r="J16">
        <v>0.26</v>
      </c>
      <c r="K16">
        <v>0.2424</v>
      </c>
      <c r="L16">
        <v>0.3</v>
      </c>
      <c r="M16">
        <v>0.28360000000000002</v>
      </c>
      <c r="N16">
        <v>11</v>
      </c>
      <c r="O16">
        <v>66</v>
      </c>
      <c r="P16">
        <v>77</v>
      </c>
      <c r="Q16" t="s">
        <v>62</v>
      </c>
      <c r="R16" t="s">
        <v>120</v>
      </c>
      <c r="S16" t="s">
        <v>23</v>
      </c>
      <c r="T16" t="s">
        <v>30</v>
      </c>
      <c r="U16" t="s">
        <v>123</v>
      </c>
    </row>
    <row r="17" spans="1:21" x14ac:dyDescent="0.3">
      <c r="A17">
        <v>61</v>
      </c>
      <c r="B17" s="1">
        <v>40546</v>
      </c>
      <c r="C17">
        <v>1</v>
      </c>
      <c r="D17">
        <v>0</v>
      </c>
      <c r="E17">
        <v>1</v>
      </c>
      <c r="F17">
        <v>15</v>
      </c>
      <c r="G17" t="b">
        <v>0</v>
      </c>
      <c r="H17">
        <v>1</v>
      </c>
      <c r="I17">
        <v>1</v>
      </c>
      <c r="J17">
        <v>0.26</v>
      </c>
      <c r="K17">
        <v>0.2424</v>
      </c>
      <c r="L17">
        <v>0.3</v>
      </c>
      <c r="M17">
        <v>0.25369999999999998</v>
      </c>
      <c r="N17">
        <v>14</v>
      </c>
      <c r="O17">
        <v>58</v>
      </c>
      <c r="P17">
        <v>72</v>
      </c>
      <c r="Q17" t="s">
        <v>62</v>
      </c>
      <c r="R17" t="s">
        <v>120</v>
      </c>
      <c r="S17" t="s">
        <v>23</v>
      </c>
      <c r="T17" t="s">
        <v>30</v>
      </c>
      <c r="U17" t="s">
        <v>123</v>
      </c>
    </row>
    <row r="18" spans="1:21" x14ac:dyDescent="0.3">
      <c r="A18">
        <v>62</v>
      </c>
      <c r="B18" s="1">
        <v>40546</v>
      </c>
      <c r="C18">
        <v>1</v>
      </c>
      <c r="D18">
        <v>0</v>
      </c>
      <c r="E18">
        <v>1</v>
      </c>
      <c r="F18">
        <v>16</v>
      </c>
      <c r="G18" t="b">
        <v>0</v>
      </c>
      <c r="H18">
        <v>1</v>
      </c>
      <c r="I18">
        <v>1</v>
      </c>
      <c r="J18">
        <v>0.26</v>
      </c>
      <c r="K18">
        <v>0.2424</v>
      </c>
      <c r="L18">
        <v>0.3</v>
      </c>
      <c r="M18">
        <v>0.25369999999999998</v>
      </c>
      <c r="N18">
        <v>9</v>
      </c>
      <c r="O18">
        <v>67</v>
      </c>
      <c r="P18">
        <v>76</v>
      </c>
      <c r="Q18" t="s">
        <v>62</v>
      </c>
      <c r="R18" t="s">
        <v>120</v>
      </c>
      <c r="S18" t="s">
        <v>23</v>
      </c>
      <c r="T18" t="s">
        <v>30</v>
      </c>
      <c r="U18" t="s">
        <v>123</v>
      </c>
    </row>
    <row r="19" spans="1:21" x14ac:dyDescent="0.3">
      <c r="A19">
        <v>63</v>
      </c>
      <c r="B19" s="1">
        <v>40546</v>
      </c>
      <c r="C19">
        <v>1</v>
      </c>
      <c r="D19">
        <v>0</v>
      </c>
      <c r="E19">
        <v>1</v>
      </c>
      <c r="F19">
        <v>17</v>
      </c>
      <c r="G19" t="b">
        <v>0</v>
      </c>
      <c r="H19">
        <v>1</v>
      </c>
      <c r="I19">
        <v>1</v>
      </c>
      <c r="J19">
        <v>0.24</v>
      </c>
      <c r="K19">
        <v>0.2273</v>
      </c>
      <c r="L19">
        <v>0.3</v>
      </c>
      <c r="M19">
        <v>0.22389999999999999</v>
      </c>
      <c r="N19">
        <v>11</v>
      </c>
      <c r="O19">
        <v>146</v>
      </c>
      <c r="P19">
        <v>157</v>
      </c>
      <c r="Q19" t="s">
        <v>62</v>
      </c>
      <c r="R19" t="s">
        <v>120</v>
      </c>
      <c r="S19" t="s">
        <v>23</v>
      </c>
      <c r="T19" t="s">
        <v>30</v>
      </c>
      <c r="U19" t="s">
        <v>123</v>
      </c>
    </row>
    <row r="20" spans="1:21" x14ac:dyDescent="0.3">
      <c r="A20">
        <v>64</v>
      </c>
      <c r="B20" s="1">
        <v>40546</v>
      </c>
      <c r="C20">
        <v>1</v>
      </c>
      <c r="D20">
        <v>0</v>
      </c>
      <c r="E20">
        <v>1</v>
      </c>
      <c r="F20">
        <v>18</v>
      </c>
      <c r="G20" t="b">
        <v>0</v>
      </c>
      <c r="H20">
        <v>1</v>
      </c>
      <c r="I20">
        <v>1</v>
      </c>
      <c r="J20">
        <v>0.24</v>
      </c>
      <c r="K20">
        <v>0.2576</v>
      </c>
      <c r="L20">
        <v>0.32</v>
      </c>
      <c r="M20">
        <v>0.1045</v>
      </c>
      <c r="N20">
        <v>9</v>
      </c>
      <c r="O20">
        <v>148</v>
      </c>
      <c r="P20">
        <v>157</v>
      </c>
      <c r="Q20" t="s">
        <v>62</v>
      </c>
      <c r="R20" t="s">
        <v>120</v>
      </c>
      <c r="S20" t="s">
        <v>23</v>
      </c>
      <c r="T20" t="s">
        <v>30</v>
      </c>
      <c r="U20" t="s">
        <v>123</v>
      </c>
    </row>
    <row r="21" spans="1:21" x14ac:dyDescent="0.3">
      <c r="A21">
        <v>65</v>
      </c>
      <c r="B21" s="1">
        <v>40546</v>
      </c>
      <c r="C21">
        <v>1</v>
      </c>
      <c r="D21">
        <v>0</v>
      </c>
      <c r="E21">
        <v>1</v>
      </c>
      <c r="F21">
        <v>19</v>
      </c>
      <c r="G21" t="b">
        <v>0</v>
      </c>
      <c r="H21">
        <v>1</v>
      </c>
      <c r="I21">
        <v>1</v>
      </c>
      <c r="J21">
        <v>0.2</v>
      </c>
      <c r="K21">
        <v>0.2576</v>
      </c>
      <c r="L21">
        <v>0.47</v>
      </c>
      <c r="M21">
        <v>0</v>
      </c>
      <c r="N21">
        <v>8</v>
      </c>
      <c r="O21">
        <v>102</v>
      </c>
      <c r="P21">
        <v>110</v>
      </c>
      <c r="Q21" t="s">
        <v>62</v>
      </c>
      <c r="R21" t="s">
        <v>120</v>
      </c>
      <c r="S21" t="s">
        <v>23</v>
      </c>
      <c r="T21" t="s">
        <v>30</v>
      </c>
      <c r="U21" t="s">
        <v>123</v>
      </c>
    </row>
    <row r="22" spans="1:21" x14ac:dyDescent="0.3">
      <c r="A22">
        <v>66</v>
      </c>
      <c r="B22" s="1">
        <v>40546</v>
      </c>
      <c r="C22">
        <v>1</v>
      </c>
      <c r="D22">
        <v>0</v>
      </c>
      <c r="E22">
        <v>1</v>
      </c>
      <c r="F22">
        <v>20</v>
      </c>
      <c r="G22" t="b">
        <v>0</v>
      </c>
      <c r="H22">
        <v>1</v>
      </c>
      <c r="I22">
        <v>1</v>
      </c>
      <c r="J22">
        <v>0.2</v>
      </c>
      <c r="L22">
        <v>0.47</v>
      </c>
      <c r="M22">
        <v>0.1045</v>
      </c>
      <c r="N22">
        <v>3</v>
      </c>
      <c r="O22">
        <v>49</v>
      </c>
      <c r="P22">
        <v>52</v>
      </c>
      <c r="Q22" t="s">
        <v>62</v>
      </c>
      <c r="R22" t="s">
        <v>120</v>
      </c>
      <c r="S22" t="s">
        <v>23</v>
      </c>
      <c r="T22" t="s">
        <v>30</v>
      </c>
      <c r="U22" t="s">
        <v>123</v>
      </c>
    </row>
    <row r="23" spans="1:21" x14ac:dyDescent="0.3">
      <c r="A23">
        <v>67</v>
      </c>
      <c r="B23" s="1">
        <v>40546</v>
      </c>
      <c r="C23">
        <v>1</v>
      </c>
      <c r="D23">
        <v>0</v>
      </c>
      <c r="E23">
        <v>1</v>
      </c>
      <c r="F23">
        <v>21</v>
      </c>
      <c r="G23" t="b">
        <v>0</v>
      </c>
      <c r="H23">
        <v>1</v>
      </c>
      <c r="I23">
        <v>1</v>
      </c>
      <c r="J23">
        <v>0.18</v>
      </c>
      <c r="K23">
        <v>0.19700000000000001</v>
      </c>
      <c r="L23">
        <v>0.64</v>
      </c>
      <c r="M23">
        <v>0.1343</v>
      </c>
      <c r="N23">
        <v>3</v>
      </c>
      <c r="O23">
        <v>49</v>
      </c>
      <c r="P23">
        <v>52</v>
      </c>
      <c r="Q23" t="s">
        <v>62</v>
      </c>
      <c r="R23" t="s">
        <v>120</v>
      </c>
      <c r="S23" t="s">
        <v>23</v>
      </c>
      <c r="T23" t="s">
        <v>30</v>
      </c>
      <c r="U23" t="s">
        <v>123</v>
      </c>
    </row>
    <row r="24" spans="1:21" x14ac:dyDescent="0.3">
      <c r="A24">
        <v>68</v>
      </c>
      <c r="B24" s="1">
        <v>40546</v>
      </c>
      <c r="C24">
        <v>1</v>
      </c>
      <c r="D24">
        <v>0</v>
      </c>
      <c r="E24">
        <v>1</v>
      </c>
      <c r="F24">
        <v>22</v>
      </c>
      <c r="G24" t="b">
        <v>0</v>
      </c>
      <c r="H24">
        <v>1</v>
      </c>
      <c r="I24">
        <v>1</v>
      </c>
      <c r="J24">
        <v>0.14000000000000001</v>
      </c>
      <c r="K24">
        <v>0.1515</v>
      </c>
      <c r="L24">
        <v>0.69</v>
      </c>
      <c r="M24">
        <v>0.1343</v>
      </c>
      <c r="N24">
        <v>0</v>
      </c>
      <c r="O24">
        <v>20</v>
      </c>
      <c r="P24">
        <v>20</v>
      </c>
      <c r="Q24" t="s">
        <v>62</v>
      </c>
      <c r="R24" t="s">
        <v>120</v>
      </c>
      <c r="S24" t="s">
        <v>23</v>
      </c>
      <c r="T24" t="s">
        <v>30</v>
      </c>
      <c r="U24" t="s">
        <v>123</v>
      </c>
    </row>
    <row r="25" spans="1:21" x14ac:dyDescent="0.3">
      <c r="A25">
        <v>69</v>
      </c>
      <c r="B25" s="1">
        <v>40546</v>
      </c>
      <c r="C25">
        <v>1</v>
      </c>
      <c r="D25">
        <v>0</v>
      </c>
      <c r="E25">
        <v>1</v>
      </c>
      <c r="F25">
        <v>23</v>
      </c>
      <c r="G25" t="b">
        <v>0</v>
      </c>
      <c r="H25">
        <v>1</v>
      </c>
      <c r="I25">
        <v>1</v>
      </c>
      <c r="J25">
        <v>0.18</v>
      </c>
      <c r="K25">
        <v>0.21210000000000001</v>
      </c>
      <c r="L25">
        <v>0.55000000000000004</v>
      </c>
      <c r="M25">
        <v>0.1045</v>
      </c>
      <c r="N25">
        <v>1</v>
      </c>
      <c r="O25">
        <v>11</v>
      </c>
      <c r="P25">
        <v>12</v>
      </c>
      <c r="Q25" t="s">
        <v>62</v>
      </c>
      <c r="R25" t="s">
        <v>120</v>
      </c>
      <c r="S25" t="s">
        <v>23</v>
      </c>
      <c r="T25" t="s">
        <v>30</v>
      </c>
      <c r="U25" t="s">
        <v>123</v>
      </c>
    </row>
    <row r="26" spans="1:21" x14ac:dyDescent="0.3">
      <c r="A26">
        <v>210</v>
      </c>
      <c r="B26" s="1">
        <v>40553</v>
      </c>
      <c r="C26">
        <v>1</v>
      </c>
      <c r="D26">
        <v>0</v>
      </c>
      <c r="E26">
        <v>1</v>
      </c>
      <c r="F26">
        <v>0</v>
      </c>
      <c r="G26" t="b">
        <v>0</v>
      </c>
      <c r="H26">
        <v>1</v>
      </c>
      <c r="I26">
        <v>1</v>
      </c>
      <c r="J26">
        <v>0.12</v>
      </c>
      <c r="K26">
        <v>0.1212</v>
      </c>
      <c r="L26">
        <v>0.5</v>
      </c>
      <c r="M26">
        <v>0.28360000000000002</v>
      </c>
      <c r="N26">
        <v>2</v>
      </c>
      <c r="O26">
        <v>3</v>
      </c>
      <c r="P26">
        <v>5</v>
      </c>
      <c r="Q26" t="s">
        <v>62</v>
      </c>
      <c r="R26" t="s">
        <v>120</v>
      </c>
      <c r="S26" t="s">
        <v>23</v>
      </c>
      <c r="T26" t="s">
        <v>30</v>
      </c>
      <c r="U26" t="s">
        <v>123</v>
      </c>
    </row>
    <row r="27" spans="1:21" x14ac:dyDescent="0.3">
      <c r="A27">
        <v>211</v>
      </c>
      <c r="B27" s="1">
        <v>40553</v>
      </c>
      <c r="C27">
        <v>1</v>
      </c>
      <c r="D27">
        <v>0</v>
      </c>
      <c r="E27">
        <v>1</v>
      </c>
      <c r="F27">
        <v>1</v>
      </c>
      <c r="G27" t="b">
        <v>0</v>
      </c>
      <c r="H27">
        <v>1</v>
      </c>
      <c r="I27">
        <v>1</v>
      </c>
      <c r="J27">
        <v>0.12</v>
      </c>
      <c r="K27">
        <v>0.1212</v>
      </c>
      <c r="L27">
        <v>0.5</v>
      </c>
      <c r="M27">
        <v>0.28360000000000002</v>
      </c>
      <c r="N27">
        <v>1</v>
      </c>
      <c r="O27">
        <v>0</v>
      </c>
      <c r="P27">
        <v>1</v>
      </c>
      <c r="Q27" t="s">
        <v>62</v>
      </c>
      <c r="R27" t="s">
        <v>120</v>
      </c>
      <c r="S27" t="s">
        <v>23</v>
      </c>
      <c r="T27" t="s">
        <v>30</v>
      </c>
      <c r="U27" t="s">
        <v>123</v>
      </c>
    </row>
    <row r="28" spans="1:21" x14ac:dyDescent="0.3">
      <c r="A28">
        <v>212</v>
      </c>
      <c r="B28" s="1">
        <v>40553</v>
      </c>
      <c r="C28">
        <v>1</v>
      </c>
      <c r="D28">
        <v>0</v>
      </c>
      <c r="E28">
        <v>1</v>
      </c>
      <c r="F28">
        <v>2</v>
      </c>
      <c r="G28" t="b">
        <v>0</v>
      </c>
      <c r="H28">
        <v>1</v>
      </c>
      <c r="I28">
        <v>1</v>
      </c>
      <c r="J28">
        <v>0.12</v>
      </c>
      <c r="K28">
        <v>0.1212</v>
      </c>
      <c r="L28">
        <v>0.5</v>
      </c>
      <c r="M28">
        <v>0.22389999999999999</v>
      </c>
      <c r="N28">
        <v>0</v>
      </c>
      <c r="O28">
        <v>3</v>
      </c>
      <c r="P28">
        <v>3</v>
      </c>
      <c r="Q28" t="s">
        <v>62</v>
      </c>
      <c r="R28" t="s">
        <v>120</v>
      </c>
      <c r="S28" t="s">
        <v>23</v>
      </c>
      <c r="T28" t="s">
        <v>30</v>
      </c>
      <c r="U28" t="s">
        <v>123</v>
      </c>
    </row>
    <row r="29" spans="1:21" x14ac:dyDescent="0.3">
      <c r="A29">
        <v>213</v>
      </c>
      <c r="B29" s="1">
        <v>40553</v>
      </c>
      <c r="C29">
        <v>1</v>
      </c>
      <c r="D29">
        <v>0</v>
      </c>
      <c r="E29">
        <v>1</v>
      </c>
      <c r="F29">
        <v>3</v>
      </c>
      <c r="G29" t="b">
        <v>0</v>
      </c>
      <c r="H29">
        <v>1</v>
      </c>
      <c r="I29">
        <v>1</v>
      </c>
      <c r="J29">
        <v>0.12</v>
      </c>
      <c r="K29">
        <v>0.1212</v>
      </c>
      <c r="L29">
        <v>0.5</v>
      </c>
      <c r="M29">
        <v>0.22389999999999999</v>
      </c>
      <c r="N29">
        <v>0</v>
      </c>
      <c r="O29">
        <v>1</v>
      </c>
      <c r="P29">
        <v>1</v>
      </c>
      <c r="Q29" t="s">
        <v>62</v>
      </c>
      <c r="R29" t="s">
        <v>120</v>
      </c>
      <c r="S29" t="s">
        <v>23</v>
      </c>
      <c r="T29" t="s">
        <v>30</v>
      </c>
      <c r="U29" t="s">
        <v>123</v>
      </c>
    </row>
    <row r="30" spans="1:21" x14ac:dyDescent="0.3">
      <c r="A30">
        <v>214</v>
      </c>
      <c r="B30" s="1">
        <v>40553</v>
      </c>
      <c r="C30">
        <v>1</v>
      </c>
      <c r="D30">
        <v>0</v>
      </c>
      <c r="E30">
        <v>1</v>
      </c>
      <c r="F30">
        <v>4</v>
      </c>
      <c r="G30" t="b">
        <v>0</v>
      </c>
      <c r="H30">
        <v>1</v>
      </c>
      <c r="I30">
        <v>1</v>
      </c>
      <c r="J30">
        <v>0.1</v>
      </c>
      <c r="K30">
        <v>0.1212</v>
      </c>
      <c r="L30">
        <v>0.54</v>
      </c>
      <c r="M30">
        <v>0.1343</v>
      </c>
      <c r="N30">
        <v>1</v>
      </c>
      <c r="O30">
        <v>2</v>
      </c>
      <c r="P30">
        <v>3</v>
      </c>
      <c r="Q30" t="s">
        <v>62</v>
      </c>
      <c r="R30" t="s">
        <v>120</v>
      </c>
      <c r="S30" t="s">
        <v>23</v>
      </c>
      <c r="T30" t="s">
        <v>30</v>
      </c>
      <c r="U30" t="s">
        <v>123</v>
      </c>
    </row>
    <row r="31" spans="1:21" x14ac:dyDescent="0.3">
      <c r="A31">
        <v>215</v>
      </c>
      <c r="B31" s="1">
        <v>40553</v>
      </c>
      <c r="C31">
        <v>1</v>
      </c>
      <c r="D31">
        <v>0</v>
      </c>
      <c r="E31">
        <v>1</v>
      </c>
      <c r="F31">
        <v>5</v>
      </c>
      <c r="G31" t="b">
        <v>0</v>
      </c>
      <c r="H31">
        <v>1</v>
      </c>
      <c r="I31">
        <v>1</v>
      </c>
      <c r="J31">
        <v>0.1</v>
      </c>
      <c r="K31">
        <v>0.1061</v>
      </c>
      <c r="L31">
        <v>0.54</v>
      </c>
      <c r="M31">
        <v>0.25369999999999998</v>
      </c>
      <c r="N31">
        <v>0</v>
      </c>
      <c r="O31">
        <v>3</v>
      </c>
      <c r="P31">
        <v>3</v>
      </c>
      <c r="Q31" t="s">
        <v>62</v>
      </c>
      <c r="R31" t="s">
        <v>120</v>
      </c>
      <c r="S31" t="s">
        <v>23</v>
      </c>
      <c r="T31" t="s">
        <v>30</v>
      </c>
      <c r="U31" t="s">
        <v>123</v>
      </c>
    </row>
    <row r="32" spans="1:21" x14ac:dyDescent="0.3">
      <c r="A32">
        <v>216</v>
      </c>
      <c r="B32" s="1">
        <v>40553</v>
      </c>
      <c r="C32">
        <v>1</v>
      </c>
      <c r="D32">
        <v>0</v>
      </c>
      <c r="E32">
        <v>1</v>
      </c>
      <c r="F32">
        <v>6</v>
      </c>
      <c r="G32" t="b">
        <v>0</v>
      </c>
      <c r="H32">
        <v>1</v>
      </c>
      <c r="I32">
        <v>1</v>
      </c>
      <c r="J32">
        <v>0.12</v>
      </c>
      <c r="K32">
        <v>0.1212</v>
      </c>
      <c r="L32">
        <v>0.5</v>
      </c>
      <c r="M32">
        <v>0.28360000000000002</v>
      </c>
      <c r="N32">
        <v>0</v>
      </c>
      <c r="O32">
        <v>31</v>
      </c>
      <c r="P32">
        <v>31</v>
      </c>
      <c r="Q32" t="s">
        <v>62</v>
      </c>
      <c r="R32" t="s">
        <v>120</v>
      </c>
      <c r="S32" t="s">
        <v>23</v>
      </c>
      <c r="T32" t="s">
        <v>30</v>
      </c>
      <c r="U32" t="s">
        <v>123</v>
      </c>
    </row>
    <row r="33" spans="1:21" x14ac:dyDescent="0.3">
      <c r="A33">
        <v>217</v>
      </c>
      <c r="B33" s="1">
        <v>40553</v>
      </c>
      <c r="C33">
        <v>1</v>
      </c>
      <c r="D33">
        <v>0</v>
      </c>
      <c r="E33">
        <v>1</v>
      </c>
      <c r="F33">
        <v>7</v>
      </c>
      <c r="G33" t="b">
        <v>0</v>
      </c>
      <c r="H33">
        <v>1</v>
      </c>
      <c r="I33">
        <v>1</v>
      </c>
      <c r="J33">
        <v>0.12</v>
      </c>
      <c r="K33">
        <v>0.1212</v>
      </c>
      <c r="L33">
        <v>0.5</v>
      </c>
      <c r="M33">
        <v>0.22389999999999999</v>
      </c>
      <c r="N33">
        <v>2</v>
      </c>
      <c r="O33">
        <v>75</v>
      </c>
      <c r="P33">
        <v>77</v>
      </c>
      <c r="Q33" t="s">
        <v>62</v>
      </c>
      <c r="R33" t="s">
        <v>120</v>
      </c>
      <c r="S33" t="s">
        <v>23</v>
      </c>
      <c r="T33" t="s">
        <v>30</v>
      </c>
      <c r="U33" t="s">
        <v>123</v>
      </c>
    </row>
    <row r="34" spans="1:21" x14ac:dyDescent="0.3">
      <c r="A34">
        <v>218</v>
      </c>
      <c r="B34" s="1">
        <v>40553</v>
      </c>
      <c r="C34">
        <v>1</v>
      </c>
      <c r="D34">
        <v>0</v>
      </c>
      <c r="E34">
        <v>1</v>
      </c>
      <c r="F34">
        <v>8</v>
      </c>
      <c r="G34" t="b">
        <v>0</v>
      </c>
      <c r="H34">
        <v>1</v>
      </c>
      <c r="I34">
        <v>2</v>
      </c>
      <c r="J34">
        <v>0.12</v>
      </c>
      <c r="K34">
        <v>0.1212</v>
      </c>
      <c r="L34">
        <v>0.5</v>
      </c>
      <c r="M34">
        <v>0.28360000000000002</v>
      </c>
      <c r="N34">
        <v>4</v>
      </c>
      <c r="O34">
        <v>184</v>
      </c>
      <c r="P34">
        <v>188</v>
      </c>
      <c r="Q34" t="s">
        <v>64</v>
      </c>
      <c r="R34" t="s">
        <v>120</v>
      </c>
      <c r="S34" t="s">
        <v>23</v>
      </c>
      <c r="T34" t="s">
        <v>30</v>
      </c>
      <c r="U34" t="s">
        <v>124</v>
      </c>
    </row>
    <row r="35" spans="1:21" x14ac:dyDescent="0.3">
      <c r="A35">
        <v>219</v>
      </c>
      <c r="B35" s="1">
        <v>40553</v>
      </c>
      <c r="C35">
        <v>1</v>
      </c>
      <c r="D35">
        <v>0</v>
      </c>
      <c r="E35">
        <v>1</v>
      </c>
      <c r="F35">
        <v>9</v>
      </c>
      <c r="G35" t="b">
        <v>0</v>
      </c>
      <c r="H35">
        <v>1</v>
      </c>
      <c r="I35">
        <v>2</v>
      </c>
      <c r="J35">
        <v>0.14000000000000001</v>
      </c>
      <c r="K35">
        <v>0.1212</v>
      </c>
      <c r="L35">
        <v>0.5</v>
      </c>
      <c r="M35">
        <v>0.25369999999999998</v>
      </c>
      <c r="N35">
        <v>2</v>
      </c>
      <c r="O35">
        <v>92</v>
      </c>
      <c r="P35">
        <v>94</v>
      </c>
      <c r="Q35" t="s">
        <v>64</v>
      </c>
      <c r="R35" t="s">
        <v>120</v>
      </c>
      <c r="S35" t="s">
        <v>23</v>
      </c>
      <c r="T35" t="s">
        <v>30</v>
      </c>
      <c r="U35" t="s">
        <v>124</v>
      </c>
    </row>
    <row r="36" spans="1:21" x14ac:dyDescent="0.3">
      <c r="A36">
        <v>220</v>
      </c>
      <c r="B36" s="1">
        <v>40553</v>
      </c>
      <c r="C36">
        <v>1</v>
      </c>
      <c r="D36">
        <v>0</v>
      </c>
      <c r="E36">
        <v>1</v>
      </c>
      <c r="F36">
        <v>10</v>
      </c>
      <c r="G36" t="b">
        <v>0</v>
      </c>
      <c r="H36">
        <v>1</v>
      </c>
      <c r="I36">
        <v>2</v>
      </c>
      <c r="J36">
        <v>0.14000000000000001</v>
      </c>
      <c r="K36">
        <v>0.1212</v>
      </c>
      <c r="L36">
        <v>0.5</v>
      </c>
      <c r="M36">
        <v>0.29849999999999999</v>
      </c>
      <c r="N36">
        <v>0</v>
      </c>
      <c r="O36">
        <v>31</v>
      </c>
      <c r="P36">
        <v>31</v>
      </c>
      <c r="Q36" t="s">
        <v>64</v>
      </c>
      <c r="R36" t="s">
        <v>120</v>
      </c>
      <c r="S36" t="s">
        <v>23</v>
      </c>
      <c r="T36" t="s">
        <v>30</v>
      </c>
      <c r="U36" t="s">
        <v>124</v>
      </c>
    </row>
    <row r="37" spans="1:21" x14ac:dyDescent="0.3">
      <c r="A37">
        <v>221</v>
      </c>
      <c r="B37" s="1">
        <v>40553</v>
      </c>
      <c r="C37">
        <v>1</v>
      </c>
      <c r="D37">
        <v>0</v>
      </c>
      <c r="E37">
        <v>1</v>
      </c>
      <c r="F37">
        <v>11</v>
      </c>
      <c r="G37" t="b">
        <v>0</v>
      </c>
      <c r="H37">
        <v>1</v>
      </c>
      <c r="I37">
        <v>2</v>
      </c>
      <c r="J37">
        <v>0.16</v>
      </c>
      <c r="K37">
        <v>0.13639999999999999</v>
      </c>
      <c r="L37">
        <v>0.47</v>
      </c>
      <c r="M37">
        <v>0.28360000000000002</v>
      </c>
      <c r="N37">
        <v>2</v>
      </c>
      <c r="O37">
        <v>28</v>
      </c>
      <c r="P37">
        <v>30</v>
      </c>
      <c r="Q37" t="s">
        <v>64</v>
      </c>
      <c r="R37" t="s">
        <v>120</v>
      </c>
      <c r="S37" t="s">
        <v>23</v>
      </c>
      <c r="T37" t="s">
        <v>30</v>
      </c>
      <c r="U37" t="s">
        <v>124</v>
      </c>
    </row>
    <row r="38" spans="1:21" x14ac:dyDescent="0.3">
      <c r="A38">
        <v>222</v>
      </c>
      <c r="B38" s="1">
        <v>40553</v>
      </c>
      <c r="C38">
        <v>1</v>
      </c>
      <c r="D38">
        <v>0</v>
      </c>
      <c r="E38">
        <v>1</v>
      </c>
      <c r="F38">
        <v>12</v>
      </c>
      <c r="G38" t="b">
        <v>0</v>
      </c>
      <c r="H38">
        <v>1</v>
      </c>
      <c r="I38">
        <v>2</v>
      </c>
      <c r="J38">
        <v>0.2</v>
      </c>
      <c r="K38">
        <v>0.18179999999999999</v>
      </c>
      <c r="L38">
        <v>0.4</v>
      </c>
      <c r="M38">
        <v>0.28360000000000002</v>
      </c>
      <c r="N38">
        <v>5</v>
      </c>
      <c r="O38">
        <v>47</v>
      </c>
      <c r="P38">
        <v>52</v>
      </c>
      <c r="Q38" t="s">
        <v>64</v>
      </c>
      <c r="R38" t="s">
        <v>120</v>
      </c>
      <c r="S38" t="s">
        <v>23</v>
      </c>
      <c r="T38" t="s">
        <v>30</v>
      </c>
      <c r="U38" t="s">
        <v>124</v>
      </c>
    </row>
    <row r="39" spans="1:21" x14ac:dyDescent="0.3">
      <c r="A39">
        <v>223</v>
      </c>
      <c r="B39" s="1">
        <v>40553</v>
      </c>
      <c r="C39">
        <v>1</v>
      </c>
      <c r="D39">
        <v>0</v>
      </c>
      <c r="E39">
        <v>1</v>
      </c>
      <c r="F39">
        <v>13</v>
      </c>
      <c r="G39" t="b">
        <v>0</v>
      </c>
      <c r="H39">
        <v>1</v>
      </c>
      <c r="I39">
        <v>2</v>
      </c>
      <c r="J39">
        <v>0.2</v>
      </c>
      <c r="K39">
        <v>0.18179999999999999</v>
      </c>
      <c r="L39">
        <v>0.4</v>
      </c>
      <c r="M39">
        <v>0.28360000000000002</v>
      </c>
      <c r="N39">
        <v>4</v>
      </c>
      <c r="O39">
        <v>50</v>
      </c>
      <c r="P39">
        <v>54</v>
      </c>
      <c r="Q39" t="s">
        <v>64</v>
      </c>
      <c r="R39" t="s">
        <v>120</v>
      </c>
      <c r="S39" t="s">
        <v>23</v>
      </c>
      <c r="T39" t="s">
        <v>30</v>
      </c>
      <c r="U39" t="s">
        <v>124</v>
      </c>
    </row>
    <row r="40" spans="1:21" x14ac:dyDescent="0.3">
      <c r="A40">
        <v>224</v>
      </c>
      <c r="B40" s="1">
        <v>40553</v>
      </c>
      <c r="C40">
        <v>1</v>
      </c>
      <c r="D40">
        <v>0</v>
      </c>
      <c r="E40">
        <v>1</v>
      </c>
      <c r="F40">
        <v>14</v>
      </c>
      <c r="G40" t="b">
        <v>0</v>
      </c>
      <c r="H40">
        <v>1</v>
      </c>
      <c r="I40">
        <v>2</v>
      </c>
      <c r="J40">
        <v>0.2</v>
      </c>
      <c r="K40">
        <v>0.19700000000000001</v>
      </c>
      <c r="L40">
        <v>0.4</v>
      </c>
      <c r="M40">
        <v>0.22389999999999999</v>
      </c>
      <c r="N40">
        <v>0</v>
      </c>
      <c r="O40">
        <v>47</v>
      </c>
      <c r="P40">
        <v>47</v>
      </c>
      <c r="Q40" t="s">
        <v>64</v>
      </c>
      <c r="R40" t="s">
        <v>120</v>
      </c>
      <c r="S40" t="s">
        <v>23</v>
      </c>
      <c r="T40" t="s">
        <v>30</v>
      </c>
      <c r="U40" t="s">
        <v>124</v>
      </c>
    </row>
    <row r="41" spans="1:21" x14ac:dyDescent="0.3">
      <c r="A41">
        <v>225</v>
      </c>
      <c r="B41" s="1">
        <v>40553</v>
      </c>
      <c r="C41">
        <v>1</v>
      </c>
      <c r="D41">
        <v>0</v>
      </c>
      <c r="E41">
        <v>1</v>
      </c>
      <c r="F41">
        <v>15</v>
      </c>
      <c r="G41" t="b">
        <v>0</v>
      </c>
      <c r="H41">
        <v>1</v>
      </c>
      <c r="I41">
        <v>2</v>
      </c>
      <c r="J41">
        <v>0.2</v>
      </c>
      <c r="K41">
        <v>0.19700000000000001</v>
      </c>
      <c r="L41">
        <v>0.4</v>
      </c>
      <c r="M41">
        <v>0.22389999999999999</v>
      </c>
      <c r="N41">
        <v>2</v>
      </c>
      <c r="O41">
        <v>43</v>
      </c>
      <c r="P41">
        <v>45</v>
      </c>
      <c r="Q41" t="s">
        <v>64</v>
      </c>
      <c r="R41" t="s">
        <v>120</v>
      </c>
      <c r="S41" t="s">
        <v>23</v>
      </c>
      <c r="T41" t="s">
        <v>30</v>
      </c>
      <c r="U41" t="s">
        <v>124</v>
      </c>
    </row>
    <row r="42" spans="1:21" x14ac:dyDescent="0.3">
      <c r="A42">
        <v>226</v>
      </c>
      <c r="B42" s="1">
        <v>40553</v>
      </c>
      <c r="C42">
        <v>1</v>
      </c>
      <c r="D42">
        <v>0</v>
      </c>
      <c r="E42">
        <v>1</v>
      </c>
      <c r="F42">
        <v>16</v>
      </c>
      <c r="G42" t="b">
        <v>0</v>
      </c>
      <c r="H42">
        <v>1</v>
      </c>
      <c r="I42">
        <v>1</v>
      </c>
      <c r="J42">
        <v>0.2</v>
      </c>
      <c r="K42">
        <v>0.21210000000000001</v>
      </c>
      <c r="L42">
        <v>0.4</v>
      </c>
      <c r="M42">
        <v>0.1343</v>
      </c>
      <c r="N42">
        <v>4</v>
      </c>
      <c r="O42">
        <v>70</v>
      </c>
      <c r="P42">
        <v>74</v>
      </c>
      <c r="Q42" t="s">
        <v>62</v>
      </c>
      <c r="R42" t="s">
        <v>120</v>
      </c>
      <c r="S42" t="s">
        <v>23</v>
      </c>
      <c r="T42" t="s">
        <v>30</v>
      </c>
      <c r="U42" t="s">
        <v>123</v>
      </c>
    </row>
    <row r="43" spans="1:21" x14ac:dyDescent="0.3">
      <c r="A43">
        <v>227</v>
      </c>
      <c r="B43" s="1">
        <v>40553</v>
      </c>
      <c r="C43">
        <v>1</v>
      </c>
      <c r="D43">
        <v>0</v>
      </c>
      <c r="E43">
        <v>1</v>
      </c>
      <c r="F43">
        <v>17</v>
      </c>
      <c r="G43" t="b">
        <v>0</v>
      </c>
      <c r="H43">
        <v>1</v>
      </c>
      <c r="I43">
        <v>1</v>
      </c>
      <c r="J43">
        <v>0.2</v>
      </c>
      <c r="K43">
        <v>0.2273</v>
      </c>
      <c r="L43">
        <v>0.4</v>
      </c>
      <c r="M43">
        <v>0.1045</v>
      </c>
      <c r="N43">
        <v>4</v>
      </c>
      <c r="O43">
        <v>174</v>
      </c>
      <c r="P43">
        <v>178</v>
      </c>
      <c r="Q43" t="s">
        <v>62</v>
      </c>
      <c r="R43" t="s">
        <v>120</v>
      </c>
      <c r="S43" t="s">
        <v>23</v>
      </c>
      <c r="T43" t="s">
        <v>30</v>
      </c>
      <c r="U43" t="s">
        <v>123</v>
      </c>
    </row>
    <row r="44" spans="1:21" x14ac:dyDescent="0.3">
      <c r="A44">
        <v>228</v>
      </c>
      <c r="B44" s="1">
        <v>40553</v>
      </c>
      <c r="C44">
        <v>1</v>
      </c>
      <c r="D44">
        <v>0</v>
      </c>
      <c r="E44">
        <v>1</v>
      </c>
      <c r="F44">
        <v>18</v>
      </c>
      <c r="G44" t="b">
        <v>0</v>
      </c>
      <c r="H44">
        <v>1</v>
      </c>
      <c r="I44">
        <v>1</v>
      </c>
      <c r="J44">
        <v>0.2</v>
      </c>
      <c r="K44">
        <v>0.19700000000000001</v>
      </c>
      <c r="L44">
        <v>0.4</v>
      </c>
      <c r="M44">
        <v>0.22389999999999999</v>
      </c>
      <c r="N44">
        <v>1</v>
      </c>
      <c r="O44">
        <v>154</v>
      </c>
      <c r="P44">
        <v>155</v>
      </c>
      <c r="Q44" t="s">
        <v>62</v>
      </c>
      <c r="R44" t="s">
        <v>120</v>
      </c>
      <c r="S44" t="s">
        <v>23</v>
      </c>
      <c r="T44" t="s">
        <v>30</v>
      </c>
      <c r="U44" t="s">
        <v>123</v>
      </c>
    </row>
    <row r="45" spans="1:21" x14ac:dyDescent="0.3">
      <c r="A45">
        <v>229</v>
      </c>
      <c r="B45" s="1">
        <v>40553</v>
      </c>
      <c r="C45">
        <v>1</v>
      </c>
      <c r="D45">
        <v>0</v>
      </c>
      <c r="E45">
        <v>1</v>
      </c>
      <c r="F45">
        <v>19</v>
      </c>
      <c r="G45" t="b">
        <v>0</v>
      </c>
      <c r="H45">
        <v>1</v>
      </c>
      <c r="I45">
        <v>1</v>
      </c>
      <c r="J45">
        <v>0.16</v>
      </c>
      <c r="K45">
        <v>0.16669999999999999</v>
      </c>
      <c r="L45">
        <v>0.47</v>
      </c>
      <c r="M45">
        <v>0.16420000000000001</v>
      </c>
      <c r="N45">
        <v>3</v>
      </c>
      <c r="O45">
        <v>92</v>
      </c>
      <c r="P45">
        <v>95</v>
      </c>
      <c r="Q45" t="s">
        <v>62</v>
      </c>
      <c r="R45" t="s">
        <v>120</v>
      </c>
      <c r="S45" t="s">
        <v>23</v>
      </c>
      <c r="T45" t="s">
        <v>30</v>
      </c>
      <c r="U45" t="s">
        <v>123</v>
      </c>
    </row>
    <row r="46" spans="1:21" x14ac:dyDescent="0.3">
      <c r="A46">
        <v>230</v>
      </c>
      <c r="B46" s="1">
        <v>40553</v>
      </c>
      <c r="C46">
        <v>1</v>
      </c>
      <c r="D46">
        <v>0</v>
      </c>
      <c r="E46">
        <v>1</v>
      </c>
      <c r="F46">
        <v>20</v>
      </c>
      <c r="G46" t="b">
        <v>0</v>
      </c>
      <c r="H46">
        <v>1</v>
      </c>
      <c r="I46">
        <v>1</v>
      </c>
      <c r="J46">
        <v>0.16</v>
      </c>
      <c r="K46">
        <v>0.16669999999999999</v>
      </c>
      <c r="L46">
        <v>0.5</v>
      </c>
      <c r="M46">
        <v>0.16420000000000001</v>
      </c>
      <c r="N46">
        <v>1</v>
      </c>
      <c r="O46">
        <v>73</v>
      </c>
      <c r="P46">
        <v>74</v>
      </c>
      <c r="Q46" t="s">
        <v>62</v>
      </c>
      <c r="R46" t="s">
        <v>120</v>
      </c>
      <c r="S46" t="s">
        <v>23</v>
      </c>
      <c r="T46" t="s">
        <v>30</v>
      </c>
      <c r="U46" t="s">
        <v>123</v>
      </c>
    </row>
    <row r="47" spans="1:21" x14ac:dyDescent="0.3">
      <c r="A47">
        <v>231</v>
      </c>
      <c r="B47" s="1">
        <v>40553</v>
      </c>
      <c r="C47">
        <v>1</v>
      </c>
      <c r="D47">
        <v>0</v>
      </c>
      <c r="E47">
        <v>1</v>
      </c>
      <c r="F47">
        <v>21</v>
      </c>
      <c r="G47" t="b">
        <v>0</v>
      </c>
      <c r="H47">
        <v>1</v>
      </c>
      <c r="I47">
        <v>1</v>
      </c>
      <c r="J47">
        <v>0.14000000000000001</v>
      </c>
      <c r="K47">
        <v>0.13639999999999999</v>
      </c>
      <c r="L47">
        <v>0.59</v>
      </c>
      <c r="M47">
        <v>0.19400000000000001</v>
      </c>
      <c r="N47">
        <v>1</v>
      </c>
      <c r="O47">
        <v>37</v>
      </c>
      <c r="P47">
        <v>38</v>
      </c>
      <c r="Q47" t="s">
        <v>62</v>
      </c>
      <c r="R47" t="s">
        <v>120</v>
      </c>
      <c r="S47" t="s">
        <v>23</v>
      </c>
      <c r="T47" t="s">
        <v>30</v>
      </c>
      <c r="U47" t="s">
        <v>123</v>
      </c>
    </row>
    <row r="48" spans="1:21" x14ac:dyDescent="0.3">
      <c r="A48">
        <v>232</v>
      </c>
      <c r="B48" s="1">
        <v>40553</v>
      </c>
      <c r="C48">
        <v>1</v>
      </c>
      <c r="D48">
        <v>0</v>
      </c>
      <c r="E48">
        <v>1</v>
      </c>
      <c r="F48">
        <v>22</v>
      </c>
      <c r="G48" t="b">
        <v>0</v>
      </c>
      <c r="H48">
        <v>1</v>
      </c>
      <c r="I48">
        <v>1</v>
      </c>
      <c r="J48">
        <v>0.14000000000000001</v>
      </c>
      <c r="K48">
        <v>0.1515</v>
      </c>
      <c r="L48">
        <v>0.59</v>
      </c>
      <c r="M48">
        <v>0.16420000000000001</v>
      </c>
      <c r="N48">
        <v>2</v>
      </c>
      <c r="O48">
        <v>22</v>
      </c>
      <c r="P48">
        <v>24</v>
      </c>
      <c r="Q48" t="s">
        <v>62</v>
      </c>
      <c r="R48" t="s">
        <v>120</v>
      </c>
      <c r="S48" t="s">
        <v>23</v>
      </c>
      <c r="T48" t="s">
        <v>30</v>
      </c>
      <c r="U48" t="s">
        <v>123</v>
      </c>
    </row>
    <row r="49" spans="1:21" x14ac:dyDescent="0.3">
      <c r="A49">
        <v>233</v>
      </c>
      <c r="B49" s="1">
        <v>40553</v>
      </c>
      <c r="C49">
        <v>1</v>
      </c>
      <c r="D49">
        <v>0</v>
      </c>
      <c r="E49">
        <v>1</v>
      </c>
      <c r="F49">
        <v>23</v>
      </c>
      <c r="G49" t="b">
        <v>0</v>
      </c>
      <c r="H49">
        <v>1</v>
      </c>
      <c r="I49">
        <v>1</v>
      </c>
      <c r="J49">
        <v>0.14000000000000001</v>
      </c>
      <c r="K49">
        <v>0.1515</v>
      </c>
      <c r="L49">
        <v>0.59</v>
      </c>
      <c r="M49">
        <v>0.16420000000000001</v>
      </c>
      <c r="N49">
        <v>0</v>
      </c>
      <c r="O49">
        <v>18</v>
      </c>
      <c r="P49">
        <v>18</v>
      </c>
      <c r="Q49" t="s">
        <v>62</v>
      </c>
      <c r="R49" t="s">
        <v>120</v>
      </c>
      <c r="S49" t="s">
        <v>23</v>
      </c>
      <c r="T49" t="s">
        <v>30</v>
      </c>
      <c r="U49" t="s">
        <v>123</v>
      </c>
    </row>
    <row r="50" spans="1:21" x14ac:dyDescent="0.3">
      <c r="A50">
        <v>373</v>
      </c>
      <c r="B50" s="1">
        <v>40560</v>
      </c>
      <c r="C50">
        <v>1</v>
      </c>
      <c r="D50">
        <v>0</v>
      </c>
      <c r="E50">
        <v>1</v>
      </c>
      <c r="F50">
        <v>0</v>
      </c>
      <c r="G50" t="b">
        <v>1</v>
      </c>
      <c r="H50">
        <v>1</v>
      </c>
      <c r="I50">
        <v>2</v>
      </c>
      <c r="J50">
        <v>0.2</v>
      </c>
      <c r="K50">
        <v>0.19700000000000001</v>
      </c>
      <c r="L50">
        <v>0.47</v>
      </c>
      <c r="M50">
        <v>0.22389999999999999</v>
      </c>
      <c r="N50">
        <v>1</v>
      </c>
      <c r="O50">
        <v>16</v>
      </c>
      <c r="P50">
        <v>17</v>
      </c>
      <c r="Q50" t="s">
        <v>64</v>
      </c>
      <c r="R50" t="s">
        <v>120</v>
      </c>
      <c r="S50" t="s">
        <v>23</v>
      </c>
      <c r="T50" t="s">
        <v>30</v>
      </c>
      <c r="U50" t="s">
        <v>124</v>
      </c>
    </row>
    <row r="51" spans="1:21" x14ac:dyDescent="0.3">
      <c r="A51">
        <v>374</v>
      </c>
      <c r="B51" s="1">
        <v>40560</v>
      </c>
      <c r="C51">
        <v>1</v>
      </c>
      <c r="D51">
        <v>0</v>
      </c>
      <c r="E51">
        <v>1</v>
      </c>
      <c r="F51">
        <v>1</v>
      </c>
      <c r="G51" t="b">
        <v>1</v>
      </c>
      <c r="H51">
        <v>1</v>
      </c>
      <c r="I51">
        <v>2</v>
      </c>
      <c r="J51">
        <v>0.2</v>
      </c>
      <c r="K51">
        <v>0.19700000000000001</v>
      </c>
      <c r="L51">
        <v>0.44</v>
      </c>
      <c r="M51">
        <v>0.19400000000000001</v>
      </c>
      <c r="N51">
        <v>1</v>
      </c>
      <c r="O51">
        <v>15</v>
      </c>
      <c r="P51">
        <v>16</v>
      </c>
      <c r="Q51" t="s">
        <v>64</v>
      </c>
      <c r="R51" t="s">
        <v>120</v>
      </c>
      <c r="S51" t="s">
        <v>23</v>
      </c>
      <c r="T51" t="s">
        <v>30</v>
      </c>
      <c r="U51" t="s">
        <v>124</v>
      </c>
    </row>
    <row r="52" spans="1:21" x14ac:dyDescent="0.3">
      <c r="A52">
        <v>375</v>
      </c>
      <c r="B52" s="1">
        <v>40560</v>
      </c>
      <c r="C52">
        <v>1</v>
      </c>
      <c r="D52">
        <v>0</v>
      </c>
      <c r="E52">
        <v>1</v>
      </c>
      <c r="F52">
        <v>2</v>
      </c>
      <c r="G52" t="b">
        <v>1</v>
      </c>
      <c r="H52">
        <v>1</v>
      </c>
      <c r="I52">
        <v>2</v>
      </c>
      <c r="J52">
        <v>0.18</v>
      </c>
      <c r="K52">
        <v>0.16669999999999999</v>
      </c>
      <c r="L52">
        <v>0.43</v>
      </c>
      <c r="M52">
        <v>0.25369999999999998</v>
      </c>
      <c r="N52">
        <v>0</v>
      </c>
      <c r="O52">
        <v>8</v>
      </c>
      <c r="P52">
        <v>8</v>
      </c>
      <c r="Q52" t="s">
        <v>64</v>
      </c>
      <c r="R52" t="s">
        <v>120</v>
      </c>
      <c r="S52" t="s">
        <v>23</v>
      </c>
      <c r="T52" t="s">
        <v>30</v>
      </c>
      <c r="U52" t="s">
        <v>124</v>
      </c>
    </row>
    <row r="53" spans="1:21" x14ac:dyDescent="0.3">
      <c r="A53">
        <v>376</v>
      </c>
      <c r="B53" s="1">
        <v>40560</v>
      </c>
      <c r="C53">
        <v>1</v>
      </c>
      <c r="D53">
        <v>0</v>
      </c>
      <c r="E53">
        <v>1</v>
      </c>
      <c r="F53">
        <v>3</v>
      </c>
      <c r="G53" t="b">
        <v>1</v>
      </c>
      <c r="H53">
        <v>1</v>
      </c>
      <c r="I53">
        <v>2</v>
      </c>
      <c r="J53">
        <v>0.18</v>
      </c>
      <c r="K53">
        <v>0.18179999999999999</v>
      </c>
      <c r="L53">
        <v>0.43</v>
      </c>
      <c r="M53">
        <v>0.19400000000000001</v>
      </c>
      <c r="N53">
        <v>0</v>
      </c>
      <c r="O53">
        <v>2</v>
      </c>
      <c r="P53">
        <v>2</v>
      </c>
      <c r="Q53" t="s">
        <v>64</v>
      </c>
      <c r="R53" t="s">
        <v>120</v>
      </c>
      <c r="S53" t="s">
        <v>23</v>
      </c>
      <c r="T53" t="s">
        <v>30</v>
      </c>
      <c r="U53" t="s">
        <v>124</v>
      </c>
    </row>
    <row r="54" spans="1:21" x14ac:dyDescent="0.3">
      <c r="A54">
        <v>377</v>
      </c>
      <c r="B54" s="1">
        <v>40560</v>
      </c>
      <c r="C54">
        <v>1</v>
      </c>
      <c r="D54">
        <v>0</v>
      </c>
      <c r="E54">
        <v>1</v>
      </c>
      <c r="F54">
        <v>4</v>
      </c>
      <c r="G54" t="b">
        <v>1</v>
      </c>
      <c r="H54">
        <v>1</v>
      </c>
      <c r="I54">
        <v>2</v>
      </c>
      <c r="J54">
        <v>0.18</v>
      </c>
      <c r="K54">
        <v>0.19700000000000001</v>
      </c>
      <c r="L54">
        <v>0.43</v>
      </c>
      <c r="M54">
        <v>0.1343</v>
      </c>
      <c r="N54">
        <v>1</v>
      </c>
      <c r="O54">
        <v>2</v>
      </c>
      <c r="P54">
        <v>3</v>
      </c>
      <c r="Q54" t="s">
        <v>64</v>
      </c>
      <c r="R54" t="s">
        <v>120</v>
      </c>
      <c r="S54" t="s">
        <v>23</v>
      </c>
      <c r="T54" t="s">
        <v>30</v>
      </c>
      <c r="U54" t="s">
        <v>124</v>
      </c>
    </row>
    <row r="55" spans="1:21" x14ac:dyDescent="0.3">
      <c r="A55">
        <v>378</v>
      </c>
      <c r="B55" s="1">
        <v>40560</v>
      </c>
      <c r="C55">
        <v>1</v>
      </c>
      <c r="D55">
        <v>0</v>
      </c>
      <c r="E55">
        <v>1</v>
      </c>
      <c r="F55">
        <v>5</v>
      </c>
      <c r="G55" t="b">
        <v>1</v>
      </c>
      <c r="H55">
        <v>1</v>
      </c>
      <c r="I55">
        <v>2</v>
      </c>
      <c r="J55">
        <v>0.18</v>
      </c>
      <c r="K55">
        <v>0.19700000000000001</v>
      </c>
      <c r="L55">
        <v>0.43</v>
      </c>
      <c r="M55">
        <v>0.16420000000000001</v>
      </c>
      <c r="N55">
        <v>0</v>
      </c>
      <c r="O55">
        <v>1</v>
      </c>
      <c r="P55">
        <v>1</v>
      </c>
      <c r="Q55" t="s">
        <v>64</v>
      </c>
      <c r="R55" t="s">
        <v>120</v>
      </c>
      <c r="S55" t="s">
        <v>23</v>
      </c>
      <c r="T55" t="s">
        <v>30</v>
      </c>
      <c r="U55" t="s">
        <v>124</v>
      </c>
    </row>
    <row r="56" spans="1:21" x14ac:dyDescent="0.3">
      <c r="A56">
        <v>379</v>
      </c>
      <c r="B56" s="1">
        <v>40560</v>
      </c>
      <c r="C56">
        <v>1</v>
      </c>
      <c r="D56">
        <v>0</v>
      </c>
      <c r="E56">
        <v>1</v>
      </c>
      <c r="F56">
        <v>6</v>
      </c>
      <c r="G56" t="b">
        <v>1</v>
      </c>
      <c r="H56">
        <v>1</v>
      </c>
      <c r="I56">
        <v>2</v>
      </c>
      <c r="J56">
        <v>0.18</v>
      </c>
      <c r="K56">
        <v>0.18179999999999999</v>
      </c>
      <c r="L56">
        <v>0.43</v>
      </c>
      <c r="M56">
        <v>0.19400000000000001</v>
      </c>
      <c r="N56">
        <v>0</v>
      </c>
      <c r="O56">
        <v>5</v>
      </c>
      <c r="P56">
        <v>5</v>
      </c>
      <c r="Q56" t="s">
        <v>64</v>
      </c>
      <c r="R56" t="s">
        <v>120</v>
      </c>
      <c r="S56" t="s">
        <v>23</v>
      </c>
      <c r="T56" t="s">
        <v>30</v>
      </c>
      <c r="U56" t="s">
        <v>124</v>
      </c>
    </row>
    <row r="57" spans="1:21" x14ac:dyDescent="0.3">
      <c r="A57">
        <v>380</v>
      </c>
      <c r="B57" s="1">
        <v>40560</v>
      </c>
      <c r="C57">
        <v>1</v>
      </c>
      <c r="D57">
        <v>0</v>
      </c>
      <c r="E57">
        <v>1</v>
      </c>
      <c r="F57">
        <v>7</v>
      </c>
      <c r="G57" t="b">
        <v>1</v>
      </c>
      <c r="H57">
        <v>1</v>
      </c>
      <c r="I57">
        <v>2</v>
      </c>
      <c r="J57">
        <v>0.16</v>
      </c>
      <c r="K57">
        <v>0.18179999999999999</v>
      </c>
      <c r="L57">
        <v>0.5</v>
      </c>
      <c r="M57">
        <v>0.1343</v>
      </c>
      <c r="N57">
        <v>4</v>
      </c>
      <c r="O57">
        <v>9</v>
      </c>
      <c r="P57">
        <v>13</v>
      </c>
      <c r="Q57" t="s">
        <v>64</v>
      </c>
      <c r="R57" t="s">
        <v>120</v>
      </c>
      <c r="S57" t="s">
        <v>23</v>
      </c>
      <c r="T57" t="s">
        <v>30</v>
      </c>
      <c r="U57" t="s">
        <v>124</v>
      </c>
    </row>
    <row r="58" spans="1:21" x14ac:dyDescent="0.3">
      <c r="A58">
        <v>381</v>
      </c>
      <c r="B58" s="1">
        <v>40560</v>
      </c>
      <c r="C58">
        <v>1</v>
      </c>
      <c r="D58">
        <v>0</v>
      </c>
      <c r="E58">
        <v>1</v>
      </c>
      <c r="F58">
        <v>8</v>
      </c>
      <c r="G58" t="b">
        <v>1</v>
      </c>
      <c r="H58">
        <v>1</v>
      </c>
      <c r="I58">
        <v>2</v>
      </c>
      <c r="J58">
        <v>0.16</v>
      </c>
      <c r="K58">
        <v>0.1515</v>
      </c>
      <c r="L58">
        <v>0.47</v>
      </c>
      <c r="M58">
        <v>0.22389999999999999</v>
      </c>
      <c r="N58">
        <v>3</v>
      </c>
      <c r="O58">
        <v>30</v>
      </c>
      <c r="P58">
        <v>33</v>
      </c>
      <c r="Q58" t="s">
        <v>64</v>
      </c>
      <c r="R58" t="s">
        <v>120</v>
      </c>
      <c r="S58" t="s">
        <v>23</v>
      </c>
      <c r="T58" t="s">
        <v>30</v>
      </c>
      <c r="U58" t="s">
        <v>124</v>
      </c>
    </row>
    <row r="59" spans="1:21" x14ac:dyDescent="0.3">
      <c r="A59">
        <v>382</v>
      </c>
      <c r="B59" s="1">
        <v>40560</v>
      </c>
      <c r="C59">
        <v>1</v>
      </c>
      <c r="D59">
        <v>0</v>
      </c>
      <c r="E59">
        <v>1</v>
      </c>
      <c r="F59">
        <v>9</v>
      </c>
      <c r="G59" t="b">
        <v>1</v>
      </c>
      <c r="H59">
        <v>1</v>
      </c>
      <c r="I59">
        <v>2</v>
      </c>
      <c r="J59">
        <v>0.16</v>
      </c>
      <c r="K59">
        <v>0.1515</v>
      </c>
      <c r="L59">
        <v>0.47</v>
      </c>
      <c r="M59">
        <v>0.22389999999999999</v>
      </c>
      <c r="N59">
        <v>8</v>
      </c>
      <c r="O59">
        <v>39</v>
      </c>
      <c r="P59">
        <v>47</v>
      </c>
      <c r="Q59" t="s">
        <v>64</v>
      </c>
      <c r="R59" t="s">
        <v>120</v>
      </c>
      <c r="S59" t="s">
        <v>23</v>
      </c>
      <c r="T59" t="s">
        <v>30</v>
      </c>
      <c r="U59" t="s">
        <v>124</v>
      </c>
    </row>
    <row r="60" spans="1:21" x14ac:dyDescent="0.3">
      <c r="A60">
        <v>383</v>
      </c>
      <c r="B60" s="1">
        <v>40560</v>
      </c>
      <c r="C60">
        <v>1</v>
      </c>
      <c r="D60">
        <v>0</v>
      </c>
      <c r="E60">
        <v>1</v>
      </c>
      <c r="F60">
        <v>10</v>
      </c>
      <c r="G60" t="b">
        <v>1</v>
      </c>
      <c r="H60">
        <v>1</v>
      </c>
      <c r="I60">
        <v>2</v>
      </c>
      <c r="J60">
        <v>0.16</v>
      </c>
      <c r="K60">
        <v>0.1515</v>
      </c>
      <c r="L60">
        <v>0.5</v>
      </c>
      <c r="M60">
        <v>0.25369999999999998</v>
      </c>
      <c r="N60">
        <v>7</v>
      </c>
      <c r="O60">
        <v>50</v>
      </c>
      <c r="P60">
        <v>57</v>
      </c>
      <c r="Q60" t="s">
        <v>64</v>
      </c>
      <c r="R60" t="s">
        <v>120</v>
      </c>
      <c r="S60" t="s">
        <v>23</v>
      </c>
      <c r="T60" t="s">
        <v>30</v>
      </c>
      <c r="U60" t="s">
        <v>124</v>
      </c>
    </row>
    <row r="61" spans="1:21" x14ac:dyDescent="0.3">
      <c r="A61">
        <v>384</v>
      </c>
      <c r="B61" s="1">
        <v>40560</v>
      </c>
      <c r="C61">
        <v>1</v>
      </c>
      <c r="D61">
        <v>0</v>
      </c>
      <c r="E61">
        <v>1</v>
      </c>
      <c r="F61">
        <v>11</v>
      </c>
      <c r="G61" t="b">
        <v>1</v>
      </c>
      <c r="H61">
        <v>1</v>
      </c>
      <c r="I61">
        <v>2</v>
      </c>
      <c r="J61">
        <v>0.16</v>
      </c>
      <c r="K61">
        <v>0.1515</v>
      </c>
      <c r="L61">
        <v>0.55000000000000004</v>
      </c>
      <c r="M61">
        <v>0.19400000000000001</v>
      </c>
      <c r="N61">
        <v>9</v>
      </c>
      <c r="O61">
        <v>55</v>
      </c>
      <c r="P61">
        <v>64</v>
      </c>
      <c r="Q61" t="s">
        <v>64</v>
      </c>
      <c r="R61" t="s">
        <v>120</v>
      </c>
      <c r="S61" t="s">
        <v>23</v>
      </c>
      <c r="T61" t="s">
        <v>30</v>
      </c>
      <c r="U61" t="s">
        <v>124</v>
      </c>
    </row>
    <row r="62" spans="1:21" x14ac:dyDescent="0.3">
      <c r="A62">
        <v>385</v>
      </c>
      <c r="B62" s="1">
        <v>40560</v>
      </c>
      <c r="C62">
        <v>1</v>
      </c>
      <c r="D62">
        <v>0</v>
      </c>
      <c r="E62">
        <v>1</v>
      </c>
      <c r="F62">
        <v>12</v>
      </c>
      <c r="G62" t="b">
        <v>1</v>
      </c>
      <c r="H62">
        <v>1</v>
      </c>
      <c r="I62">
        <v>2</v>
      </c>
      <c r="J62">
        <v>0.18</v>
      </c>
      <c r="K62">
        <v>0.19700000000000001</v>
      </c>
      <c r="L62">
        <v>0.47</v>
      </c>
      <c r="M62">
        <v>0.1343</v>
      </c>
      <c r="N62">
        <v>10</v>
      </c>
      <c r="O62">
        <v>70</v>
      </c>
      <c r="P62">
        <v>80</v>
      </c>
      <c r="Q62" t="s">
        <v>64</v>
      </c>
      <c r="R62" t="s">
        <v>120</v>
      </c>
      <c r="S62" t="s">
        <v>23</v>
      </c>
      <c r="T62" t="s">
        <v>30</v>
      </c>
      <c r="U62" t="s">
        <v>124</v>
      </c>
    </row>
    <row r="63" spans="1:21" x14ac:dyDescent="0.3">
      <c r="A63">
        <v>386</v>
      </c>
      <c r="B63" s="1">
        <v>40560</v>
      </c>
      <c r="C63">
        <v>1</v>
      </c>
      <c r="D63">
        <v>0</v>
      </c>
      <c r="E63">
        <v>1</v>
      </c>
      <c r="F63">
        <v>13</v>
      </c>
      <c r="G63" t="b">
        <v>1</v>
      </c>
      <c r="H63">
        <v>1</v>
      </c>
      <c r="I63">
        <v>2</v>
      </c>
      <c r="J63">
        <v>0.18</v>
      </c>
      <c r="K63">
        <v>0.19700000000000001</v>
      </c>
      <c r="L63">
        <v>0.47</v>
      </c>
      <c r="M63">
        <v>0.1343</v>
      </c>
      <c r="N63">
        <v>13</v>
      </c>
      <c r="O63">
        <v>80</v>
      </c>
      <c r="P63">
        <v>93</v>
      </c>
      <c r="Q63" t="s">
        <v>64</v>
      </c>
      <c r="R63" t="s">
        <v>120</v>
      </c>
      <c r="S63" t="s">
        <v>23</v>
      </c>
      <c r="T63" t="s">
        <v>30</v>
      </c>
      <c r="U63" t="s">
        <v>124</v>
      </c>
    </row>
    <row r="64" spans="1:21" x14ac:dyDescent="0.3">
      <c r="A64">
        <v>387</v>
      </c>
      <c r="B64" s="1">
        <v>40560</v>
      </c>
      <c r="C64">
        <v>1</v>
      </c>
      <c r="D64">
        <v>0</v>
      </c>
      <c r="E64">
        <v>1</v>
      </c>
      <c r="F64">
        <v>14</v>
      </c>
      <c r="G64" t="b">
        <v>1</v>
      </c>
      <c r="H64">
        <v>1</v>
      </c>
      <c r="I64">
        <v>2</v>
      </c>
      <c r="J64">
        <v>0.18</v>
      </c>
      <c r="K64">
        <v>0.21210000000000001</v>
      </c>
      <c r="L64">
        <v>0.43</v>
      </c>
      <c r="M64">
        <v>0.1045</v>
      </c>
      <c r="N64">
        <v>12</v>
      </c>
      <c r="O64">
        <v>74</v>
      </c>
      <c r="P64">
        <v>86</v>
      </c>
      <c r="Q64" t="s">
        <v>64</v>
      </c>
      <c r="R64" t="s">
        <v>120</v>
      </c>
      <c r="S64" t="s">
        <v>23</v>
      </c>
      <c r="T64" t="s">
        <v>30</v>
      </c>
      <c r="U64" t="s">
        <v>124</v>
      </c>
    </row>
    <row r="65" spans="1:21" x14ac:dyDescent="0.3">
      <c r="A65">
        <v>388</v>
      </c>
      <c r="B65" s="1">
        <v>40560</v>
      </c>
      <c r="C65">
        <v>1</v>
      </c>
      <c r="D65">
        <v>0</v>
      </c>
      <c r="E65">
        <v>1</v>
      </c>
      <c r="F65">
        <v>15</v>
      </c>
      <c r="G65" t="b">
        <v>1</v>
      </c>
      <c r="H65">
        <v>1</v>
      </c>
      <c r="I65">
        <v>2</v>
      </c>
      <c r="J65">
        <v>0.2</v>
      </c>
      <c r="K65">
        <v>0.21210000000000001</v>
      </c>
      <c r="L65">
        <v>0.47</v>
      </c>
      <c r="M65">
        <v>0.16420000000000001</v>
      </c>
      <c r="N65">
        <v>21</v>
      </c>
      <c r="O65">
        <v>72</v>
      </c>
      <c r="P65">
        <v>93</v>
      </c>
      <c r="Q65" t="s">
        <v>64</v>
      </c>
      <c r="R65" t="s">
        <v>120</v>
      </c>
      <c r="S65" t="s">
        <v>23</v>
      </c>
      <c r="T65" t="s">
        <v>30</v>
      </c>
      <c r="U65" t="s">
        <v>124</v>
      </c>
    </row>
    <row r="66" spans="1:21" x14ac:dyDescent="0.3">
      <c r="A66">
        <v>389</v>
      </c>
      <c r="B66" s="1">
        <v>40560</v>
      </c>
      <c r="C66">
        <v>1</v>
      </c>
      <c r="D66">
        <v>0</v>
      </c>
      <c r="E66">
        <v>1</v>
      </c>
      <c r="F66">
        <v>16</v>
      </c>
      <c r="G66" t="b">
        <v>1</v>
      </c>
      <c r="H66">
        <v>1</v>
      </c>
      <c r="I66">
        <v>2</v>
      </c>
      <c r="J66">
        <v>0.2</v>
      </c>
      <c r="K66">
        <v>0.21210000000000001</v>
      </c>
      <c r="L66">
        <v>0.47</v>
      </c>
      <c r="M66">
        <v>0.16420000000000001</v>
      </c>
      <c r="N66">
        <v>6</v>
      </c>
      <c r="O66">
        <v>76</v>
      </c>
      <c r="P66">
        <v>82</v>
      </c>
      <c r="Q66" t="s">
        <v>64</v>
      </c>
      <c r="R66" t="s">
        <v>120</v>
      </c>
      <c r="S66" t="s">
        <v>23</v>
      </c>
      <c r="T66" t="s">
        <v>30</v>
      </c>
      <c r="U66" t="s">
        <v>124</v>
      </c>
    </row>
    <row r="67" spans="1:21" x14ac:dyDescent="0.3">
      <c r="A67">
        <v>390</v>
      </c>
      <c r="B67" s="1">
        <v>40560</v>
      </c>
      <c r="C67">
        <v>1</v>
      </c>
      <c r="D67">
        <v>0</v>
      </c>
      <c r="E67">
        <v>1</v>
      </c>
      <c r="F67">
        <v>17</v>
      </c>
      <c r="G67" t="b">
        <v>1</v>
      </c>
      <c r="H67">
        <v>1</v>
      </c>
      <c r="I67">
        <v>1</v>
      </c>
      <c r="J67">
        <v>0.2</v>
      </c>
      <c r="K67">
        <v>0.19700000000000001</v>
      </c>
      <c r="L67">
        <v>0.51</v>
      </c>
      <c r="M67">
        <v>0.19400000000000001</v>
      </c>
      <c r="N67">
        <v>4</v>
      </c>
      <c r="O67">
        <v>67</v>
      </c>
      <c r="P67">
        <v>71</v>
      </c>
      <c r="Q67" t="s">
        <v>62</v>
      </c>
      <c r="R67" t="s">
        <v>120</v>
      </c>
      <c r="S67" t="s">
        <v>23</v>
      </c>
      <c r="T67" t="s">
        <v>30</v>
      </c>
      <c r="U67" t="s">
        <v>123</v>
      </c>
    </row>
    <row r="68" spans="1:21" x14ac:dyDescent="0.3">
      <c r="A68">
        <v>391</v>
      </c>
      <c r="B68" s="1">
        <v>40560</v>
      </c>
      <c r="C68">
        <v>1</v>
      </c>
      <c r="D68">
        <v>0</v>
      </c>
      <c r="E68">
        <v>1</v>
      </c>
      <c r="F68">
        <v>18</v>
      </c>
      <c r="G68" t="b">
        <v>1</v>
      </c>
      <c r="H68">
        <v>1</v>
      </c>
      <c r="I68">
        <v>2</v>
      </c>
      <c r="J68">
        <v>0.18</v>
      </c>
      <c r="K68">
        <v>0.16669999999999999</v>
      </c>
      <c r="L68">
        <v>0.55000000000000004</v>
      </c>
      <c r="M68">
        <v>0.25369999999999998</v>
      </c>
      <c r="N68">
        <v>7</v>
      </c>
      <c r="O68">
        <v>85</v>
      </c>
      <c r="P68">
        <v>92</v>
      </c>
      <c r="Q68" t="s">
        <v>64</v>
      </c>
      <c r="R68" t="s">
        <v>120</v>
      </c>
      <c r="S68" t="s">
        <v>23</v>
      </c>
      <c r="T68" t="s">
        <v>30</v>
      </c>
      <c r="U68" t="s">
        <v>124</v>
      </c>
    </row>
    <row r="69" spans="1:21" x14ac:dyDescent="0.3">
      <c r="A69">
        <v>392</v>
      </c>
      <c r="B69" s="1">
        <v>40560</v>
      </c>
      <c r="C69">
        <v>1</v>
      </c>
      <c r="D69">
        <v>0</v>
      </c>
      <c r="E69">
        <v>1</v>
      </c>
      <c r="F69">
        <v>19</v>
      </c>
      <c r="G69" t="b">
        <v>1</v>
      </c>
      <c r="H69">
        <v>1</v>
      </c>
      <c r="I69">
        <v>3</v>
      </c>
      <c r="J69">
        <v>0.18</v>
      </c>
      <c r="K69">
        <v>0.18179999999999999</v>
      </c>
      <c r="L69">
        <v>0.59</v>
      </c>
      <c r="M69">
        <v>0.19400000000000001</v>
      </c>
      <c r="N69">
        <v>2</v>
      </c>
      <c r="O69">
        <v>58</v>
      </c>
      <c r="P69">
        <v>60</v>
      </c>
      <c r="Q69" t="s">
        <v>63</v>
      </c>
      <c r="R69" t="s">
        <v>120</v>
      </c>
      <c r="S69" t="s">
        <v>23</v>
      </c>
      <c r="T69" t="s">
        <v>30</v>
      </c>
      <c r="U69" t="s">
        <v>125</v>
      </c>
    </row>
    <row r="70" spans="1:21" x14ac:dyDescent="0.3">
      <c r="A70">
        <v>393</v>
      </c>
      <c r="B70" s="1">
        <v>40560</v>
      </c>
      <c r="C70">
        <v>1</v>
      </c>
      <c r="D70">
        <v>0</v>
      </c>
      <c r="E70">
        <v>1</v>
      </c>
      <c r="F70">
        <v>20</v>
      </c>
      <c r="G70" t="b">
        <v>1</v>
      </c>
      <c r="H70">
        <v>1</v>
      </c>
      <c r="I70">
        <v>3</v>
      </c>
      <c r="J70">
        <v>0.16</v>
      </c>
      <c r="K70">
        <v>0.1515</v>
      </c>
      <c r="L70">
        <v>0.8</v>
      </c>
      <c r="M70">
        <v>0.19400000000000001</v>
      </c>
      <c r="N70">
        <v>4</v>
      </c>
      <c r="O70">
        <v>29</v>
      </c>
      <c r="P70">
        <v>33</v>
      </c>
      <c r="Q70" t="s">
        <v>63</v>
      </c>
      <c r="R70" t="s">
        <v>120</v>
      </c>
      <c r="S70" t="s">
        <v>23</v>
      </c>
      <c r="T70" t="s">
        <v>30</v>
      </c>
      <c r="U70" t="s">
        <v>125</v>
      </c>
    </row>
    <row r="71" spans="1:21" x14ac:dyDescent="0.3">
      <c r="A71">
        <v>394</v>
      </c>
      <c r="B71" s="1">
        <v>40560</v>
      </c>
      <c r="C71">
        <v>1</v>
      </c>
      <c r="D71">
        <v>0</v>
      </c>
      <c r="E71">
        <v>1</v>
      </c>
      <c r="F71">
        <v>21</v>
      </c>
      <c r="G71" t="b">
        <v>1</v>
      </c>
      <c r="H71">
        <v>1</v>
      </c>
      <c r="I71">
        <v>3</v>
      </c>
      <c r="J71">
        <v>0.16</v>
      </c>
      <c r="K71">
        <v>0.1515</v>
      </c>
      <c r="L71">
        <v>0.8</v>
      </c>
      <c r="M71">
        <v>0.19400000000000001</v>
      </c>
      <c r="N71">
        <v>3</v>
      </c>
      <c r="O71">
        <v>24</v>
      </c>
      <c r="P71">
        <v>27</v>
      </c>
      <c r="Q71" t="s">
        <v>63</v>
      </c>
      <c r="R71" t="s">
        <v>120</v>
      </c>
      <c r="S71" t="s">
        <v>23</v>
      </c>
      <c r="T71" t="s">
        <v>30</v>
      </c>
      <c r="U71" t="s">
        <v>125</v>
      </c>
    </row>
    <row r="72" spans="1:21" x14ac:dyDescent="0.3">
      <c r="A72">
        <v>395</v>
      </c>
      <c r="B72" s="1">
        <v>40560</v>
      </c>
      <c r="C72">
        <v>1</v>
      </c>
      <c r="D72">
        <v>0</v>
      </c>
      <c r="E72">
        <v>1</v>
      </c>
      <c r="F72">
        <v>22</v>
      </c>
      <c r="G72" t="b">
        <v>1</v>
      </c>
      <c r="H72">
        <v>1</v>
      </c>
      <c r="I72">
        <v>3</v>
      </c>
      <c r="J72">
        <v>0.14000000000000001</v>
      </c>
      <c r="K72">
        <v>0.1212</v>
      </c>
      <c r="L72">
        <v>0.93</v>
      </c>
      <c r="M72">
        <v>0.25369999999999998</v>
      </c>
      <c r="N72">
        <v>0</v>
      </c>
      <c r="O72">
        <v>13</v>
      </c>
      <c r="P72">
        <v>13</v>
      </c>
      <c r="Q72" t="s">
        <v>63</v>
      </c>
      <c r="R72" t="s">
        <v>120</v>
      </c>
      <c r="S72" t="s">
        <v>23</v>
      </c>
      <c r="T72" t="s">
        <v>30</v>
      </c>
      <c r="U72" t="s">
        <v>125</v>
      </c>
    </row>
    <row r="73" spans="1:21" x14ac:dyDescent="0.3">
      <c r="A73">
        <v>396</v>
      </c>
      <c r="B73" s="1">
        <v>40560</v>
      </c>
      <c r="C73">
        <v>1</v>
      </c>
      <c r="D73">
        <v>0</v>
      </c>
      <c r="E73">
        <v>1</v>
      </c>
      <c r="F73">
        <v>23</v>
      </c>
      <c r="G73" t="b">
        <v>1</v>
      </c>
      <c r="H73">
        <v>1</v>
      </c>
      <c r="I73">
        <v>3</v>
      </c>
      <c r="J73">
        <v>0.16</v>
      </c>
      <c r="K73">
        <v>0.13639999999999999</v>
      </c>
      <c r="L73">
        <v>0.86</v>
      </c>
      <c r="M73">
        <v>0.28360000000000002</v>
      </c>
      <c r="N73">
        <v>1</v>
      </c>
      <c r="O73">
        <v>3</v>
      </c>
      <c r="P73">
        <v>4</v>
      </c>
      <c r="Q73" t="s">
        <v>63</v>
      </c>
      <c r="R73" t="s">
        <v>120</v>
      </c>
      <c r="S73" t="s">
        <v>23</v>
      </c>
      <c r="T73" t="s">
        <v>30</v>
      </c>
      <c r="U73" t="s">
        <v>125</v>
      </c>
    </row>
    <row r="74" spans="1:21" x14ac:dyDescent="0.3">
      <c r="A74">
        <v>526</v>
      </c>
      <c r="B74" s="1">
        <v>40567</v>
      </c>
      <c r="C74">
        <v>1</v>
      </c>
      <c r="D74">
        <v>0</v>
      </c>
      <c r="E74">
        <v>1</v>
      </c>
      <c r="F74">
        <v>0</v>
      </c>
      <c r="G74" t="b">
        <v>0</v>
      </c>
      <c r="H74">
        <v>1</v>
      </c>
      <c r="I74">
        <v>1</v>
      </c>
      <c r="J74">
        <v>0.06</v>
      </c>
      <c r="K74">
        <v>6.0600000000000001E-2</v>
      </c>
      <c r="L74">
        <v>0.41</v>
      </c>
      <c r="M74">
        <v>0.19400000000000001</v>
      </c>
      <c r="N74">
        <v>0</v>
      </c>
      <c r="O74">
        <v>7</v>
      </c>
      <c r="P74">
        <v>7</v>
      </c>
      <c r="Q74" t="s">
        <v>62</v>
      </c>
      <c r="R74" t="s">
        <v>120</v>
      </c>
      <c r="S74" t="s">
        <v>23</v>
      </c>
      <c r="T74" t="s">
        <v>30</v>
      </c>
      <c r="U74" t="s">
        <v>123</v>
      </c>
    </row>
    <row r="75" spans="1:21" x14ac:dyDescent="0.3">
      <c r="A75">
        <v>527</v>
      </c>
      <c r="B75" s="1">
        <v>40567</v>
      </c>
      <c r="C75">
        <v>1</v>
      </c>
      <c r="D75">
        <v>0</v>
      </c>
      <c r="E75">
        <v>1</v>
      </c>
      <c r="F75">
        <v>1</v>
      </c>
      <c r="G75" t="b">
        <v>0</v>
      </c>
      <c r="H75">
        <v>1</v>
      </c>
      <c r="I75">
        <v>1</v>
      </c>
      <c r="J75">
        <v>0.04</v>
      </c>
      <c r="K75">
        <v>4.5499999999999999E-2</v>
      </c>
      <c r="L75">
        <v>0.45</v>
      </c>
      <c r="M75">
        <v>0.19400000000000001</v>
      </c>
      <c r="N75">
        <v>0</v>
      </c>
      <c r="O75">
        <v>1</v>
      </c>
      <c r="P75">
        <v>1</v>
      </c>
      <c r="Q75" t="s">
        <v>62</v>
      </c>
      <c r="R75" t="s">
        <v>120</v>
      </c>
      <c r="S75" t="s">
        <v>23</v>
      </c>
      <c r="T75" t="s">
        <v>30</v>
      </c>
      <c r="U75" t="s">
        <v>123</v>
      </c>
    </row>
    <row r="76" spans="1:21" x14ac:dyDescent="0.3">
      <c r="A76">
        <v>528</v>
      </c>
      <c r="B76" s="1">
        <v>40567</v>
      </c>
      <c r="C76">
        <v>1</v>
      </c>
      <c r="D76">
        <v>0</v>
      </c>
      <c r="E76">
        <v>1</v>
      </c>
      <c r="F76">
        <v>3</v>
      </c>
      <c r="G76" t="b">
        <v>0</v>
      </c>
      <c r="H76">
        <v>1</v>
      </c>
      <c r="I76">
        <v>1</v>
      </c>
      <c r="J76">
        <v>0.04</v>
      </c>
      <c r="K76">
        <v>3.0300000000000001E-2</v>
      </c>
      <c r="L76">
        <v>0.45</v>
      </c>
      <c r="M76">
        <v>0.25369999999999998</v>
      </c>
      <c r="N76">
        <v>0</v>
      </c>
      <c r="O76">
        <v>1</v>
      </c>
      <c r="P76">
        <v>1</v>
      </c>
      <c r="Q76" t="s">
        <v>62</v>
      </c>
      <c r="R76" t="s">
        <v>120</v>
      </c>
      <c r="S76" t="s">
        <v>23</v>
      </c>
      <c r="T76" t="s">
        <v>30</v>
      </c>
      <c r="U76" t="s">
        <v>123</v>
      </c>
    </row>
    <row r="77" spans="1:21" x14ac:dyDescent="0.3">
      <c r="A77">
        <v>529</v>
      </c>
      <c r="B77" s="1">
        <v>40567</v>
      </c>
      <c r="C77">
        <v>1</v>
      </c>
      <c r="D77">
        <v>0</v>
      </c>
      <c r="E77">
        <v>1</v>
      </c>
      <c r="F77">
        <v>4</v>
      </c>
      <c r="G77" t="b">
        <v>0</v>
      </c>
      <c r="H77">
        <v>1</v>
      </c>
      <c r="I77">
        <v>1</v>
      </c>
      <c r="J77">
        <v>0.02</v>
      </c>
      <c r="K77">
        <v>6.0600000000000001E-2</v>
      </c>
      <c r="L77">
        <v>0.48</v>
      </c>
      <c r="M77">
        <v>0.1343</v>
      </c>
      <c r="N77">
        <v>0</v>
      </c>
      <c r="O77">
        <v>1</v>
      </c>
      <c r="P77">
        <v>1</v>
      </c>
      <c r="Q77" t="s">
        <v>62</v>
      </c>
      <c r="R77" t="s">
        <v>120</v>
      </c>
      <c r="S77" t="s">
        <v>23</v>
      </c>
      <c r="T77" t="s">
        <v>30</v>
      </c>
      <c r="U77" t="s">
        <v>123</v>
      </c>
    </row>
    <row r="78" spans="1:21" x14ac:dyDescent="0.3">
      <c r="A78">
        <v>530</v>
      </c>
      <c r="B78" s="1">
        <v>40567</v>
      </c>
      <c r="C78">
        <v>1</v>
      </c>
      <c r="D78">
        <v>0</v>
      </c>
      <c r="E78">
        <v>1</v>
      </c>
      <c r="F78">
        <v>5</v>
      </c>
      <c r="G78" t="b">
        <v>0</v>
      </c>
      <c r="H78">
        <v>1</v>
      </c>
      <c r="I78">
        <v>1</v>
      </c>
      <c r="J78">
        <v>0.02</v>
      </c>
      <c r="K78">
        <v>6.0600000000000001E-2</v>
      </c>
      <c r="L78">
        <v>0.48</v>
      </c>
      <c r="M78">
        <v>0.1343</v>
      </c>
      <c r="N78">
        <v>0</v>
      </c>
      <c r="O78">
        <v>5</v>
      </c>
      <c r="P78">
        <v>5</v>
      </c>
      <c r="Q78" t="s">
        <v>62</v>
      </c>
      <c r="R78" t="s">
        <v>120</v>
      </c>
      <c r="S78" t="s">
        <v>23</v>
      </c>
      <c r="T78" t="s">
        <v>30</v>
      </c>
      <c r="U78" t="s">
        <v>123</v>
      </c>
    </row>
    <row r="79" spans="1:21" x14ac:dyDescent="0.3">
      <c r="A79">
        <v>531</v>
      </c>
      <c r="B79" s="1">
        <v>40567</v>
      </c>
      <c r="C79">
        <v>1</v>
      </c>
      <c r="D79">
        <v>0</v>
      </c>
      <c r="E79">
        <v>1</v>
      </c>
      <c r="F79">
        <v>6</v>
      </c>
      <c r="G79" t="b">
        <v>0</v>
      </c>
      <c r="H79">
        <v>1</v>
      </c>
      <c r="I79">
        <v>1</v>
      </c>
      <c r="J79">
        <v>0.02</v>
      </c>
      <c r="K79">
        <v>7.5800000000000006E-2</v>
      </c>
      <c r="L79">
        <v>0.48</v>
      </c>
      <c r="M79">
        <v>8.9599999999999999E-2</v>
      </c>
      <c r="N79">
        <v>0</v>
      </c>
      <c r="O79">
        <v>15</v>
      </c>
      <c r="P79">
        <v>15</v>
      </c>
      <c r="Q79" t="s">
        <v>62</v>
      </c>
      <c r="R79" t="s">
        <v>120</v>
      </c>
      <c r="S79" t="s">
        <v>23</v>
      </c>
      <c r="T79" t="s">
        <v>30</v>
      </c>
      <c r="U79" t="s">
        <v>123</v>
      </c>
    </row>
    <row r="80" spans="1:21" x14ac:dyDescent="0.3">
      <c r="A80">
        <v>532</v>
      </c>
      <c r="B80" s="1">
        <v>40567</v>
      </c>
      <c r="C80">
        <v>1</v>
      </c>
      <c r="D80">
        <v>0</v>
      </c>
      <c r="E80">
        <v>1</v>
      </c>
      <c r="F80">
        <v>7</v>
      </c>
      <c r="G80" t="b">
        <v>0</v>
      </c>
      <c r="H80">
        <v>1</v>
      </c>
      <c r="I80">
        <v>1</v>
      </c>
      <c r="J80">
        <v>0.02</v>
      </c>
      <c r="K80">
        <v>0.1212</v>
      </c>
      <c r="L80">
        <v>0.48</v>
      </c>
      <c r="M80">
        <v>0</v>
      </c>
      <c r="N80">
        <v>5</v>
      </c>
      <c r="O80">
        <v>79</v>
      </c>
      <c r="P80">
        <v>84</v>
      </c>
      <c r="Q80" t="s">
        <v>62</v>
      </c>
      <c r="R80" t="s">
        <v>120</v>
      </c>
      <c r="S80" t="s">
        <v>23</v>
      </c>
      <c r="T80" t="s">
        <v>30</v>
      </c>
      <c r="U80" t="s">
        <v>123</v>
      </c>
    </row>
    <row r="81" spans="1:21" x14ac:dyDescent="0.3">
      <c r="A81">
        <v>533</v>
      </c>
      <c r="B81" s="1">
        <v>40567</v>
      </c>
      <c r="C81">
        <v>1</v>
      </c>
      <c r="D81">
        <v>0</v>
      </c>
      <c r="E81">
        <v>1</v>
      </c>
      <c r="F81">
        <v>8</v>
      </c>
      <c r="G81" t="b">
        <v>0</v>
      </c>
      <c r="H81">
        <v>1</v>
      </c>
      <c r="I81">
        <v>1</v>
      </c>
      <c r="J81">
        <v>0.04</v>
      </c>
      <c r="K81">
        <v>0.13639999999999999</v>
      </c>
      <c r="L81">
        <v>0.49</v>
      </c>
      <c r="M81">
        <v>0</v>
      </c>
      <c r="N81">
        <v>6</v>
      </c>
      <c r="O81">
        <v>171</v>
      </c>
      <c r="P81">
        <v>177</v>
      </c>
      <c r="Q81" t="s">
        <v>62</v>
      </c>
      <c r="R81" t="s">
        <v>120</v>
      </c>
      <c r="S81" t="s">
        <v>23</v>
      </c>
      <c r="T81" t="s">
        <v>30</v>
      </c>
      <c r="U81" t="s">
        <v>123</v>
      </c>
    </row>
    <row r="82" spans="1:21" x14ac:dyDescent="0.3">
      <c r="A82">
        <v>534</v>
      </c>
      <c r="B82" s="1">
        <v>40567</v>
      </c>
      <c r="C82">
        <v>1</v>
      </c>
      <c r="D82">
        <v>0</v>
      </c>
      <c r="E82">
        <v>1</v>
      </c>
      <c r="F82">
        <v>9</v>
      </c>
      <c r="G82" t="b">
        <v>0</v>
      </c>
      <c r="H82">
        <v>1</v>
      </c>
      <c r="I82">
        <v>1</v>
      </c>
      <c r="J82">
        <v>0.06</v>
      </c>
      <c r="K82">
        <v>0.1515</v>
      </c>
      <c r="L82">
        <v>0.41</v>
      </c>
      <c r="M82">
        <v>0</v>
      </c>
      <c r="N82">
        <v>4</v>
      </c>
      <c r="O82">
        <v>98</v>
      </c>
      <c r="P82">
        <v>102</v>
      </c>
      <c r="Q82" t="s">
        <v>62</v>
      </c>
      <c r="R82" t="s">
        <v>120</v>
      </c>
      <c r="S82" t="s">
        <v>23</v>
      </c>
      <c r="T82" t="s">
        <v>30</v>
      </c>
      <c r="U82" t="s">
        <v>123</v>
      </c>
    </row>
    <row r="83" spans="1:21" x14ac:dyDescent="0.3">
      <c r="A83">
        <v>535</v>
      </c>
      <c r="B83" s="1">
        <v>40567</v>
      </c>
      <c r="C83">
        <v>1</v>
      </c>
      <c r="D83">
        <v>0</v>
      </c>
      <c r="E83">
        <v>1</v>
      </c>
      <c r="F83">
        <v>10</v>
      </c>
      <c r="G83" t="b">
        <v>0</v>
      </c>
      <c r="H83">
        <v>1</v>
      </c>
      <c r="I83">
        <v>1</v>
      </c>
      <c r="J83">
        <v>0.1</v>
      </c>
      <c r="K83">
        <v>0.13639999999999999</v>
      </c>
      <c r="L83">
        <v>0.42</v>
      </c>
      <c r="M83">
        <v>0</v>
      </c>
      <c r="N83">
        <v>6</v>
      </c>
      <c r="O83">
        <v>34</v>
      </c>
      <c r="P83">
        <v>40</v>
      </c>
      <c r="Q83" t="s">
        <v>62</v>
      </c>
      <c r="R83" t="s">
        <v>120</v>
      </c>
      <c r="S83" t="s">
        <v>23</v>
      </c>
      <c r="T83" t="s">
        <v>30</v>
      </c>
      <c r="U83" t="s">
        <v>123</v>
      </c>
    </row>
    <row r="84" spans="1:21" x14ac:dyDescent="0.3">
      <c r="A84">
        <v>536</v>
      </c>
      <c r="B84" s="1">
        <v>40567</v>
      </c>
      <c r="C84">
        <v>1</v>
      </c>
      <c r="D84">
        <v>0</v>
      </c>
      <c r="E84">
        <v>1</v>
      </c>
      <c r="F84">
        <v>11</v>
      </c>
      <c r="G84" t="b">
        <v>0</v>
      </c>
      <c r="H84">
        <v>1</v>
      </c>
      <c r="I84">
        <v>1</v>
      </c>
      <c r="J84">
        <v>0.1</v>
      </c>
      <c r="K84">
        <v>0.1212</v>
      </c>
      <c r="L84">
        <v>0.46</v>
      </c>
      <c r="M84">
        <v>0.1343</v>
      </c>
      <c r="N84">
        <v>3</v>
      </c>
      <c r="O84">
        <v>43</v>
      </c>
      <c r="P84">
        <v>46</v>
      </c>
      <c r="Q84" t="s">
        <v>62</v>
      </c>
      <c r="R84" t="s">
        <v>120</v>
      </c>
      <c r="S84" t="s">
        <v>23</v>
      </c>
      <c r="T84" t="s">
        <v>30</v>
      </c>
      <c r="U84" t="s">
        <v>123</v>
      </c>
    </row>
    <row r="85" spans="1:21" x14ac:dyDescent="0.3">
      <c r="A85">
        <v>537</v>
      </c>
      <c r="B85" s="1">
        <v>40567</v>
      </c>
      <c r="C85">
        <v>1</v>
      </c>
      <c r="D85">
        <v>0</v>
      </c>
      <c r="E85">
        <v>1</v>
      </c>
      <c r="F85">
        <v>12</v>
      </c>
      <c r="G85" t="b">
        <v>0</v>
      </c>
      <c r="H85">
        <v>1</v>
      </c>
      <c r="I85">
        <v>2</v>
      </c>
      <c r="J85">
        <v>0.12</v>
      </c>
      <c r="K85">
        <v>0.13639999999999999</v>
      </c>
      <c r="L85">
        <v>0.42</v>
      </c>
      <c r="M85">
        <v>0.19400000000000001</v>
      </c>
      <c r="N85">
        <v>11</v>
      </c>
      <c r="O85">
        <v>52</v>
      </c>
      <c r="P85">
        <v>63</v>
      </c>
      <c r="Q85" t="s">
        <v>64</v>
      </c>
      <c r="R85" t="s">
        <v>120</v>
      </c>
      <c r="S85" t="s">
        <v>23</v>
      </c>
      <c r="T85" t="s">
        <v>30</v>
      </c>
      <c r="U85" t="s">
        <v>124</v>
      </c>
    </row>
    <row r="86" spans="1:21" x14ac:dyDescent="0.3">
      <c r="A86">
        <v>538</v>
      </c>
      <c r="B86" s="1">
        <v>40567</v>
      </c>
      <c r="C86">
        <v>1</v>
      </c>
      <c r="D86">
        <v>0</v>
      </c>
      <c r="E86">
        <v>1</v>
      </c>
      <c r="F86">
        <v>13</v>
      </c>
      <c r="G86" t="b">
        <v>0</v>
      </c>
      <c r="H86">
        <v>1</v>
      </c>
      <c r="I86">
        <v>2</v>
      </c>
      <c r="J86">
        <v>0.14000000000000001</v>
      </c>
      <c r="K86">
        <v>0.13639999999999999</v>
      </c>
      <c r="L86">
        <v>0.43</v>
      </c>
      <c r="M86">
        <v>0.22389999999999999</v>
      </c>
      <c r="N86">
        <v>6</v>
      </c>
      <c r="O86">
        <v>54</v>
      </c>
      <c r="P86">
        <v>60</v>
      </c>
      <c r="Q86" t="s">
        <v>64</v>
      </c>
      <c r="R86" t="s">
        <v>120</v>
      </c>
      <c r="S86" t="s">
        <v>23</v>
      </c>
      <c r="T86" t="s">
        <v>30</v>
      </c>
      <c r="U86" t="s">
        <v>124</v>
      </c>
    </row>
    <row r="87" spans="1:21" x14ac:dyDescent="0.3">
      <c r="A87">
        <v>539</v>
      </c>
      <c r="B87" s="1">
        <v>40567</v>
      </c>
      <c r="C87">
        <v>1</v>
      </c>
      <c r="D87">
        <v>0</v>
      </c>
      <c r="E87">
        <v>1</v>
      </c>
      <c r="F87">
        <v>14</v>
      </c>
      <c r="G87" t="b">
        <v>0</v>
      </c>
      <c r="H87">
        <v>1</v>
      </c>
      <c r="I87">
        <v>2</v>
      </c>
      <c r="J87">
        <v>0.14000000000000001</v>
      </c>
      <c r="K87">
        <v>0.13639999999999999</v>
      </c>
      <c r="L87">
        <v>0.46</v>
      </c>
      <c r="M87">
        <v>0.22389999999999999</v>
      </c>
      <c r="N87">
        <v>2</v>
      </c>
      <c r="O87">
        <v>43</v>
      </c>
      <c r="P87">
        <v>45</v>
      </c>
      <c r="Q87" t="s">
        <v>64</v>
      </c>
      <c r="R87" t="s">
        <v>120</v>
      </c>
      <c r="S87" t="s">
        <v>23</v>
      </c>
      <c r="T87" t="s">
        <v>30</v>
      </c>
      <c r="U87" t="s">
        <v>124</v>
      </c>
    </row>
    <row r="88" spans="1:21" x14ac:dyDescent="0.3">
      <c r="A88">
        <v>540</v>
      </c>
      <c r="B88" s="1">
        <v>40567</v>
      </c>
      <c r="C88">
        <v>1</v>
      </c>
      <c r="D88">
        <v>0</v>
      </c>
      <c r="E88">
        <v>1</v>
      </c>
      <c r="F88">
        <v>15</v>
      </c>
      <c r="G88" t="b">
        <v>0</v>
      </c>
      <c r="H88">
        <v>1</v>
      </c>
      <c r="I88">
        <v>1</v>
      </c>
      <c r="J88">
        <v>0.16</v>
      </c>
      <c r="K88">
        <v>0.16669999999999999</v>
      </c>
      <c r="L88">
        <v>0.4</v>
      </c>
      <c r="M88">
        <v>0.16420000000000001</v>
      </c>
      <c r="N88">
        <v>7</v>
      </c>
      <c r="O88">
        <v>50</v>
      </c>
      <c r="P88">
        <v>57</v>
      </c>
      <c r="Q88" t="s">
        <v>62</v>
      </c>
      <c r="R88" t="s">
        <v>120</v>
      </c>
      <c r="S88" t="s">
        <v>23</v>
      </c>
      <c r="T88" t="s">
        <v>30</v>
      </c>
      <c r="U88" t="s">
        <v>123</v>
      </c>
    </row>
    <row r="89" spans="1:21" x14ac:dyDescent="0.3">
      <c r="A89">
        <v>541</v>
      </c>
      <c r="B89" s="1">
        <v>40567</v>
      </c>
      <c r="C89">
        <v>1</v>
      </c>
      <c r="D89">
        <v>0</v>
      </c>
      <c r="E89">
        <v>1</v>
      </c>
      <c r="F89">
        <v>16</v>
      </c>
      <c r="G89" t="b">
        <v>0</v>
      </c>
      <c r="H89">
        <v>1</v>
      </c>
      <c r="I89">
        <v>1</v>
      </c>
      <c r="J89">
        <v>0.16</v>
      </c>
      <c r="K89">
        <v>0.1515</v>
      </c>
      <c r="L89">
        <v>0.47</v>
      </c>
      <c r="M89">
        <v>0.25369999999999998</v>
      </c>
      <c r="N89">
        <v>4</v>
      </c>
      <c r="O89">
        <v>66</v>
      </c>
      <c r="P89">
        <v>70</v>
      </c>
      <c r="Q89" t="s">
        <v>62</v>
      </c>
      <c r="R89" t="s">
        <v>120</v>
      </c>
      <c r="S89" t="s">
        <v>23</v>
      </c>
      <c r="T89" t="s">
        <v>30</v>
      </c>
      <c r="U89" t="s">
        <v>123</v>
      </c>
    </row>
    <row r="90" spans="1:21" x14ac:dyDescent="0.3">
      <c r="A90">
        <v>542</v>
      </c>
      <c r="B90" s="1">
        <v>40567</v>
      </c>
      <c r="C90">
        <v>1</v>
      </c>
      <c r="D90">
        <v>0</v>
      </c>
      <c r="E90">
        <v>1</v>
      </c>
      <c r="F90">
        <v>17</v>
      </c>
      <c r="G90" t="b">
        <v>0</v>
      </c>
      <c r="H90">
        <v>1</v>
      </c>
      <c r="I90">
        <v>1</v>
      </c>
      <c r="J90">
        <v>0.14000000000000001</v>
      </c>
      <c r="K90">
        <v>0.1212</v>
      </c>
      <c r="L90">
        <v>0.5</v>
      </c>
      <c r="M90">
        <v>0.25369999999999998</v>
      </c>
      <c r="N90">
        <v>6</v>
      </c>
      <c r="O90">
        <v>178</v>
      </c>
      <c r="P90">
        <v>184</v>
      </c>
      <c r="Q90" t="s">
        <v>62</v>
      </c>
      <c r="R90" t="s">
        <v>120</v>
      </c>
      <c r="S90" t="s">
        <v>23</v>
      </c>
      <c r="T90" t="s">
        <v>30</v>
      </c>
      <c r="U90" t="s">
        <v>123</v>
      </c>
    </row>
    <row r="91" spans="1:21" x14ac:dyDescent="0.3">
      <c r="A91">
        <v>543</v>
      </c>
      <c r="B91" s="1">
        <v>40567</v>
      </c>
      <c r="C91">
        <v>1</v>
      </c>
      <c r="D91">
        <v>0</v>
      </c>
      <c r="E91">
        <v>1</v>
      </c>
      <c r="F91">
        <v>18</v>
      </c>
      <c r="G91" t="b">
        <v>0</v>
      </c>
      <c r="H91">
        <v>1</v>
      </c>
      <c r="I91">
        <v>1</v>
      </c>
      <c r="J91">
        <v>0.14000000000000001</v>
      </c>
      <c r="K91">
        <v>0.13639999999999999</v>
      </c>
      <c r="L91">
        <v>0.59</v>
      </c>
      <c r="M91">
        <v>0.19400000000000001</v>
      </c>
      <c r="N91">
        <v>8</v>
      </c>
      <c r="O91">
        <v>145</v>
      </c>
      <c r="P91">
        <v>153</v>
      </c>
      <c r="Q91" t="s">
        <v>62</v>
      </c>
      <c r="R91" t="s">
        <v>120</v>
      </c>
      <c r="S91" t="s">
        <v>23</v>
      </c>
      <c r="T91" t="s">
        <v>30</v>
      </c>
      <c r="U91" t="s">
        <v>123</v>
      </c>
    </row>
    <row r="92" spans="1:21" x14ac:dyDescent="0.3">
      <c r="A92">
        <v>544</v>
      </c>
      <c r="B92" s="1">
        <v>40567</v>
      </c>
      <c r="C92">
        <v>1</v>
      </c>
      <c r="D92">
        <v>0</v>
      </c>
      <c r="E92">
        <v>1</v>
      </c>
      <c r="F92">
        <v>19</v>
      </c>
      <c r="G92" t="b">
        <v>0</v>
      </c>
      <c r="H92">
        <v>1</v>
      </c>
      <c r="I92">
        <v>1</v>
      </c>
      <c r="J92">
        <v>0.14000000000000001</v>
      </c>
      <c r="K92">
        <v>0.1515</v>
      </c>
      <c r="L92">
        <v>0.54</v>
      </c>
      <c r="M92">
        <v>0.16420000000000001</v>
      </c>
      <c r="N92">
        <v>5</v>
      </c>
      <c r="O92">
        <v>101</v>
      </c>
      <c r="P92">
        <v>106</v>
      </c>
      <c r="Q92" t="s">
        <v>62</v>
      </c>
      <c r="R92" t="s">
        <v>120</v>
      </c>
      <c r="S92" t="s">
        <v>23</v>
      </c>
      <c r="T92" t="s">
        <v>30</v>
      </c>
      <c r="U92" t="s">
        <v>123</v>
      </c>
    </row>
    <row r="93" spans="1:21" x14ac:dyDescent="0.3">
      <c r="A93">
        <v>545</v>
      </c>
      <c r="B93" s="1">
        <v>40567</v>
      </c>
      <c r="C93">
        <v>1</v>
      </c>
      <c r="D93">
        <v>0</v>
      </c>
      <c r="E93">
        <v>1</v>
      </c>
      <c r="F93">
        <v>20</v>
      </c>
      <c r="G93" t="b">
        <v>0</v>
      </c>
      <c r="H93">
        <v>1</v>
      </c>
      <c r="I93">
        <v>1</v>
      </c>
      <c r="J93">
        <v>0.14000000000000001</v>
      </c>
      <c r="K93">
        <v>0.13639999999999999</v>
      </c>
      <c r="L93">
        <v>0.59</v>
      </c>
      <c r="M93">
        <v>0.19400000000000001</v>
      </c>
      <c r="N93">
        <v>1</v>
      </c>
      <c r="O93">
        <v>80</v>
      </c>
      <c r="P93">
        <v>81</v>
      </c>
      <c r="Q93" t="s">
        <v>62</v>
      </c>
      <c r="R93" t="s">
        <v>120</v>
      </c>
      <c r="S93" t="s">
        <v>23</v>
      </c>
      <c r="T93" t="s">
        <v>30</v>
      </c>
      <c r="U93" t="s">
        <v>123</v>
      </c>
    </row>
    <row r="94" spans="1:21" x14ac:dyDescent="0.3">
      <c r="A94">
        <v>546</v>
      </c>
      <c r="B94" s="1">
        <v>40567</v>
      </c>
      <c r="C94">
        <v>1</v>
      </c>
      <c r="D94">
        <v>0</v>
      </c>
      <c r="E94">
        <v>1</v>
      </c>
      <c r="F94">
        <v>21</v>
      </c>
      <c r="G94" t="b">
        <v>0</v>
      </c>
      <c r="H94">
        <v>1</v>
      </c>
      <c r="I94">
        <v>1</v>
      </c>
      <c r="J94">
        <v>0.14000000000000001</v>
      </c>
      <c r="K94">
        <v>0.1515</v>
      </c>
      <c r="L94">
        <v>0.63</v>
      </c>
      <c r="M94">
        <v>0.16420000000000001</v>
      </c>
      <c r="N94">
        <v>6</v>
      </c>
      <c r="O94">
        <v>53</v>
      </c>
      <c r="P94">
        <v>59</v>
      </c>
      <c r="Q94" t="s">
        <v>62</v>
      </c>
      <c r="R94" t="s">
        <v>120</v>
      </c>
      <c r="S94" t="s">
        <v>23</v>
      </c>
      <c r="T94" t="s">
        <v>30</v>
      </c>
      <c r="U94" t="s">
        <v>123</v>
      </c>
    </row>
    <row r="95" spans="1:21" x14ac:dyDescent="0.3">
      <c r="A95">
        <v>547</v>
      </c>
      <c r="B95" s="1">
        <v>40567</v>
      </c>
      <c r="C95">
        <v>1</v>
      </c>
      <c r="D95">
        <v>0</v>
      </c>
      <c r="E95">
        <v>1</v>
      </c>
      <c r="F95">
        <v>22</v>
      </c>
      <c r="G95" t="b">
        <v>0</v>
      </c>
      <c r="H95">
        <v>1</v>
      </c>
      <c r="I95">
        <v>2</v>
      </c>
      <c r="J95">
        <v>0.14000000000000001</v>
      </c>
      <c r="K95">
        <v>0.13639999999999999</v>
      </c>
      <c r="L95">
        <v>0.63</v>
      </c>
      <c r="M95">
        <v>0.22389999999999999</v>
      </c>
      <c r="N95">
        <v>3</v>
      </c>
      <c r="O95">
        <v>32</v>
      </c>
      <c r="P95">
        <v>35</v>
      </c>
      <c r="Q95" t="s">
        <v>64</v>
      </c>
      <c r="R95" t="s">
        <v>120</v>
      </c>
      <c r="S95" t="s">
        <v>23</v>
      </c>
      <c r="T95" t="s">
        <v>30</v>
      </c>
      <c r="U95" t="s">
        <v>124</v>
      </c>
    </row>
    <row r="96" spans="1:21" x14ac:dyDescent="0.3">
      <c r="A96">
        <v>548</v>
      </c>
      <c r="B96" s="1">
        <v>40567</v>
      </c>
      <c r="C96">
        <v>1</v>
      </c>
      <c r="D96">
        <v>0</v>
      </c>
      <c r="E96">
        <v>1</v>
      </c>
      <c r="F96">
        <v>23</v>
      </c>
      <c r="G96" t="b">
        <v>0</v>
      </c>
      <c r="H96">
        <v>1</v>
      </c>
      <c r="I96">
        <v>2</v>
      </c>
      <c r="J96">
        <v>0.16</v>
      </c>
      <c r="K96">
        <v>0.1515</v>
      </c>
      <c r="L96">
        <v>0.64</v>
      </c>
      <c r="M96">
        <v>0.25369999999999998</v>
      </c>
      <c r="N96">
        <v>3</v>
      </c>
      <c r="O96">
        <v>21</v>
      </c>
      <c r="P96">
        <v>24</v>
      </c>
      <c r="Q96" t="s">
        <v>64</v>
      </c>
      <c r="R96" t="s">
        <v>120</v>
      </c>
      <c r="S96" t="s">
        <v>23</v>
      </c>
      <c r="T96" t="s">
        <v>30</v>
      </c>
      <c r="U96" t="s">
        <v>124</v>
      </c>
    </row>
    <row r="97" spans="1:21" x14ac:dyDescent="0.3">
      <c r="A97">
        <v>665</v>
      </c>
      <c r="B97" s="1">
        <v>40574</v>
      </c>
      <c r="C97">
        <v>1</v>
      </c>
      <c r="D97">
        <v>0</v>
      </c>
      <c r="E97">
        <v>1</v>
      </c>
      <c r="F97">
        <v>0</v>
      </c>
      <c r="G97" t="b">
        <v>0</v>
      </c>
      <c r="H97">
        <v>1</v>
      </c>
      <c r="I97">
        <v>2</v>
      </c>
      <c r="J97">
        <v>0.24</v>
      </c>
      <c r="K97">
        <v>0.2273</v>
      </c>
      <c r="L97">
        <v>0.65</v>
      </c>
      <c r="M97">
        <v>0.22389999999999999</v>
      </c>
      <c r="N97">
        <v>1</v>
      </c>
      <c r="O97">
        <v>6</v>
      </c>
      <c r="P97">
        <v>7</v>
      </c>
      <c r="Q97" t="s">
        <v>64</v>
      </c>
      <c r="R97" t="s">
        <v>120</v>
      </c>
      <c r="S97" t="s">
        <v>23</v>
      </c>
      <c r="T97" t="s">
        <v>30</v>
      </c>
      <c r="U97" t="s">
        <v>124</v>
      </c>
    </row>
    <row r="98" spans="1:21" x14ac:dyDescent="0.3">
      <c r="A98">
        <v>666</v>
      </c>
      <c r="B98" s="1">
        <v>40574</v>
      </c>
      <c r="C98">
        <v>1</v>
      </c>
      <c r="D98">
        <v>0</v>
      </c>
      <c r="E98">
        <v>1</v>
      </c>
      <c r="F98">
        <v>1</v>
      </c>
      <c r="G98" t="b">
        <v>0</v>
      </c>
      <c r="H98">
        <v>1</v>
      </c>
      <c r="I98">
        <v>1</v>
      </c>
      <c r="J98">
        <v>0.22</v>
      </c>
      <c r="K98">
        <v>0.21210000000000001</v>
      </c>
      <c r="L98">
        <v>0.64</v>
      </c>
      <c r="M98">
        <v>0.25369999999999998</v>
      </c>
      <c r="N98">
        <v>2</v>
      </c>
      <c r="O98">
        <v>5</v>
      </c>
      <c r="P98">
        <v>7</v>
      </c>
      <c r="Q98" t="s">
        <v>62</v>
      </c>
      <c r="R98" t="s">
        <v>120</v>
      </c>
      <c r="S98" t="s">
        <v>23</v>
      </c>
      <c r="T98" t="s">
        <v>30</v>
      </c>
      <c r="U98" t="s">
        <v>123</v>
      </c>
    </row>
    <row r="99" spans="1:21" x14ac:dyDescent="0.3">
      <c r="A99">
        <v>667</v>
      </c>
      <c r="B99" s="1">
        <v>40574</v>
      </c>
      <c r="C99">
        <v>1</v>
      </c>
      <c r="D99">
        <v>0</v>
      </c>
      <c r="E99">
        <v>1</v>
      </c>
      <c r="F99">
        <v>2</v>
      </c>
      <c r="G99" t="b">
        <v>0</v>
      </c>
      <c r="H99">
        <v>1</v>
      </c>
      <c r="I99">
        <v>1</v>
      </c>
      <c r="J99">
        <v>0.22</v>
      </c>
      <c r="K99">
        <v>0.2273</v>
      </c>
      <c r="L99">
        <v>0.64</v>
      </c>
      <c r="M99">
        <v>0.19400000000000001</v>
      </c>
      <c r="N99">
        <v>0</v>
      </c>
      <c r="O99">
        <v>1</v>
      </c>
      <c r="P99">
        <v>1</v>
      </c>
      <c r="Q99" t="s">
        <v>62</v>
      </c>
      <c r="R99" t="s">
        <v>120</v>
      </c>
      <c r="S99" t="s">
        <v>23</v>
      </c>
      <c r="T99" t="s">
        <v>30</v>
      </c>
      <c r="U99" t="s">
        <v>123</v>
      </c>
    </row>
    <row r="100" spans="1:21" x14ac:dyDescent="0.3">
      <c r="A100">
        <v>668</v>
      </c>
      <c r="B100" s="1">
        <v>40574</v>
      </c>
      <c r="C100">
        <v>1</v>
      </c>
      <c r="D100">
        <v>0</v>
      </c>
      <c r="E100">
        <v>1</v>
      </c>
      <c r="F100">
        <v>3</v>
      </c>
      <c r="G100" t="b">
        <v>0</v>
      </c>
      <c r="H100">
        <v>1</v>
      </c>
      <c r="I100">
        <v>1</v>
      </c>
      <c r="J100">
        <v>0.22</v>
      </c>
      <c r="K100">
        <v>0.2273</v>
      </c>
      <c r="L100">
        <v>0.64</v>
      </c>
      <c r="M100">
        <v>0.19400000000000001</v>
      </c>
      <c r="N100">
        <v>0</v>
      </c>
      <c r="O100">
        <v>2</v>
      </c>
      <c r="P100">
        <v>2</v>
      </c>
      <c r="Q100" t="s">
        <v>62</v>
      </c>
      <c r="R100" t="s">
        <v>120</v>
      </c>
      <c r="S100" t="s">
        <v>23</v>
      </c>
      <c r="T100" t="s">
        <v>30</v>
      </c>
      <c r="U100" t="s">
        <v>123</v>
      </c>
    </row>
    <row r="101" spans="1:21" x14ac:dyDescent="0.3">
      <c r="A101">
        <v>669</v>
      </c>
      <c r="B101" s="1">
        <v>40574</v>
      </c>
      <c r="C101">
        <v>1</v>
      </c>
      <c r="D101">
        <v>0</v>
      </c>
      <c r="E101">
        <v>1</v>
      </c>
      <c r="F101">
        <v>4</v>
      </c>
      <c r="G101" t="b">
        <v>0</v>
      </c>
      <c r="H101">
        <v>1</v>
      </c>
      <c r="I101">
        <v>1</v>
      </c>
      <c r="J101">
        <v>0.2</v>
      </c>
      <c r="K101">
        <v>0.19700000000000001</v>
      </c>
      <c r="L101">
        <v>0.59</v>
      </c>
      <c r="M101">
        <v>0.22389999999999999</v>
      </c>
      <c r="N101">
        <v>0</v>
      </c>
      <c r="O101">
        <v>2</v>
      </c>
      <c r="P101">
        <v>2</v>
      </c>
      <c r="Q101" t="s">
        <v>62</v>
      </c>
      <c r="R101" t="s">
        <v>120</v>
      </c>
      <c r="S101" t="s">
        <v>23</v>
      </c>
      <c r="T101" t="s">
        <v>30</v>
      </c>
      <c r="U101" t="s">
        <v>123</v>
      </c>
    </row>
    <row r="102" spans="1:21" x14ac:dyDescent="0.3">
      <c r="A102">
        <v>670</v>
      </c>
      <c r="B102" s="1">
        <v>40574</v>
      </c>
      <c r="C102">
        <v>1</v>
      </c>
      <c r="D102">
        <v>0</v>
      </c>
      <c r="E102">
        <v>1</v>
      </c>
      <c r="F102">
        <v>5</v>
      </c>
      <c r="G102" t="b">
        <v>0</v>
      </c>
      <c r="H102">
        <v>1</v>
      </c>
      <c r="I102">
        <v>1</v>
      </c>
      <c r="J102">
        <v>0.18</v>
      </c>
      <c r="K102">
        <v>0.16669999999999999</v>
      </c>
      <c r="L102">
        <v>0.64</v>
      </c>
      <c r="M102">
        <v>0.28360000000000002</v>
      </c>
      <c r="N102">
        <v>0</v>
      </c>
      <c r="O102">
        <v>8</v>
      </c>
      <c r="P102">
        <v>8</v>
      </c>
      <c r="Q102" t="s">
        <v>62</v>
      </c>
      <c r="R102" t="s">
        <v>120</v>
      </c>
      <c r="S102" t="s">
        <v>23</v>
      </c>
      <c r="T102" t="s">
        <v>30</v>
      </c>
      <c r="U102" t="s">
        <v>123</v>
      </c>
    </row>
    <row r="103" spans="1:21" x14ac:dyDescent="0.3">
      <c r="A103">
        <v>671</v>
      </c>
      <c r="B103" s="1">
        <v>40574</v>
      </c>
      <c r="C103">
        <v>1</v>
      </c>
      <c r="D103">
        <v>0</v>
      </c>
      <c r="E103">
        <v>1</v>
      </c>
      <c r="F103">
        <v>6</v>
      </c>
      <c r="G103" t="b">
        <v>0</v>
      </c>
      <c r="H103">
        <v>1</v>
      </c>
      <c r="I103">
        <v>1</v>
      </c>
      <c r="J103">
        <v>0.16</v>
      </c>
      <c r="K103">
        <v>0.13639999999999999</v>
      </c>
      <c r="L103">
        <v>0.69</v>
      </c>
      <c r="M103">
        <v>0.32840000000000003</v>
      </c>
      <c r="N103">
        <v>0</v>
      </c>
      <c r="O103">
        <v>37</v>
      </c>
      <c r="P103">
        <v>37</v>
      </c>
      <c r="Q103" t="s">
        <v>62</v>
      </c>
      <c r="R103" t="s">
        <v>120</v>
      </c>
      <c r="S103" t="s">
        <v>23</v>
      </c>
      <c r="T103" t="s">
        <v>30</v>
      </c>
      <c r="U103" t="s">
        <v>123</v>
      </c>
    </row>
    <row r="104" spans="1:21" x14ac:dyDescent="0.3">
      <c r="A104">
        <v>672</v>
      </c>
      <c r="B104" s="1">
        <v>40574</v>
      </c>
      <c r="C104">
        <v>1</v>
      </c>
      <c r="D104">
        <v>0</v>
      </c>
      <c r="E104">
        <v>1</v>
      </c>
      <c r="F104">
        <v>7</v>
      </c>
      <c r="G104" t="b">
        <v>0</v>
      </c>
      <c r="H104">
        <v>1</v>
      </c>
      <c r="I104">
        <v>2</v>
      </c>
      <c r="J104">
        <v>0.16</v>
      </c>
      <c r="K104">
        <v>0.13639999999999999</v>
      </c>
      <c r="L104">
        <v>0.64</v>
      </c>
      <c r="M104">
        <v>0.28360000000000002</v>
      </c>
      <c r="N104">
        <v>1</v>
      </c>
      <c r="O104">
        <v>71</v>
      </c>
      <c r="P104">
        <v>72</v>
      </c>
      <c r="Q104" t="s">
        <v>64</v>
      </c>
      <c r="R104" t="s">
        <v>120</v>
      </c>
      <c r="S104" t="s">
        <v>23</v>
      </c>
      <c r="T104" t="s">
        <v>30</v>
      </c>
      <c r="U104" t="s">
        <v>124</v>
      </c>
    </row>
    <row r="105" spans="1:21" x14ac:dyDescent="0.3">
      <c r="A105">
        <v>673</v>
      </c>
      <c r="B105" s="1">
        <v>40574</v>
      </c>
      <c r="C105">
        <v>1</v>
      </c>
      <c r="D105">
        <v>0</v>
      </c>
      <c r="E105">
        <v>1</v>
      </c>
      <c r="F105">
        <v>8</v>
      </c>
      <c r="G105" t="b">
        <v>0</v>
      </c>
      <c r="H105">
        <v>1</v>
      </c>
      <c r="I105">
        <v>2</v>
      </c>
      <c r="J105">
        <v>0.16</v>
      </c>
      <c r="K105">
        <v>0.13639999999999999</v>
      </c>
      <c r="L105">
        <v>0.59</v>
      </c>
      <c r="M105">
        <v>0.28360000000000002</v>
      </c>
      <c r="N105">
        <v>3</v>
      </c>
      <c r="O105">
        <v>182</v>
      </c>
      <c r="P105">
        <v>185</v>
      </c>
      <c r="Q105" t="s">
        <v>64</v>
      </c>
      <c r="R105" t="s">
        <v>120</v>
      </c>
      <c r="S105" t="s">
        <v>23</v>
      </c>
      <c r="T105" t="s">
        <v>30</v>
      </c>
      <c r="U105" t="s">
        <v>124</v>
      </c>
    </row>
    <row r="106" spans="1:21" x14ac:dyDescent="0.3">
      <c r="A106">
        <v>674</v>
      </c>
      <c r="B106" s="1">
        <v>40574</v>
      </c>
      <c r="C106">
        <v>1</v>
      </c>
      <c r="D106">
        <v>0</v>
      </c>
      <c r="E106">
        <v>1</v>
      </c>
      <c r="F106">
        <v>9</v>
      </c>
      <c r="G106" t="b">
        <v>0</v>
      </c>
      <c r="H106">
        <v>1</v>
      </c>
      <c r="I106">
        <v>2</v>
      </c>
      <c r="J106">
        <v>0.16</v>
      </c>
      <c r="K106">
        <v>0.13639999999999999</v>
      </c>
      <c r="L106">
        <v>0.59</v>
      </c>
      <c r="M106">
        <v>0.29849999999999999</v>
      </c>
      <c r="N106">
        <v>0</v>
      </c>
      <c r="O106">
        <v>112</v>
      </c>
      <c r="P106">
        <v>112</v>
      </c>
      <c r="Q106" t="s">
        <v>64</v>
      </c>
      <c r="R106" t="s">
        <v>120</v>
      </c>
      <c r="S106" t="s">
        <v>23</v>
      </c>
      <c r="T106" t="s">
        <v>30</v>
      </c>
      <c r="U106" t="s">
        <v>124</v>
      </c>
    </row>
    <row r="107" spans="1:21" x14ac:dyDescent="0.3">
      <c r="A107">
        <v>675</v>
      </c>
      <c r="B107" s="1">
        <v>40574</v>
      </c>
      <c r="C107">
        <v>1</v>
      </c>
      <c r="D107">
        <v>0</v>
      </c>
      <c r="E107">
        <v>1</v>
      </c>
      <c r="F107">
        <v>10</v>
      </c>
      <c r="G107" t="b">
        <v>0</v>
      </c>
      <c r="H107">
        <v>1</v>
      </c>
      <c r="I107">
        <v>2</v>
      </c>
      <c r="J107">
        <v>0.16</v>
      </c>
      <c r="K107">
        <v>0.1515</v>
      </c>
      <c r="L107">
        <v>0.59</v>
      </c>
      <c r="M107">
        <v>0.19400000000000001</v>
      </c>
      <c r="N107">
        <v>1</v>
      </c>
      <c r="O107">
        <v>68</v>
      </c>
      <c r="P107">
        <v>69</v>
      </c>
      <c r="Q107" t="s">
        <v>64</v>
      </c>
      <c r="R107" t="s">
        <v>120</v>
      </c>
      <c r="S107" t="s">
        <v>23</v>
      </c>
      <c r="T107" t="s">
        <v>30</v>
      </c>
      <c r="U107" t="s">
        <v>124</v>
      </c>
    </row>
    <row r="108" spans="1:21" x14ac:dyDescent="0.3">
      <c r="A108">
        <v>676</v>
      </c>
      <c r="B108" s="1">
        <v>40574</v>
      </c>
      <c r="C108">
        <v>1</v>
      </c>
      <c r="D108">
        <v>0</v>
      </c>
      <c r="E108">
        <v>1</v>
      </c>
      <c r="F108">
        <v>11</v>
      </c>
      <c r="G108" t="b">
        <v>0</v>
      </c>
      <c r="H108">
        <v>1</v>
      </c>
      <c r="I108">
        <v>2</v>
      </c>
      <c r="J108">
        <v>0.16</v>
      </c>
      <c r="K108">
        <v>0.1515</v>
      </c>
      <c r="L108">
        <v>0.59</v>
      </c>
      <c r="M108">
        <v>0.19400000000000001</v>
      </c>
      <c r="N108">
        <v>2</v>
      </c>
      <c r="O108">
        <v>46</v>
      </c>
      <c r="P108">
        <v>48</v>
      </c>
      <c r="Q108" t="s">
        <v>64</v>
      </c>
      <c r="R108" t="s">
        <v>120</v>
      </c>
      <c r="S108" t="s">
        <v>23</v>
      </c>
      <c r="T108" t="s">
        <v>30</v>
      </c>
      <c r="U108" t="s">
        <v>124</v>
      </c>
    </row>
    <row r="109" spans="1:21" x14ac:dyDescent="0.3">
      <c r="A109">
        <v>677</v>
      </c>
      <c r="B109" s="1">
        <v>40574</v>
      </c>
      <c r="C109">
        <v>1</v>
      </c>
      <c r="D109">
        <v>0</v>
      </c>
      <c r="E109">
        <v>1</v>
      </c>
      <c r="F109">
        <v>12</v>
      </c>
      <c r="G109" t="b">
        <v>0</v>
      </c>
      <c r="H109">
        <v>1</v>
      </c>
      <c r="I109">
        <v>2</v>
      </c>
      <c r="J109">
        <v>0.18</v>
      </c>
      <c r="K109">
        <v>0.21210000000000001</v>
      </c>
      <c r="L109">
        <v>0.55000000000000004</v>
      </c>
      <c r="M109">
        <v>0.1045</v>
      </c>
      <c r="N109">
        <v>6</v>
      </c>
      <c r="O109">
        <v>62</v>
      </c>
      <c r="P109">
        <v>68</v>
      </c>
      <c r="Q109" t="s">
        <v>64</v>
      </c>
      <c r="R109" t="s">
        <v>120</v>
      </c>
      <c r="S109" t="s">
        <v>23</v>
      </c>
      <c r="T109" t="s">
        <v>30</v>
      </c>
      <c r="U109" t="s">
        <v>124</v>
      </c>
    </row>
    <row r="110" spans="1:21" x14ac:dyDescent="0.3">
      <c r="A110">
        <v>678</v>
      </c>
      <c r="B110" s="1">
        <v>40574</v>
      </c>
      <c r="C110">
        <v>1</v>
      </c>
      <c r="D110">
        <v>0</v>
      </c>
      <c r="E110">
        <v>1</v>
      </c>
      <c r="F110">
        <v>13</v>
      </c>
      <c r="G110" t="b">
        <v>0</v>
      </c>
      <c r="H110">
        <v>1</v>
      </c>
      <c r="I110">
        <v>2</v>
      </c>
      <c r="J110">
        <v>0.16</v>
      </c>
      <c r="K110">
        <v>0.2273</v>
      </c>
      <c r="L110">
        <v>0.59</v>
      </c>
      <c r="M110">
        <v>0</v>
      </c>
      <c r="N110">
        <v>2</v>
      </c>
      <c r="O110">
        <v>52</v>
      </c>
      <c r="P110">
        <v>54</v>
      </c>
      <c r="Q110" t="s">
        <v>64</v>
      </c>
      <c r="R110" t="s">
        <v>120</v>
      </c>
      <c r="S110" t="s">
        <v>23</v>
      </c>
      <c r="T110" t="s">
        <v>30</v>
      </c>
      <c r="U110" t="s">
        <v>124</v>
      </c>
    </row>
    <row r="111" spans="1:21" x14ac:dyDescent="0.3">
      <c r="A111">
        <v>679</v>
      </c>
      <c r="B111" s="1">
        <v>40574</v>
      </c>
      <c r="C111">
        <v>1</v>
      </c>
      <c r="D111">
        <v>0</v>
      </c>
      <c r="E111">
        <v>1</v>
      </c>
      <c r="F111">
        <v>14</v>
      </c>
      <c r="G111" t="b">
        <v>0</v>
      </c>
      <c r="H111">
        <v>1</v>
      </c>
      <c r="I111">
        <v>2</v>
      </c>
      <c r="J111">
        <v>0.18</v>
      </c>
      <c r="K111">
        <v>0.19700000000000001</v>
      </c>
      <c r="L111">
        <v>0.55000000000000004</v>
      </c>
      <c r="M111">
        <v>0.1343</v>
      </c>
      <c r="N111">
        <v>1</v>
      </c>
      <c r="O111">
        <v>85</v>
      </c>
      <c r="P111">
        <v>86</v>
      </c>
      <c r="Q111" t="s">
        <v>64</v>
      </c>
      <c r="R111" t="s">
        <v>120</v>
      </c>
      <c r="S111" t="s">
        <v>23</v>
      </c>
      <c r="T111" t="s">
        <v>30</v>
      </c>
      <c r="U111" t="s">
        <v>124</v>
      </c>
    </row>
    <row r="112" spans="1:21" x14ac:dyDescent="0.3">
      <c r="A112">
        <v>680</v>
      </c>
      <c r="B112" s="1">
        <v>40574</v>
      </c>
      <c r="C112">
        <v>1</v>
      </c>
      <c r="D112">
        <v>0</v>
      </c>
      <c r="E112">
        <v>1</v>
      </c>
      <c r="F112">
        <v>15</v>
      </c>
      <c r="G112" t="b">
        <v>0</v>
      </c>
      <c r="H112">
        <v>1</v>
      </c>
      <c r="I112">
        <v>2</v>
      </c>
      <c r="J112">
        <v>0.16</v>
      </c>
      <c r="K112">
        <v>0.18179999999999999</v>
      </c>
      <c r="L112">
        <v>0.59</v>
      </c>
      <c r="M112">
        <v>0.1343</v>
      </c>
      <c r="N112">
        <v>3</v>
      </c>
      <c r="O112">
        <v>41</v>
      </c>
      <c r="P112">
        <v>44</v>
      </c>
      <c r="Q112" t="s">
        <v>64</v>
      </c>
      <c r="R112" t="s">
        <v>120</v>
      </c>
      <c r="S112" t="s">
        <v>23</v>
      </c>
      <c r="T112" t="s">
        <v>30</v>
      </c>
      <c r="U112" t="s">
        <v>124</v>
      </c>
    </row>
    <row r="113" spans="1:21" x14ac:dyDescent="0.3">
      <c r="A113">
        <v>681</v>
      </c>
      <c r="B113" s="1">
        <v>40574</v>
      </c>
      <c r="C113">
        <v>1</v>
      </c>
      <c r="D113">
        <v>0</v>
      </c>
      <c r="E113">
        <v>1</v>
      </c>
      <c r="F113">
        <v>16</v>
      </c>
      <c r="G113" t="b">
        <v>0</v>
      </c>
      <c r="H113">
        <v>1</v>
      </c>
      <c r="I113">
        <v>2</v>
      </c>
      <c r="J113">
        <v>0.16</v>
      </c>
      <c r="K113">
        <v>0.18179999999999999</v>
      </c>
      <c r="L113">
        <v>0.56000000000000005</v>
      </c>
      <c r="M113">
        <v>0.19400000000000001</v>
      </c>
      <c r="N113">
        <v>3</v>
      </c>
      <c r="O113">
        <v>83</v>
      </c>
      <c r="P113">
        <v>86</v>
      </c>
      <c r="Q113" t="s">
        <v>64</v>
      </c>
      <c r="R113" t="s">
        <v>120</v>
      </c>
      <c r="S113" t="s">
        <v>23</v>
      </c>
      <c r="T113" t="s">
        <v>30</v>
      </c>
      <c r="U113" t="s">
        <v>124</v>
      </c>
    </row>
    <row r="114" spans="1:21" x14ac:dyDescent="0.3">
      <c r="A114">
        <v>682</v>
      </c>
      <c r="B114" s="1">
        <v>40574</v>
      </c>
      <c r="C114">
        <v>1</v>
      </c>
      <c r="D114">
        <v>0</v>
      </c>
      <c r="E114">
        <v>1</v>
      </c>
      <c r="F114">
        <v>17</v>
      </c>
      <c r="G114" t="b">
        <v>0</v>
      </c>
      <c r="H114">
        <v>1</v>
      </c>
      <c r="I114">
        <v>2</v>
      </c>
      <c r="J114">
        <v>0.16</v>
      </c>
      <c r="K114">
        <v>0.1515</v>
      </c>
      <c r="L114">
        <v>0.59</v>
      </c>
      <c r="M114">
        <v>0.19400000000000001</v>
      </c>
      <c r="N114">
        <v>6</v>
      </c>
      <c r="O114">
        <v>155</v>
      </c>
      <c r="P114">
        <v>161</v>
      </c>
      <c r="Q114" t="s">
        <v>64</v>
      </c>
      <c r="R114" t="s">
        <v>120</v>
      </c>
      <c r="S114" t="s">
        <v>23</v>
      </c>
      <c r="T114" t="s">
        <v>30</v>
      </c>
      <c r="U114" t="s">
        <v>124</v>
      </c>
    </row>
    <row r="115" spans="1:21" x14ac:dyDescent="0.3">
      <c r="A115">
        <v>683</v>
      </c>
      <c r="B115" s="1">
        <v>40574</v>
      </c>
      <c r="C115">
        <v>1</v>
      </c>
      <c r="D115">
        <v>0</v>
      </c>
      <c r="E115">
        <v>1</v>
      </c>
      <c r="F115">
        <v>18</v>
      </c>
      <c r="G115" t="b">
        <v>0</v>
      </c>
      <c r="H115">
        <v>1</v>
      </c>
      <c r="I115">
        <v>2</v>
      </c>
      <c r="J115">
        <v>0.16</v>
      </c>
      <c r="K115">
        <v>0.1515</v>
      </c>
      <c r="L115">
        <v>0.55000000000000004</v>
      </c>
      <c r="M115">
        <v>0.22389999999999999</v>
      </c>
      <c r="N115">
        <v>3</v>
      </c>
      <c r="O115">
        <v>153</v>
      </c>
      <c r="P115">
        <v>156</v>
      </c>
      <c r="Q115" t="s">
        <v>64</v>
      </c>
      <c r="R115" t="s">
        <v>120</v>
      </c>
      <c r="S115" t="s">
        <v>23</v>
      </c>
      <c r="T115" t="s">
        <v>30</v>
      </c>
      <c r="U115" t="s">
        <v>124</v>
      </c>
    </row>
    <row r="116" spans="1:21" x14ac:dyDescent="0.3">
      <c r="A116">
        <v>684</v>
      </c>
      <c r="B116" s="1">
        <v>40574</v>
      </c>
      <c r="C116">
        <v>1</v>
      </c>
      <c r="D116">
        <v>0</v>
      </c>
      <c r="E116">
        <v>1</v>
      </c>
      <c r="F116">
        <v>19</v>
      </c>
      <c r="G116" t="b">
        <v>0</v>
      </c>
      <c r="H116">
        <v>1</v>
      </c>
      <c r="I116">
        <v>1</v>
      </c>
      <c r="J116">
        <v>0.3</v>
      </c>
      <c r="K116">
        <v>0.31819999999999998</v>
      </c>
      <c r="L116">
        <v>0.61</v>
      </c>
      <c r="M116">
        <v>0.1045</v>
      </c>
      <c r="N116">
        <v>3</v>
      </c>
      <c r="O116">
        <v>108</v>
      </c>
      <c r="P116">
        <v>111</v>
      </c>
      <c r="Q116" t="s">
        <v>62</v>
      </c>
      <c r="R116" t="s">
        <v>120</v>
      </c>
      <c r="S116" t="s">
        <v>23</v>
      </c>
      <c r="T116" t="s">
        <v>30</v>
      </c>
      <c r="U116" t="s">
        <v>123</v>
      </c>
    </row>
    <row r="117" spans="1:21" x14ac:dyDescent="0.3">
      <c r="A117">
        <v>685</v>
      </c>
      <c r="B117" s="1">
        <v>40574</v>
      </c>
      <c r="C117">
        <v>1</v>
      </c>
      <c r="D117">
        <v>0</v>
      </c>
      <c r="E117">
        <v>1</v>
      </c>
      <c r="F117">
        <v>20</v>
      </c>
      <c r="G117" t="b">
        <v>0</v>
      </c>
      <c r="H117">
        <v>1</v>
      </c>
      <c r="I117">
        <v>3</v>
      </c>
      <c r="J117">
        <v>0.16</v>
      </c>
      <c r="K117">
        <v>0.16669999999999999</v>
      </c>
      <c r="L117">
        <v>0.59</v>
      </c>
      <c r="M117">
        <v>0.16420000000000001</v>
      </c>
      <c r="N117">
        <v>0</v>
      </c>
      <c r="O117">
        <v>78</v>
      </c>
      <c r="P117">
        <v>78</v>
      </c>
      <c r="Q117" t="s">
        <v>63</v>
      </c>
      <c r="R117" t="s">
        <v>120</v>
      </c>
      <c r="S117" t="s">
        <v>23</v>
      </c>
      <c r="T117" t="s">
        <v>30</v>
      </c>
      <c r="U117" t="s">
        <v>125</v>
      </c>
    </row>
    <row r="118" spans="1:21" x14ac:dyDescent="0.3">
      <c r="A118">
        <v>686</v>
      </c>
      <c r="B118" s="1">
        <v>40574</v>
      </c>
      <c r="C118">
        <v>1</v>
      </c>
      <c r="D118">
        <v>0</v>
      </c>
      <c r="E118">
        <v>1</v>
      </c>
      <c r="F118">
        <v>21</v>
      </c>
      <c r="G118" t="b">
        <v>0</v>
      </c>
      <c r="H118">
        <v>1</v>
      </c>
      <c r="I118">
        <v>3</v>
      </c>
      <c r="J118">
        <v>0.16</v>
      </c>
      <c r="K118">
        <v>0.19700000000000001</v>
      </c>
      <c r="L118">
        <v>0.59</v>
      </c>
      <c r="M118">
        <v>8.9599999999999999E-2</v>
      </c>
      <c r="N118">
        <v>3</v>
      </c>
      <c r="O118">
        <v>53</v>
      </c>
      <c r="P118">
        <v>56</v>
      </c>
      <c r="Q118" t="s">
        <v>63</v>
      </c>
      <c r="R118" t="s">
        <v>120</v>
      </c>
      <c r="S118" t="s">
        <v>23</v>
      </c>
      <c r="T118" t="s">
        <v>30</v>
      </c>
      <c r="U118" t="s">
        <v>125</v>
      </c>
    </row>
    <row r="119" spans="1:21" x14ac:dyDescent="0.3">
      <c r="A119">
        <v>687</v>
      </c>
      <c r="B119" s="1">
        <v>40574</v>
      </c>
      <c r="C119">
        <v>1</v>
      </c>
      <c r="D119">
        <v>0</v>
      </c>
      <c r="E119">
        <v>1</v>
      </c>
      <c r="F119">
        <v>22</v>
      </c>
      <c r="G119" t="b">
        <v>0</v>
      </c>
      <c r="H119">
        <v>1</v>
      </c>
      <c r="I119">
        <v>2</v>
      </c>
      <c r="J119">
        <v>0.16</v>
      </c>
      <c r="K119">
        <v>0.18179999999999999</v>
      </c>
      <c r="L119">
        <v>0.59</v>
      </c>
      <c r="M119">
        <v>0.1045</v>
      </c>
      <c r="N119">
        <v>0</v>
      </c>
      <c r="O119">
        <v>34</v>
      </c>
      <c r="P119">
        <v>34</v>
      </c>
      <c r="Q119" t="s">
        <v>64</v>
      </c>
      <c r="R119" t="s">
        <v>120</v>
      </c>
      <c r="S119" t="s">
        <v>23</v>
      </c>
      <c r="T119" t="s">
        <v>30</v>
      </c>
      <c r="U119" t="s">
        <v>124</v>
      </c>
    </row>
    <row r="120" spans="1:21" x14ac:dyDescent="0.3">
      <c r="A120">
        <v>688</v>
      </c>
      <c r="B120" s="1">
        <v>40574</v>
      </c>
      <c r="C120">
        <v>1</v>
      </c>
      <c r="D120">
        <v>0</v>
      </c>
      <c r="E120">
        <v>1</v>
      </c>
      <c r="F120">
        <v>23</v>
      </c>
      <c r="G120" t="b">
        <v>0</v>
      </c>
      <c r="H120">
        <v>1</v>
      </c>
      <c r="I120">
        <v>2</v>
      </c>
      <c r="J120">
        <v>0.16</v>
      </c>
      <c r="K120">
        <v>0.19700000000000001</v>
      </c>
      <c r="L120">
        <v>0.64</v>
      </c>
      <c r="M120">
        <v>8.9599999999999999E-2</v>
      </c>
      <c r="N120">
        <v>2</v>
      </c>
      <c r="O120">
        <v>15</v>
      </c>
      <c r="P120">
        <v>17</v>
      </c>
      <c r="Q120" t="s">
        <v>64</v>
      </c>
      <c r="R120" t="s">
        <v>120</v>
      </c>
      <c r="S120" t="s">
        <v>23</v>
      </c>
      <c r="T120" t="s">
        <v>30</v>
      </c>
      <c r="U120" t="s">
        <v>124</v>
      </c>
    </row>
    <row r="121" spans="1:21" x14ac:dyDescent="0.3">
      <c r="A121">
        <v>830</v>
      </c>
      <c r="B121" s="1">
        <v>40581</v>
      </c>
      <c r="C121">
        <v>1</v>
      </c>
      <c r="D121">
        <v>0</v>
      </c>
      <c r="E121">
        <v>2</v>
      </c>
      <c r="F121">
        <v>0</v>
      </c>
      <c r="G121" t="b">
        <v>0</v>
      </c>
      <c r="H121">
        <v>1</v>
      </c>
      <c r="I121">
        <v>1</v>
      </c>
      <c r="J121">
        <v>0.24</v>
      </c>
      <c r="K121">
        <v>0.28789999999999999</v>
      </c>
      <c r="L121">
        <v>0.65</v>
      </c>
      <c r="M121">
        <v>0</v>
      </c>
      <c r="N121">
        <v>1</v>
      </c>
      <c r="O121">
        <v>14</v>
      </c>
      <c r="P121">
        <v>15</v>
      </c>
      <c r="Q121" t="s">
        <v>62</v>
      </c>
      <c r="R121" t="s">
        <v>120</v>
      </c>
      <c r="S121" t="s">
        <v>23</v>
      </c>
      <c r="T121" t="s">
        <v>29</v>
      </c>
      <c r="U121" t="s">
        <v>123</v>
      </c>
    </row>
    <row r="122" spans="1:21" x14ac:dyDescent="0.3">
      <c r="A122">
        <v>831</v>
      </c>
      <c r="B122" s="1">
        <v>40581</v>
      </c>
      <c r="C122">
        <v>1</v>
      </c>
      <c r="D122">
        <v>0</v>
      </c>
      <c r="E122">
        <v>2</v>
      </c>
      <c r="F122">
        <v>1</v>
      </c>
      <c r="G122" t="b">
        <v>0</v>
      </c>
      <c r="H122">
        <v>1</v>
      </c>
      <c r="I122">
        <v>1</v>
      </c>
      <c r="J122">
        <v>0.22</v>
      </c>
      <c r="K122">
        <v>0.2727</v>
      </c>
      <c r="L122">
        <v>0.75</v>
      </c>
      <c r="M122">
        <v>0</v>
      </c>
      <c r="N122">
        <v>1</v>
      </c>
      <c r="O122">
        <v>4</v>
      </c>
      <c r="P122">
        <v>5</v>
      </c>
      <c r="Q122" t="s">
        <v>62</v>
      </c>
      <c r="R122" t="s">
        <v>120</v>
      </c>
      <c r="S122" t="s">
        <v>23</v>
      </c>
      <c r="T122" t="s">
        <v>29</v>
      </c>
      <c r="U122" t="s">
        <v>123</v>
      </c>
    </row>
    <row r="123" spans="1:21" x14ac:dyDescent="0.3">
      <c r="A123">
        <v>832</v>
      </c>
      <c r="B123" s="1">
        <v>40581</v>
      </c>
      <c r="C123">
        <v>1</v>
      </c>
      <c r="D123">
        <v>0</v>
      </c>
      <c r="E123">
        <v>2</v>
      </c>
      <c r="F123">
        <v>2</v>
      </c>
      <c r="G123" t="b">
        <v>0</v>
      </c>
      <c r="H123">
        <v>1</v>
      </c>
      <c r="I123">
        <v>1</v>
      </c>
      <c r="J123">
        <v>0.2</v>
      </c>
      <c r="K123">
        <v>0.2576</v>
      </c>
      <c r="L123">
        <v>0.8</v>
      </c>
      <c r="M123">
        <v>0</v>
      </c>
      <c r="N123">
        <v>0</v>
      </c>
      <c r="O123">
        <v>3</v>
      </c>
      <c r="P123">
        <v>3</v>
      </c>
      <c r="Q123" t="s">
        <v>62</v>
      </c>
      <c r="R123" t="s">
        <v>120</v>
      </c>
      <c r="S123" t="s">
        <v>23</v>
      </c>
      <c r="T123" t="s">
        <v>29</v>
      </c>
      <c r="U123" t="s">
        <v>123</v>
      </c>
    </row>
    <row r="124" spans="1:21" x14ac:dyDescent="0.3">
      <c r="A124">
        <v>833</v>
      </c>
      <c r="B124" s="1">
        <v>40581</v>
      </c>
      <c r="C124">
        <v>1</v>
      </c>
      <c r="D124">
        <v>0</v>
      </c>
      <c r="E124">
        <v>2</v>
      </c>
      <c r="F124">
        <v>3</v>
      </c>
      <c r="G124" t="b">
        <v>0</v>
      </c>
      <c r="H124">
        <v>1</v>
      </c>
      <c r="I124">
        <v>1</v>
      </c>
      <c r="J124">
        <v>0.2</v>
      </c>
      <c r="K124">
        <v>0.2576</v>
      </c>
      <c r="L124">
        <v>0.86</v>
      </c>
      <c r="M124">
        <v>0</v>
      </c>
      <c r="N124">
        <v>0</v>
      </c>
      <c r="O124">
        <v>1</v>
      </c>
      <c r="P124">
        <v>1</v>
      </c>
      <c r="Q124" t="s">
        <v>62</v>
      </c>
      <c r="R124" t="s">
        <v>120</v>
      </c>
      <c r="S124" t="s">
        <v>23</v>
      </c>
      <c r="T124" t="s">
        <v>29</v>
      </c>
      <c r="U124" t="s">
        <v>123</v>
      </c>
    </row>
    <row r="125" spans="1:21" x14ac:dyDescent="0.3">
      <c r="A125">
        <v>834</v>
      </c>
      <c r="B125" s="1">
        <v>40581</v>
      </c>
      <c r="C125">
        <v>1</v>
      </c>
      <c r="D125">
        <v>0</v>
      </c>
      <c r="E125">
        <v>2</v>
      </c>
      <c r="F125">
        <v>4</v>
      </c>
      <c r="G125" t="b">
        <v>0</v>
      </c>
      <c r="H125">
        <v>1</v>
      </c>
      <c r="I125">
        <v>1</v>
      </c>
      <c r="J125">
        <v>0.2</v>
      </c>
      <c r="K125">
        <v>0.2576</v>
      </c>
      <c r="L125">
        <v>0.86</v>
      </c>
      <c r="M125">
        <v>0</v>
      </c>
      <c r="N125">
        <v>1</v>
      </c>
      <c r="O125">
        <v>1</v>
      </c>
      <c r="P125">
        <v>2</v>
      </c>
      <c r="Q125" t="s">
        <v>62</v>
      </c>
      <c r="R125" t="s">
        <v>120</v>
      </c>
      <c r="S125" t="s">
        <v>23</v>
      </c>
      <c r="T125" t="s">
        <v>29</v>
      </c>
      <c r="U125" t="s">
        <v>123</v>
      </c>
    </row>
    <row r="126" spans="1:21" x14ac:dyDescent="0.3">
      <c r="A126">
        <v>835</v>
      </c>
      <c r="B126" s="1">
        <v>40581</v>
      </c>
      <c r="C126">
        <v>1</v>
      </c>
      <c r="D126">
        <v>0</v>
      </c>
      <c r="E126">
        <v>2</v>
      </c>
      <c r="F126">
        <v>5</v>
      </c>
      <c r="G126" t="b">
        <v>0</v>
      </c>
      <c r="H126">
        <v>1</v>
      </c>
      <c r="I126">
        <v>1</v>
      </c>
      <c r="J126">
        <v>0.2</v>
      </c>
      <c r="K126">
        <v>0.2576</v>
      </c>
      <c r="L126">
        <v>0.86</v>
      </c>
      <c r="M126">
        <v>0</v>
      </c>
      <c r="N126">
        <v>1</v>
      </c>
      <c r="O126">
        <v>9</v>
      </c>
      <c r="P126">
        <v>10</v>
      </c>
      <c r="Q126" t="s">
        <v>62</v>
      </c>
      <c r="R126" t="s">
        <v>120</v>
      </c>
      <c r="S126" t="s">
        <v>23</v>
      </c>
      <c r="T126" t="s">
        <v>29</v>
      </c>
      <c r="U126" t="s">
        <v>123</v>
      </c>
    </row>
    <row r="127" spans="1:21" x14ac:dyDescent="0.3">
      <c r="A127">
        <v>836</v>
      </c>
      <c r="B127" s="1">
        <v>40581</v>
      </c>
      <c r="C127">
        <v>1</v>
      </c>
      <c r="D127">
        <v>0</v>
      </c>
      <c r="E127">
        <v>2</v>
      </c>
      <c r="F127">
        <v>6</v>
      </c>
      <c r="G127" t="b">
        <v>0</v>
      </c>
      <c r="H127">
        <v>1</v>
      </c>
      <c r="I127">
        <v>1</v>
      </c>
      <c r="J127">
        <v>0.18</v>
      </c>
      <c r="K127">
        <v>0.2424</v>
      </c>
      <c r="L127">
        <v>0.93</v>
      </c>
      <c r="M127">
        <v>0</v>
      </c>
      <c r="N127">
        <v>1</v>
      </c>
      <c r="O127">
        <v>29</v>
      </c>
      <c r="P127">
        <v>30</v>
      </c>
      <c r="Q127" t="s">
        <v>62</v>
      </c>
      <c r="R127" t="s">
        <v>120</v>
      </c>
      <c r="S127" t="s">
        <v>23</v>
      </c>
      <c r="T127" t="s">
        <v>29</v>
      </c>
      <c r="U127" t="s">
        <v>123</v>
      </c>
    </row>
    <row r="128" spans="1:21" x14ac:dyDescent="0.3">
      <c r="A128">
        <v>837</v>
      </c>
      <c r="B128" s="1">
        <v>40581</v>
      </c>
      <c r="C128">
        <v>1</v>
      </c>
      <c r="D128">
        <v>0</v>
      </c>
      <c r="E128">
        <v>2</v>
      </c>
      <c r="F128">
        <v>7</v>
      </c>
      <c r="G128" t="b">
        <v>0</v>
      </c>
      <c r="H128">
        <v>1</v>
      </c>
      <c r="I128">
        <v>1</v>
      </c>
      <c r="J128">
        <v>0.18</v>
      </c>
      <c r="K128">
        <v>0.2424</v>
      </c>
      <c r="L128">
        <v>0.86</v>
      </c>
      <c r="M128">
        <v>0</v>
      </c>
      <c r="N128">
        <v>6</v>
      </c>
      <c r="O128">
        <v>89</v>
      </c>
      <c r="P128">
        <v>95</v>
      </c>
      <c r="Q128" t="s">
        <v>62</v>
      </c>
      <c r="R128" t="s">
        <v>120</v>
      </c>
      <c r="S128" t="s">
        <v>23</v>
      </c>
      <c r="T128" t="s">
        <v>29</v>
      </c>
      <c r="U128" t="s">
        <v>123</v>
      </c>
    </row>
    <row r="129" spans="1:21" x14ac:dyDescent="0.3">
      <c r="A129">
        <v>838</v>
      </c>
      <c r="B129" s="1">
        <v>40581</v>
      </c>
      <c r="C129">
        <v>1</v>
      </c>
      <c r="D129">
        <v>0</v>
      </c>
      <c r="E129">
        <v>2</v>
      </c>
      <c r="F129">
        <v>8</v>
      </c>
      <c r="G129" t="b">
        <v>0</v>
      </c>
      <c r="H129">
        <v>1</v>
      </c>
      <c r="I129">
        <v>2</v>
      </c>
      <c r="J129">
        <v>0.16</v>
      </c>
      <c r="K129">
        <v>0.2273</v>
      </c>
      <c r="L129">
        <v>1</v>
      </c>
      <c r="M129">
        <v>0</v>
      </c>
      <c r="N129">
        <v>7</v>
      </c>
      <c r="O129">
        <v>223</v>
      </c>
      <c r="P129">
        <v>230</v>
      </c>
      <c r="Q129" t="s">
        <v>64</v>
      </c>
      <c r="R129" t="s">
        <v>120</v>
      </c>
      <c r="S129" t="s">
        <v>23</v>
      </c>
      <c r="T129" t="s">
        <v>29</v>
      </c>
      <c r="U129" t="s">
        <v>124</v>
      </c>
    </row>
    <row r="130" spans="1:21" x14ac:dyDescent="0.3">
      <c r="A130">
        <v>839</v>
      </c>
      <c r="B130" s="1">
        <v>40581</v>
      </c>
      <c r="C130">
        <v>1</v>
      </c>
      <c r="D130">
        <v>0</v>
      </c>
      <c r="E130">
        <v>2</v>
      </c>
      <c r="F130">
        <v>9</v>
      </c>
      <c r="G130" t="b">
        <v>0</v>
      </c>
      <c r="H130">
        <v>1</v>
      </c>
      <c r="I130">
        <v>1</v>
      </c>
      <c r="J130">
        <v>0.22</v>
      </c>
      <c r="K130">
        <v>0.2727</v>
      </c>
      <c r="L130">
        <v>0.8</v>
      </c>
      <c r="M130">
        <v>0</v>
      </c>
      <c r="N130">
        <v>3</v>
      </c>
      <c r="O130">
        <v>115</v>
      </c>
      <c r="P130">
        <v>118</v>
      </c>
      <c r="Q130" t="s">
        <v>62</v>
      </c>
      <c r="R130" t="s">
        <v>120</v>
      </c>
      <c r="S130" t="s">
        <v>23</v>
      </c>
      <c r="T130" t="s">
        <v>29</v>
      </c>
      <c r="U130" t="s">
        <v>123</v>
      </c>
    </row>
    <row r="131" spans="1:21" x14ac:dyDescent="0.3">
      <c r="A131">
        <v>840</v>
      </c>
      <c r="B131" s="1">
        <v>40581</v>
      </c>
      <c r="C131">
        <v>1</v>
      </c>
      <c r="D131">
        <v>0</v>
      </c>
      <c r="E131">
        <v>2</v>
      </c>
      <c r="F131">
        <v>10</v>
      </c>
      <c r="G131" t="b">
        <v>0</v>
      </c>
      <c r="H131">
        <v>1</v>
      </c>
      <c r="I131">
        <v>1</v>
      </c>
      <c r="J131">
        <v>0.24</v>
      </c>
      <c r="K131">
        <v>0.2576</v>
      </c>
      <c r="L131">
        <v>0.75</v>
      </c>
      <c r="M131">
        <v>0.1045</v>
      </c>
      <c r="N131">
        <v>6</v>
      </c>
      <c r="O131">
        <v>49</v>
      </c>
      <c r="P131">
        <v>55</v>
      </c>
      <c r="Q131" t="s">
        <v>62</v>
      </c>
      <c r="R131" t="s">
        <v>120</v>
      </c>
      <c r="S131" t="s">
        <v>23</v>
      </c>
      <c r="T131" t="s">
        <v>29</v>
      </c>
      <c r="U131" t="s">
        <v>123</v>
      </c>
    </row>
    <row r="132" spans="1:21" x14ac:dyDescent="0.3">
      <c r="A132">
        <v>841</v>
      </c>
      <c r="B132" s="1">
        <v>40581</v>
      </c>
      <c r="C132">
        <v>1</v>
      </c>
      <c r="D132">
        <v>0</v>
      </c>
      <c r="E132">
        <v>2</v>
      </c>
      <c r="F132">
        <v>11</v>
      </c>
      <c r="G132" t="b">
        <v>0</v>
      </c>
      <c r="H132">
        <v>1</v>
      </c>
      <c r="I132">
        <v>1</v>
      </c>
      <c r="J132">
        <v>0.3</v>
      </c>
      <c r="K132">
        <v>0.31819999999999998</v>
      </c>
      <c r="L132">
        <v>0.65</v>
      </c>
      <c r="M132">
        <v>8.9599999999999999E-2</v>
      </c>
      <c r="N132">
        <v>11</v>
      </c>
      <c r="O132">
        <v>36</v>
      </c>
      <c r="P132">
        <v>47</v>
      </c>
      <c r="Q132" t="s">
        <v>62</v>
      </c>
      <c r="R132" t="s">
        <v>120</v>
      </c>
      <c r="S132" t="s">
        <v>23</v>
      </c>
      <c r="T132" t="s">
        <v>29</v>
      </c>
      <c r="U132" t="s">
        <v>123</v>
      </c>
    </row>
    <row r="133" spans="1:21" x14ac:dyDescent="0.3">
      <c r="A133">
        <v>842</v>
      </c>
      <c r="B133" s="1">
        <v>40581</v>
      </c>
      <c r="C133">
        <v>1</v>
      </c>
      <c r="D133">
        <v>0</v>
      </c>
      <c r="E133">
        <v>2</v>
      </c>
      <c r="F133">
        <v>12</v>
      </c>
      <c r="G133" t="b">
        <v>0</v>
      </c>
      <c r="H133">
        <v>1</v>
      </c>
      <c r="I133">
        <v>2</v>
      </c>
      <c r="J133">
        <v>0.32</v>
      </c>
      <c r="K133">
        <v>0.34849999999999998</v>
      </c>
      <c r="L133">
        <v>0.62</v>
      </c>
      <c r="M133">
        <v>0</v>
      </c>
      <c r="N133">
        <v>7</v>
      </c>
      <c r="O133">
        <v>59</v>
      </c>
      <c r="P133">
        <v>66</v>
      </c>
      <c r="Q133" t="s">
        <v>64</v>
      </c>
      <c r="R133" t="s">
        <v>120</v>
      </c>
      <c r="S133" t="s">
        <v>23</v>
      </c>
      <c r="T133" t="s">
        <v>29</v>
      </c>
      <c r="U133" t="s">
        <v>124</v>
      </c>
    </row>
    <row r="134" spans="1:21" x14ac:dyDescent="0.3">
      <c r="A134">
        <v>843</v>
      </c>
      <c r="B134" s="1">
        <v>40581</v>
      </c>
      <c r="C134">
        <v>1</v>
      </c>
      <c r="D134">
        <v>0</v>
      </c>
      <c r="E134">
        <v>2</v>
      </c>
      <c r="F134">
        <v>13</v>
      </c>
      <c r="G134" t="b">
        <v>0</v>
      </c>
      <c r="H134">
        <v>1</v>
      </c>
      <c r="I134">
        <v>2</v>
      </c>
      <c r="J134">
        <v>0.36</v>
      </c>
      <c r="K134">
        <v>0.36359999999999998</v>
      </c>
      <c r="L134">
        <v>0.56999999999999995</v>
      </c>
      <c r="M134">
        <v>8.9599999999999999E-2</v>
      </c>
      <c r="N134">
        <v>10</v>
      </c>
      <c r="O134">
        <v>54</v>
      </c>
      <c r="P134">
        <v>64</v>
      </c>
      <c r="Q134" t="s">
        <v>64</v>
      </c>
      <c r="R134" t="s">
        <v>120</v>
      </c>
      <c r="S134" t="s">
        <v>23</v>
      </c>
      <c r="T134" t="s">
        <v>29</v>
      </c>
      <c r="U134" t="s">
        <v>124</v>
      </c>
    </row>
    <row r="135" spans="1:21" x14ac:dyDescent="0.3">
      <c r="A135">
        <v>844</v>
      </c>
      <c r="B135" s="1">
        <v>40581</v>
      </c>
      <c r="C135">
        <v>1</v>
      </c>
      <c r="D135">
        <v>0</v>
      </c>
      <c r="E135">
        <v>2</v>
      </c>
      <c r="F135">
        <v>14</v>
      </c>
      <c r="G135" t="b">
        <v>0</v>
      </c>
      <c r="H135">
        <v>1</v>
      </c>
      <c r="I135">
        <v>2</v>
      </c>
      <c r="J135">
        <v>0.36</v>
      </c>
      <c r="K135">
        <v>0.36359999999999998</v>
      </c>
      <c r="L135">
        <v>0.56999999999999995</v>
      </c>
      <c r="M135">
        <v>8.9599999999999999E-2</v>
      </c>
      <c r="N135">
        <v>8</v>
      </c>
      <c r="O135">
        <v>52</v>
      </c>
      <c r="P135">
        <v>60</v>
      </c>
      <c r="Q135" t="s">
        <v>64</v>
      </c>
      <c r="R135" t="s">
        <v>120</v>
      </c>
      <c r="S135" t="s">
        <v>23</v>
      </c>
      <c r="T135" t="s">
        <v>29</v>
      </c>
      <c r="U135" t="s">
        <v>124</v>
      </c>
    </row>
    <row r="136" spans="1:21" x14ac:dyDescent="0.3">
      <c r="A136">
        <v>845</v>
      </c>
      <c r="B136" s="1">
        <v>40581</v>
      </c>
      <c r="C136">
        <v>1</v>
      </c>
      <c r="D136">
        <v>0</v>
      </c>
      <c r="E136">
        <v>2</v>
      </c>
      <c r="F136">
        <v>15</v>
      </c>
      <c r="G136" t="b">
        <v>0</v>
      </c>
      <c r="H136">
        <v>1</v>
      </c>
      <c r="I136">
        <v>2</v>
      </c>
      <c r="J136">
        <v>0.38</v>
      </c>
      <c r="K136">
        <v>0.39389999999999997</v>
      </c>
      <c r="L136">
        <v>0.54</v>
      </c>
      <c r="M136">
        <v>8.9599999999999999E-2</v>
      </c>
      <c r="N136">
        <v>4</v>
      </c>
      <c r="O136">
        <v>46</v>
      </c>
      <c r="P136">
        <v>50</v>
      </c>
      <c r="Q136" t="s">
        <v>64</v>
      </c>
      <c r="R136" t="s">
        <v>120</v>
      </c>
      <c r="S136" t="s">
        <v>23</v>
      </c>
      <c r="T136" t="s">
        <v>29</v>
      </c>
      <c r="U136" t="s">
        <v>124</v>
      </c>
    </row>
    <row r="137" spans="1:21" x14ac:dyDescent="0.3">
      <c r="A137">
        <v>846</v>
      </c>
      <c r="B137" s="1">
        <v>40581</v>
      </c>
      <c r="C137">
        <v>1</v>
      </c>
      <c r="D137">
        <v>0</v>
      </c>
      <c r="E137">
        <v>2</v>
      </c>
      <c r="F137">
        <v>16</v>
      </c>
      <c r="G137" t="b">
        <v>0</v>
      </c>
      <c r="H137">
        <v>1</v>
      </c>
      <c r="I137">
        <v>2</v>
      </c>
      <c r="J137">
        <v>0.36</v>
      </c>
      <c r="K137">
        <v>0.34849999999999998</v>
      </c>
      <c r="L137">
        <v>0.56999999999999995</v>
      </c>
      <c r="M137">
        <v>0.1343</v>
      </c>
      <c r="N137">
        <v>16</v>
      </c>
      <c r="O137">
        <v>98</v>
      </c>
      <c r="P137">
        <v>114</v>
      </c>
      <c r="Q137" t="s">
        <v>64</v>
      </c>
      <c r="R137" t="s">
        <v>120</v>
      </c>
      <c r="S137" t="s">
        <v>23</v>
      </c>
      <c r="T137" t="s">
        <v>29</v>
      </c>
      <c r="U137" t="s">
        <v>124</v>
      </c>
    </row>
    <row r="138" spans="1:21" x14ac:dyDescent="0.3">
      <c r="A138">
        <v>847</v>
      </c>
      <c r="B138" s="1">
        <v>40581</v>
      </c>
      <c r="C138">
        <v>1</v>
      </c>
      <c r="D138">
        <v>0</v>
      </c>
      <c r="E138">
        <v>2</v>
      </c>
      <c r="F138">
        <v>17</v>
      </c>
      <c r="G138" t="b">
        <v>0</v>
      </c>
      <c r="H138">
        <v>1</v>
      </c>
      <c r="I138">
        <v>2</v>
      </c>
      <c r="J138">
        <v>0.32</v>
      </c>
      <c r="K138">
        <v>0.31819999999999998</v>
      </c>
      <c r="L138">
        <v>0.7</v>
      </c>
      <c r="M138">
        <v>0.16420000000000001</v>
      </c>
      <c r="N138">
        <v>9</v>
      </c>
      <c r="O138">
        <v>207</v>
      </c>
      <c r="P138">
        <v>216</v>
      </c>
      <c r="Q138" t="s">
        <v>64</v>
      </c>
      <c r="R138" t="s">
        <v>120</v>
      </c>
      <c r="S138" t="s">
        <v>23</v>
      </c>
      <c r="T138" t="s">
        <v>29</v>
      </c>
      <c r="U138" t="s">
        <v>124</v>
      </c>
    </row>
    <row r="139" spans="1:21" x14ac:dyDescent="0.3">
      <c r="A139">
        <v>848</v>
      </c>
      <c r="B139" s="1">
        <v>40581</v>
      </c>
      <c r="C139">
        <v>1</v>
      </c>
      <c r="D139">
        <v>0</v>
      </c>
      <c r="E139">
        <v>2</v>
      </c>
      <c r="F139">
        <v>18</v>
      </c>
      <c r="G139" t="b">
        <v>0</v>
      </c>
      <c r="H139">
        <v>1</v>
      </c>
      <c r="I139">
        <v>2</v>
      </c>
      <c r="J139">
        <v>0.34</v>
      </c>
      <c r="K139">
        <v>0.33329999999999999</v>
      </c>
      <c r="L139">
        <v>0.66</v>
      </c>
      <c r="M139">
        <v>0.1343</v>
      </c>
      <c r="N139">
        <v>5</v>
      </c>
      <c r="O139">
        <v>170</v>
      </c>
      <c r="P139">
        <v>175</v>
      </c>
      <c r="Q139" t="s">
        <v>64</v>
      </c>
      <c r="R139" t="s">
        <v>120</v>
      </c>
      <c r="S139" t="s">
        <v>23</v>
      </c>
      <c r="T139" t="s">
        <v>29</v>
      </c>
      <c r="U139" t="s">
        <v>124</v>
      </c>
    </row>
    <row r="140" spans="1:21" x14ac:dyDescent="0.3">
      <c r="A140">
        <v>849</v>
      </c>
      <c r="B140" s="1">
        <v>40581</v>
      </c>
      <c r="C140">
        <v>1</v>
      </c>
      <c r="D140">
        <v>0</v>
      </c>
      <c r="E140">
        <v>2</v>
      </c>
      <c r="F140">
        <v>19</v>
      </c>
      <c r="G140" t="b">
        <v>0</v>
      </c>
      <c r="H140">
        <v>1</v>
      </c>
      <c r="I140">
        <v>2</v>
      </c>
      <c r="J140">
        <v>0.32</v>
      </c>
      <c r="K140">
        <v>0.34849999999999998</v>
      </c>
      <c r="L140">
        <v>0.7</v>
      </c>
      <c r="M140">
        <v>0</v>
      </c>
      <c r="N140">
        <v>5</v>
      </c>
      <c r="O140">
        <v>123</v>
      </c>
      <c r="P140">
        <v>128</v>
      </c>
      <c r="Q140" t="s">
        <v>64</v>
      </c>
      <c r="R140" t="s">
        <v>120</v>
      </c>
      <c r="S140" t="s">
        <v>23</v>
      </c>
      <c r="T140" t="s">
        <v>29</v>
      </c>
      <c r="U140" t="s">
        <v>124</v>
      </c>
    </row>
    <row r="141" spans="1:21" x14ac:dyDescent="0.3">
      <c r="A141">
        <v>850</v>
      </c>
      <c r="B141" s="1">
        <v>40581</v>
      </c>
      <c r="C141">
        <v>1</v>
      </c>
      <c r="D141">
        <v>0</v>
      </c>
      <c r="E141">
        <v>2</v>
      </c>
      <c r="F141">
        <v>20</v>
      </c>
      <c r="G141" t="b">
        <v>0</v>
      </c>
      <c r="H141">
        <v>1</v>
      </c>
      <c r="I141">
        <v>2</v>
      </c>
      <c r="J141">
        <v>0.32</v>
      </c>
      <c r="K141">
        <v>0.33329999999999999</v>
      </c>
      <c r="L141">
        <v>0.7</v>
      </c>
      <c r="M141">
        <v>0.1045</v>
      </c>
      <c r="N141">
        <v>6</v>
      </c>
      <c r="O141">
        <v>82</v>
      </c>
      <c r="P141">
        <v>88</v>
      </c>
      <c r="Q141" t="s">
        <v>64</v>
      </c>
      <c r="R141" t="s">
        <v>120</v>
      </c>
      <c r="S141" t="s">
        <v>23</v>
      </c>
      <c r="T141" t="s">
        <v>29</v>
      </c>
      <c r="U141" t="s">
        <v>124</v>
      </c>
    </row>
    <row r="142" spans="1:21" x14ac:dyDescent="0.3">
      <c r="A142">
        <v>851</v>
      </c>
      <c r="B142" s="1">
        <v>40581</v>
      </c>
      <c r="C142">
        <v>1</v>
      </c>
      <c r="D142">
        <v>0</v>
      </c>
      <c r="E142">
        <v>2</v>
      </c>
      <c r="F142">
        <v>21</v>
      </c>
      <c r="G142" t="b">
        <v>0</v>
      </c>
      <c r="H142">
        <v>1</v>
      </c>
      <c r="I142">
        <v>1</v>
      </c>
      <c r="J142">
        <v>0.32</v>
      </c>
      <c r="K142">
        <v>0.34849999999999998</v>
      </c>
      <c r="L142">
        <v>0.7</v>
      </c>
      <c r="M142">
        <v>0</v>
      </c>
      <c r="N142">
        <v>3</v>
      </c>
      <c r="O142">
        <v>75</v>
      </c>
      <c r="P142">
        <v>78</v>
      </c>
      <c r="Q142" t="s">
        <v>62</v>
      </c>
      <c r="R142" t="s">
        <v>120</v>
      </c>
      <c r="S142" t="s">
        <v>23</v>
      </c>
      <c r="T142" t="s">
        <v>29</v>
      </c>
      <c r="U142" t="s">
        <v>123</v>
      </c>
    </row>
    <row r="143" spans="1:21" x14ac:dyDescent="0.3">
      <c r="A143">
        <v>852</v>
      </c>
      <c r="B143" s="1">
        <v>40581</v>
      </c>
      <c r="C143">
        <v>1</v>
      </c>
      <c r="D143">
        <v>0</v>
      </c>
      <c r="E143">
        <v>2</v>
      </c>
      <c r="F143">
        <v>22</v>
      </c>
      <c r="G143" t="b">
        <v>0</v>
      </c>
      <c r="H143">
        <v>1</v>
      </c>
      <c r="I143">
        <v>1</v>
      </c>
      <c r="J143">
        <v>0.28000000000000003</v>
      </c>
      <c r="K143">
        <v>0.30299999999999999</v>
      </c>
      <c r="L143">
        <v>0.81</v>
      </c>
      <c r="M143">
        <v>8.9599999999999999E-2</v>
      </c>
      <c r="N143">
        <v>3</v>
      </c>
      <c r="O143">
        <v>34</v>
      </c>
      <c r="P143">
        <v>37</v>
      </c>
      <c r="Q143" t="s">
        <v>62</v>
      </c>
      <c r="R143" t="s">
        <v>120</v>
      </c>
      <c r="S143" t="s">
        <v>23</v>
      </c>
      <c r="T143" t="s">
        <v>29</v>
      </c>
      <c r="U143" t="s">
        <v>123</v>
      </c>
    </row>
    <row r="144" spans="1:21" x14ac:dyDescent="0.3">
      <c r="A144">
        <v>853</v>
      </c>
      <c r="B144" s="1">
        <v>40581</v>
      </c>
      <c r="C144">
        <v>1</v>
      </c>
      <c r="D144">
        <v>0</v>
      </c>
      <c r="E144">
        <v>2</v>
      </c>
      <c r="F144">
        <v>23</v>
      </c>
      <c r="G144" t="b">
        <v>0</v>
      </c>
      <c r="H144">
        <v>1</v>
      </c>
      <c r="I144">
        <v>2</v>
      </c>
      <c r="J144">
        <v>0.3</v>
      </c>
      <c r="K144">
        <v>0.33329999999999999</v>
      </c>
      <c r="L144">
        <v>0.81</v>
      </c>
      <c r="M144">
        <v>0</v>
      </c>
      <c r="N144">
        <v>6</v>
      </c>
      <c r="O144">
        <v>19</v>
      </c>
      <c r="P144">
        <v>25</v>
      </c>
      <c r="Q144" t="s">
        <v>64</v>
      </c>
      <c r="R144" t="s">
        <v>120</v>
      </c>
      <c r="S144" t="s">
        <v>23</v>
      </c>
      <c r="T144" t="s">
        <v>29</v>
      </c>
      <c r="U144" t="s">
        <v>124</v>
      </c>
    </row>
    <row r="145" spans="1:21" x14ac:dyDescent="0.3">
      <c r="A145">
        <v>993</v>
      </c>
      <c r="B145" s="1">
        <v>40588</v>
      </c>
      <c r="C145">
        <v>1</v>
      </c>
      <c r="D145">
        <v>0</v>
      </c>
      <c r="E145">
        <v>2</v>
      </c>
      <c r="F145">
        <v>0</v>
      </c>
      <c r="G145" t="b">
        <v>0</v>
      </c>
      <c r="H145">
        <v>1</v>
      </c>
      <c r="I145">
        <v>1</v>
      </c>
      <c r="J145">
        <v>0.38</v>
      </c>
      <c r="K145">
        <v>0.39389999999999997</v>
      </c>
      <c r="L145">
        <v>0.37</v>
      </c>
      <c r="M145">
        <v>0.35820000000000002</v>
      </c>
      <c r="N145">
        <v>3</v>
      </c>
      <c r="O145">
        <v>8</v>
      </c>
      <c r="P145">
        <v>11</v>
      </c>
      <c r="Q145" t="s">
        <v>62</v>
      </c>
      <c r="R145" t="s">
        <v>120</v>
      </c>
      <c r="S145" t="s">
        <v>23</v>
      </c>
      <c r="T145" t="s">
        <v>29</v>
      </c>
      <c r="U145" t="s">
        <v>123</v>
      </c>
    </row>
    <row r="146" spans="1:21" x14ac:dyDescent="0.3">
      <c r="A146">
        <v>994</v>
      </c>
      <c r="B146" s="1">
        <v>40588</v>
      </c>
      <c r="C146">
        <v>1</v>
      </c>
      <c r="D146">
        <v>0</v>
      </c>
      <c r="E146">
        <v>2</v>
      </c>
      <c r="F146">
        <v>1</v>
      </c>
      <c r="G146" t="b">
        <v>0</v>
      </c>
      <c r="H146">
        <v>1</v>
      </c>
      <c r="I146">
        <v>1</v>
      </c>
      <c r="J146">
        <v>0.38</v>
      </c>
      <c r="K146">
        <v>0.39389999999999997</v>
      </c>
      <c r="L146">
        <v>0.37</v>
      </c>
      <c r="M146">
        <v>0.35820000000000002</v>
      </c>
      <c r="N146">
        <v>1</v>
      </c>
      <c r="O146">
        <v>6</v>
      </c>
      <c r="P146">
        <v>7</v>
      </c>
      <c r="Q146" t="s">
        <v>62</v>
      </c>
      <c r="R146" t="s">
        <v>120</v>
      </c>
      <c r="S146" t="s">
        <v>23</v>
      </c>
      <c r="T146" t="s">
        <v>29</v>
      </c>
      <c r="U146" t="s">
        <v>123</v>
      </c>
    </row>
    <row r="147" spans="1:21" x14ac:dyDescent="0.3">
      <c r="A147">
        <v>995</v>
      </c>
      <c r="B147" s="1">
        <v>40588</v>
      </c>
      <c r="C147">
        <v>1</v>
      </c>
      <c r="D147">
        <v>0</v>
      </c>
      <c r="E147">
        <v>2</v>
      </c>
      <c r="F147">
        <v>2</v>
      </c>
      <c r="G147" t="b">
        <v>0</v>
      </c>
      <c r="H147">
        <v>1</v>
      </c>
      <c r="I147">
        <v>1</v>
      </c>
      <c r="J147">
        <v>0.36</v>
      </c>
      <c r="K147">
        <v>0.33329999999999999</v>
      </c>
      <c r="L147">
        <v>0.4</v>
      </c>
      <c r="M147">
        <v>0.29849999999999999</v>
      </c>
      <c r="N147">
        <v>0</v>
      </c>
      <c r="O147">
        <v>2</v>
      </c>
      <c r="P147">
        <v>2</v>
      </c>
      <c r="Q147" t="s">
        <v>62</v>
      </c>
      <c r="R147" t="s">
        <v>120</v>
      </c>
      <c r="S147" t="s">
        <v>23</v>
      </c>
      <c r="T147" t="s">
        <v>29</v>
      </c>
      <c r="U147" t="s">
        <v>123</v>
      </c>
    </row>
    <row r="148" spans="1:21" x14ac:dyDescent="0.3">
      <c r="A148">
        <v>996</v>
      </c>
      <c r="B148" s="1">
        <v>40588</v>
      </c>
      <c r="C148">
        <v>1</v>
      </c>
      <c r="D148">
        <v>0</v>
      </c>
      <c r="E148">
        <v>2</v>
      </c>
      <c r="F148">
        <v>3</v>
      </c>
      <c r="G148" t="b">
        <v>0</v>
      </c>
      <c r="H148">
        <v>1</v>
      </c>
      <c r="I148">
        <v>1</v>
      </c>
      <c r="J148">
        <v>0.34</v>
      </c>
      <c r="K148">
        <v>0.31819999999999998</v>
      </c>
      <c r="L148">
        <v>0.46</v>
      </c>
      <c r="M148">
        <v>0.22389999999999999</v>
      </c>
      <c r="N148">
        <v>1</v>
      </c>
      <c r="O148">
        <v>1</v>
      </c>
      <c r="P148">
        <v>2</v>
      </c>
      <c r="Q148" t="s">
        <v>62</v>
      </c>
      <c r="R148" t="s">
        <v>120</v>
      </c>
      <c r="S148" t="s">
        <v>23</v>
      </c>
      <c r="T148" t="s">
        <v>29</v>
      </c>
      <c r="U148" t="s">
        <v>123</v>
      </c>
    </row>
    <row r="149" spans="1:21" x14ac:dyDescent="0.3">
      <c r="A149">
        <v>997</v>
      </c>
      <c r="B149" s="1">
        <v>40588</v>
      </c>
      <c r="C149">
        <v>1</v>
      </c>
      <c r="D149">
        <v>0</v>
      </c>
      <c r="E149">
        <v>2</v>
      </c>
      <c r="F149">
        <v>4</v>
      </c>
      <c r="G149" t="b">
        <v>0</v>
      </c>
      <c r="H149">
        <v>1</v>
      </c>
      <c r="I149">
        <v>1</v>
      </c>
      <c r="J149">
        <v>0.32</v>
      </c>
      <c r="K149">
        <v>0.30299999999999999</v>
      </c>
      <c r="L149">
        <v>0.53</v>
      </c>
      <c r="M149">
        <v>0.28360000000000002</v>
      </c>
      <c r="N149">
        <v>0</v>
      </c>
      <c r="O149">
        <v>2</v>
      </c>
      <c r="P149">
        <v>2</v>
      </c>
      <c r="Q149" t="s">
        <v>62</v>
      </c>
      <c r="R149" t="s">
        <v>120</v>
      </c>
      <c r="S149" t="s">
        <v>23</v>
      </c>
      <c r="T149" t="s">
        <v>29</v>
      </c>
      <c r="U149" t="s">
        <v>123</v>
      </c>
    </row>
    <row r="150" spans="1:21" x14ac:dyDescent="0.3">
      <c r="A150">
        <v>998</v>
      </c>
      <c r="B150" s="1">
        <v>40588</v>
      </c>
      <c r="C150">
        <v>1</v>
      </c>
      <c r="D150">
        <v>0</v>
      </c>
      <c r="E150">
        <v>2</v>
      </c>
      <c r="F150">
        <v>5</v>
      </c>
      <c r="G150" t="b">
        <v>0</v>
      </c>
      <c r="H150">
        <v>1</v>
      </c>
      <c r="I150">
        <v>1</v>
      </c>
      <c r="J150">
        <v>0.32</v>
      </c>
      <c r="K150">
        <v>0.30299999999999999</v>
      </c>
      <c r="L150">
        <v>0.53</v>
      </c>
      <c r="M150">
        <v>0.28360000000000002</v>
      </c>
      <c r="N150">
        <v>0</v>
      </c>
      <c r="O150">
        <v>3</v>
      </c>
      <c r="P150">
        <v>3</v>
      </c>
      <c r="Q150" t="s">
        <v>62</v>
      </c>
      <c r="R150" t="s">
        <v>120</v>
      </c>
      <c r="S150" t="s">
        <v>23</v>
      </c>
      <c r="T150" t="s">
        <v>29</v>
      </c>
      <c r="U150" t="s">
        <v>123</v>
      </c>
    </row>
    <row r="151" spans="1:21" x14ac:dyDescent="0.3">
      <c r="A151">
        <v>999</v>
      </c>
      <c r="B151" s="1">
        <v>40588</v>
      </c>
      <c r="C151">
        <v>1</v>
      </c>
      <c r="D151">
        <v>0</v>
      </c>
      <c r="E151">
        <v>2</v>
      </c>
      <c r="F151">
        <v>6</v>
      </c>
      <c r="G151" t="b">
        <v>0</v>
      </c>
      <c r="H151">
        <v>1</v>
      </c>
      <c r="I151">
        <v>1</v>
      </c>
      <c r="J151">
        <v>0.34</v>
      </c>
      <c r="K151">
        <v>0.30299999999999999</v>
      </c>
      <c r="L151">
        <v>0.46</v>
      </c>
      <c r="M151">
        <v>0.29849999999999999</v>
      </c>
      <c r="N151">
        <v>1</v>
      </c>
      <c r="O151">
        <v>25</v>
      </c>
      <c r="P151">
        <v>26</v>
      </c>
      <c r="Q151" t="s">
        <v>62</v>
      </c>
      <c r="R151" t="s">
        <v>120</v>
      </c>
      <c r="S151" t="s">
        <v>23</v>
      </c>
      <c r="T151" t="s">
        <v>29</v>
      </c>
      <c r="U151" t="s">
        <v>123</v>
      </c>
    </row>
    <row r="152" spans="1:21" x14ac:dyDescent="0.3">
      <c r="A152">
        <v>1000</v>
      </c>
      <c r="B152" s="1">
        <v>40588</v>
      </c>
      <c r="C152">
        <v>1</v>
      </c>
      <c r="D152">
        <v>0</v>
      </c>
      <c r="E152">
        <v>2</v>
      </c>
      <c r="F152">
        <v>7</v>
      </c>
      <c r="G152" t="b">
        <v>0</v>
      </c>
      <c r="H152">
        <v>1</v>
      </c>
      <c r="I152">
        <v>1</v>
      </c>
      <c r="J152">
        <v>0.34</v>
      </c>
      <c r="K152">
        <v>0.30299999999999999</v>
      </c>
      <c r="L152">
        <v>0.46</v>
      </c>
      <c r="M152">
        <v>0.29849999999999999</v>
      </c>
      <c r="N152">
        <v>2</v>
      </c>
      <c r="O152">
        <v>96</v>
      </c>
      <c r="P152">
        <v>98</v>
      </c>
      <c r="Q152" t="s">
        <v>62</v>
      </c>
      <c r="R152" t="s">
        <v>120</v>
      </c>
      <c r="S152" t="s">
        <v>23</v>
      </c>
      <c r="T152" t="s">
        <v>29</v>
      </c>
      <c r="U152" t="s">
        <v>123</v>
      </c>
    </row>
    <row r="153" spans="1:21" x14ac:dyDescent="0.3">
      <c r="A153">
        <v>70</v>
      </c>
      <c r="B153" s="1">
        <v>40547</v>
      </c>
      <c r="C153">
        <v>1</v>
      </c>
      <c r="D153">
        <v>0</v>
      </c>
      <c r="E153">
        <v>1</v>
      </c>
      <c r="F153">
        <v>0</v>
      </c>
      <c r="G153" t="b">
        <v>0</v>
      </c>
      <c r="H153">
        <v>2</v>
      </c>
      <c r="I153">
        <v>1</v>
      </c>
      <c r="J153">
        <v>0.16</v>
      </c>
      <c r="L153">
        <v>0.55000000000000004</v>
      </c>
      <c r="M153">
        <v>0.1045</v>
      </c>
      <c r="N153">
        <v>0</v>
      </c>
      <c r="O153">
        <v>5</v>
      </c>
      <c r="P153">
        <v>5</v>
      </c>
      <c r="Q153" t="s">
        <v>62</v>
      </c>
      <c r="R153" t="s">
        <v>120</v>
      </c>
      <c r="S153" t="s">
        <v>27</v>
      </c>
      <c r="T153" t="s">
        <v>30</v>
      </c>
      <c r="U153" t="s">
        <v>123</v>
      </c>
    </row>
    <row r="154" spans="1:21" x14ac:dyDescent="0.3">
      <c r="A154">
        <v>71</v>
      </c>
      <c r="B154" s="1">
        <v>40547</v>
      </c>
      <c r="C154">
        <v>1</v>
      </c>
      <c r="D154">
        <v>0</v>
      </c>
      <c r="E154">
        <v>1</v>
      </c>
      <c r="F154">
        <v>1</v>
      </c>
      <c r="G154" t="b">
        <v>0</v>
      </c>
      <c r="H154">
        <v>2</v>
      </c>
      <c r="I154">
        <v>1</v>
      </c>
      <c r="J154">
        <v>0.16</v>
      </c>
      <c r="K154">
        <v>0.18179999999999999</v>
      </c>
      <c r="L154">
        <v>0.59</v>
      </c>
      <c r="M154">
        <v>0.1045</v>
      </c>
      <c r="N154">
        <v>0</v>
      </c>
      <c r="O154">
        <v>2</v>
      </c>
      <c r="P154">
        <v>2</v>
      </c>
      <c r="Q154" t="s">
        <v>62</v>
      </c>
      <c r="R154" t="s">
        <v>120</v>
      </c>
      <c r="S154" t="s">
        <v>27</v>
      </c>
      <c r="T154" t="s">
        <v>30</v>
      </c>
      <c r="U154" t="s">
        <v>123</v>
      </c>
    </row>
    <row r="155" spans="1:21" x14ac:dyDescent="0.3">
      <c r="A155">
        <v>72</v>
      </c>
      <c r="B155" s="1">
        <v>40547</v>
      </c>
      <c r="C155">
        <v>1</v>
      </c>
      <c r="D155">
        <v>0</v>
      </c>
      <c r="E155">
        <v>1</v>
      </c>
      <c r="F155">
        <v>2</v>
      </c>
      <c r="G155" t="b">
        <v>0</v>
      </c>
      <c r="H155">
        <v>2</v>
      </c>
      <c r="I155">
        <v>1</v>
      </c>
      <c r="J155">
        <v>0.14000000000000001</v>
      </c>
      <c r="K155">
        <v>0.1515</v>
      </c>
      <c r="L155">
        <v>0.63</v>
      </c>
      <c r="M155">
        <v>0.1343</v>
      </c>
      <c r="N155">
        <v>0</v>
      </c>
      <c r="O155">
        <v>1</v>
      </c>
      <c r="P155">
        <v>1</v>
      </c>
      <c r="Q155" t="s">
        <v>62</v>
      </c>
      <c r="R155" t="s">
        <v>120</v>
      </c>
      <c r="S155" t="s">
        <v>27</v>
      </c>
      <c r="T155" t="s">
        <v>30</v>
      </c>
      <c r="U155" t="s">
        <v>123</v>
      </c>
    </row>
    <row r="156" spans="1:21" x14ac:dyDescent="0.3">
      <c r="A156">
        <v>73</v>
      </c>
      <c r="B156" s="1">
        <v>40547</v>
      </c>
      <c r="C156">
        <v>1</v>
      </c>
      <c r="D156">
        <v>0</v>
      </c>
      <c r="E156">
        <v>1</v>
      </c>
      <c r="F156">
        <v>4</v>
      </c>
      <c r="G156" t="b">
        <v>0</v>
      </c>
      <c r="H156">
        <v>2</v>
      </c>
      <c r="I156">
        <v>1</v>
      </c>
      <c r="J156">
        <v>0.14000000000000001</v>
      </c>
      <c r="K156">
        <v>0.18179999999999999</v>
      </c>
      <c r="L156">
        <v>0.63</v>
      </c>
      <c r="M156">
        <v>8.9599999999999999E-2</v>
      </c>
      <c r="N156">
        <v>0</v>
      </c>
      <c r="O156">
        <v>2</v>
      </c>
      <c r="P156">
        <v>2</v>
      </c>
      <c r="Q156" t="s">
        <v>62</v>
      </c>
      <c r="R156" t="s">
        <v>120</v>
      </c>
      <c r="S156" t="s">
        <v>27</v>
      </c>
      <c r="T156" t="s">
        <v>30</v>
      </c>
      <c r="U156" t="s">
        <v>123</v>
      </c>
    </row>
    <row r="157" spans="1:21" x14ac:dyDescent="0.3">
      <c r="A157">
        <v>74</v>
      </c>
      <c r="B157" s="1">
        <v>40547</v>
      </c>
      <c r="C157">
        <v>1</v>
      </c>
      <c r="D157">
        <v>0</v>
      </c>
      <c r="E157">
        <v>1</v>
      </c>
      <c r="F157">
        <v>5</v>
      </c>
      <c r="G157" t="b">
        <v>0</v>
      </c>
      <c r="H157">
        <v>2</v>
      </c>
      <c r="I157">
        <v>1</v>
      </c>
      <c r="J157">
        <v>0.12</v>
      </c>
      <c r="K157">
        <v>0.1515</v>
      </c>
      <c r="L157">
        <v>0.68</v>
      </c>
      <c r="M157">
        <v>0.1045</v>
      </c>
      <c r="N157">
        <v>0</v>
      </c>
      <c r="O157">
        <v>4</v>
      </c>
      <c r="P157">
        <v>4</v>
      </c>
      <c r="Q157" t="s">
        <v>62</v>
      </c>
      <c r="R157" t="s">
        <v>120</v>
      </c>
      <c r="S157" t="s">
        <v>27</v>
      </c>
      <c r="T157" t="s">
        <v>30</v>
      </c>
      <c r="U157" t="s">
        <v>123</v>
      </c>
    </row>
    <row r="158" spans="1:21" x14ac:dyDescent="0.3">
      <c r="A158">
        <v>75</v>
      </c>
      <c r="B158" s="1">
        <v>40547</v>
      </c>
      <c r="C158">
        <v>1</v>
      </c>
      <c r="D158">
        <v>0</v>
      </c>
      <c r="E158">
        <v>1</v>
      </c>
      <c r="F158">
        <v>6</v>
      </c>
      <c r="G158" t="b">
        <v>0</v>
      </c>
      <c r="H158">
        <v>2</v>
      </c>
      <c r="I158">
        <v>1</v>
      </c>
      <c r="J158">
        <v>0.12</v>
      </c>
      <c r="K158">
        <v>0.1515</v>
      </c>
      <c r="L158">
        <v>0.74</v>
      </c>
      <c r="M158">
        <v>0.1045</v>
      </c>
      <c r="N158">
        <v>0</v>
      </c>
      <c r="O158">
        <v>36</v>
      </c>
      <c r="P158">
        <v>36</v>
      </c>
      <c r="Q158" t="s">
        <v>62</v>
      </c>
      <c r="R158" t="s">
        <v>120</v>
      </c>
      <c r="S158" t="s">
        <v>27</v>
      </c>
      <c r="T158" t="s">
        <v>30</v>
      </c>
      <c r="U158" t="s">
        <v>123</v>
      </c>
    </row>
    <row r="159" spans="1:21" x14ac:dyDescent="0.3">
      <c r="A159">
        <v>76</v>
      </c>
      <c r="B159" s="1">
        <v>40547</v>
      </c>
      <c r="C159">
        <v>1</v>
      </c>
      <c r="D159">
        <v>0</v>
      </c>
      <c r="E159">
        <v>1</v>
      </c>
      <c r="F159">
        <v>7</v>
      </c>
      <c r="G159" t="b">
        <v>0</v>
      </c>
      <c r="H159">
        <v>2</v>
      </c>
      <c r="I159">
        <v>1</v>
      </c>
      <c r="J159">
        <v>0.12</v>
      </c>
      <c r="K159">
        <v>0.1515</v>
      </c>
      <c r="L159">
        <v>0.74</v>
      </c>
      <c r="M159">
        <v>0.1343</v>
      </c>
      <c r="N159">
        <v>2</v>
      </c>
      <c r="O159">
        <v>92</v>
      </c>
      <c r="P159">
        <v>94</v>
      </c>
      <c r="Q159" t="s">
        <v>62</v>
      </c>
      <c r="R159" t="s">
        <v>120</v>
      </c>
      <c r="S159" t="s">
        <v>27</v>
      </c>
      <c r="T159" t="s">
        <v>30</v>
      </c>
      <c r="U159" t="s">
        <v>123</v>
      </c>
    </row>
    <row r="160" spans="1:21" x14ac:dyDescent="0.3">
      <c r="A160">
        <v>77</v>
      </c>
      <c r="B160" s="1">
        <v>40547</v>
      </c>
      <c r="C160">
        <v>1</v>
      </c>
      <c r="D160">
        <v>0</v>
      </c>
      <c r="E160">
        <v>1</v>
      </c>
      <c r="F160">
        <v>8</v>
      </c>
      <c r="G160" t="b">
        <v>0</v>
      </c>
      <c r="H160">
        <v>2</v>
      </c>
      <c r="I160">
        <v>1</v>
      </c>
      <c r="J160">
        <v>0.14000000000000001</v>
      </c>
      <c r="K160">
        <v>0.1515</v>
      </c>
      <c r="L160">
        <v>0.69</v>
      </c>
      <c r="M160">
        <v>0.16420000000000001</v>
      </c>
      <c r="N160">
        <v>2</v>
      </c>
      <c r="O160">
        <v>177</v>
      </c>
      <c r="P160">
        <v>179</v>
      </c>
      <c r="Q160" t="s">
        <v>62</v>
      </c>
      <c r="R160" t="s">
        <v>120</v>
      </c>
      <c r="S160" t="s">
        <v>27</v>
      </c>
      <c r="T160" t="s">
        <v>30</v>
      </c>
      <c r="U160" t="s">
        <v>123</v>
      </c>
    </row>
    <row r="161" spans="1:21" x14ac:dyDescent="0.3">
      <c r="A161">
        <v>78</v>
      </c>
      <c r="B161" s="1">
        <v>40547</v>
      </c>
      <c r="C161">
        <v>1</v>
      </c>
      <c r="D161">
        <v>0</v>
      </c>
      <c r="E161">
        <v>1</v>
      </c>
      <c r="F161">
        <v>9</v>
      </c>
      <c r="G161" t="b">
        <v>0</v>
      </c>
      <c r="H161">
        <v>2</v>
      </c>
      <c r="I161">
        <v>1</v>
      </c>
      <c r="J161">
        <v>0.16</v>
      </c>
      <c r="K161">
        <v>0.1515</v>
      </c>
      <c r="L161">
        <v>0.64</v>
      </c>
      <c r="M161">
        <v>0.22389999999999999</v>
      </c>
      <c r="N161">
        <v>2</v>
      </c>
      <c r="O161">
        <v>98</v>
      </c>
      <c r="P161">
        <v>100</v>
      </c>
      <c r="Q161" t="s">
        <v>62</v>
      </c>
      <c r="R161" t="s">
        <v>120</v>
      </c>
      <c r="S161" t="s">
        <v>27</v>
      </c>
      <c r="T161" t="s">
        <v>30</v>
      </c>
      <c r="U161" t="s">
        <v>123</v>
      </c>
    </row>
    <row r="162" spans="1:21" x14ac:dyDescent="0.3">
      <c r="A162">
        <v>79</v>
      </c>
      <c r="B162" s="1">
        <v>40547</v>
      </c>
      <c r="C162">
        <v>1</v>
      </c>
      <c r="D162">
        <v>0</v>
      </c>
      <c r="E162">
        <v>1</v>
      </c>
      <c r="F162">
        <v>10</v>
      </c>
      <c r="G162" t="b">
        <v>0</v>
      </c>
      <c r="H162">
        <v>2</v>
      </c>
      <c r="I162">
        <v>2</v>
      </c>
      <c r="J162">
        <v>0.16</v>
      </c>
      <c r="K162">
        <v>0.13639999999999999</v>
      </c>
      <c r="L162">
        <v>0.69</v>
      </c>
      <c r="M162">
        <v>0.32840000000000003</v>
      </c>
      <c r="N162">
        <v>5</v>
      </c>
      <c r="O162">
        <v>37</v>
      </c>
      <c r="P162">
        <v>42</v>
      </c>
      <c r="Q162" t="s">
        <v>64</v>
      </c>
      <c r="R162" t="s">
        <v>120</v>
      </c>
      <c r="S162" t="s">
        <v>27</v>
      </c>
      <c r="T162" t="s">
        <v>30</v>
      </c>
      <c r="U162" t="s">
        <v>124</v>
      </c>
    </row>
    <row r="163" spans="1:21" x14ac:dyDescent="0.3">
      <c r="A163">
        <v>80</v>
      </c>
      <c r="B163" s="1">
        <v>40547</v>
      </c>
      <c r="C163">
        <v>1</v>
      </c>
      <c r="D163">
        <v>0</v>
      </c>
      <c r="E163">
        <v>1</v>
      </c>
      <c r="F163">
        <v>11</v>
      </c>
      <c r="G163" t="b">
        <v>0</v>
      </c>
      <c r="H163">
        <v>2</v>
      </c>
      <c r="I163">
        <v>1</v>
      </c>
      <c r="J163">
        <v>0.22</v>
      </c>
      <c r="K163">
        <v>0.21210000000000001</v>
      </c>
      <c r="L163">
        <v>0.51</v>
      </c>
      <c r="M163">
        <v>0.29849999999999999</v>
      </c>
      <c r="N163">
        <v>7</v>
      </c>
      <c r="O163">
        <v>50</v>
      </c>
      <c r="P163">
        <v>57</v>
      </c>
      <c r="Q163" t="s">
        <v>62</v>
      </c>
      <c r="R163" t="s">
        <v>120</v>
      </c>
      <c r="S163" t="s">
        <v>27</v>
      </c>
      <c r="T163" t="s">
        <v>30</v>
      </c>
      <c r="U163" t="s">
        <v>123</v>
      </c>
    </row>
    <row r="164" spans="1:21" x14ac:dyDescent="0.3">
      <c r="A164">
        <v>81</v>
      </c>
      <c r="B164" s="1">
        <v>40547</v>
      </c>
      <c r="C164">
        <v>1</v>
      </c>
      <c r="D164">
        <v>0</v>
      </c>
      <c r="E164">
        <v>1</v>
      </c>
      <c r="F164">
        <v>12</v>
      </c>
      <c r="G164" t="b">
        <v>0</v>
      </c>
      <c r="H164">
        <v>2</v>
      </c>
      <c r="I164">
        <v>1</v>
      </c>
      <c r="J164">
        <v>0.22</v>
      </c>
      <c r="K164">
        <v>0.2273</v>
      </c>
      <c r="L164">
        <v>0.51</v>
      </c>
      <c r="M164">
        <v>0.16420000000000001</v>
      </c>
      <c r="N164">
        <v>12</v>
      </c>
      <c r="O164">
        <v>66</v>
      </c>
      <c r="P164">
        <v>78</v>
      </c>
      <c r="Q164" t="s">
        <v>62</v>
      </c>
      <c r="R164" t="s">
        <v>120</v>
      </c>
      <c r="S164" t="s">
        <v>27</v>
      </c>
      <c r="T164" t="s">
        <v>30</v>
      </c>
      <c r="U164" t="s">
        <v>123</v>
      </c>
    </row>
    <row r="165" spans="1:21" x14ac:dyDescent="0.3">
      <c r="A165">
        <v>82</v>
      </c>
      <c r="B165" s="1">
        <v>40547</v>
      </c>
      <c r="C165">
        <v>1</v>
      </c>
      <c r="D165">
        <v>0</v>
      </c>
      <c r="E165">
        <v>1</v>
      </c>
      <c r="F165">
        <v>13</v>
      </c>
      <c r="G165" t="b">
        <v>0</v>
      </c>
      <c r="H165">
        <v>2</v>
      </c>
      <c r="I165">
        <v>1</v>
      </c>
      <c r="J165">
        <v>0.24</v>
      </c>
      <c r="K165">
        <v>0.2273</v>
      </c>
      <c r="L165">
        <v>0.56000000000000005</v>
      </c>
      <c r="M165">
        <v>0.19400000000000001</v>
      </c>
      <c r="N165">
        <v>18</v>
      </c>
      <c r="O165">
        <v>79</v>
      </c>
      <c r="P165">
        <v>97</v>
      </c>
      <c r="Q165" t="s">
        <v>62</v>
      </c>
      <c r="R165" t="s">
        <v>120</v>
      </c>
      <c r="S165" t="s">
        <v>27</v>
      </c>
      <c r="T165" t="s">
        <v>30</v>
      </c>
      <c r="U165" t="s">
        <v>123</v>
      </c>
    </row>
    <row r="166" spans="1:21" x14ac:dyDescent="0.3">
      <c r="A166">
        <v>83</v>
      </c>
      <c r="B166" s="1">
        <v>40547</v>
      </c>
      <c r="C166">
        <v>1</v>
      </c>
      <c r="D166">
        <v>0</v>
      </c>
      <c r="E166">
        <v>1</v>
      </c>
      <c r="F166">
        <v>14</v>
      </c>
      <c r="G166" t="b">
        <v>0</v>
      </c>
      <c r="H166">
        <v>2</v>
      </c>
      <c r="I166">
        <v>1</v>
      </c>
      <c r="J166">
        <v>0.26</v>
      </c>
      <c r="K166">
        <v>0.2576</v>
      </c>
      <c r="L166">
        <v>0.52</v>
      </c>
      <c r="M166">
        <v>0.22389999999999999</v>
      </c>
      <c r="N166">
        <v>9</v>
      </c>
      <c r="O166">
        <v>54</v>
      </c>
      <c r="P166">
        <v>63</v>
      </c>
      <c r="Q166" t="s">
        <v>62</v>
      </c>
      <c r="R166" t="s">
        <v>120</v>
      </c>
      <c r="S166" t="s">
        <v>27</v>
      </c>
      <c r="T166" t="s">
        <v>30</v>
      </c>
      <c r="U166" t="s">
        <v>123</v>
      </c>
    </row>
    <row r="167" spans="1:21" x14ac:dyDescent="0.3">
      <c r="A167">
        <v>84</v>
      </c>
      <c r="B167" s="1">
        <v>40547</v>
      </c>
      <c r="C167">
        <v>1</v>
      </c>
      <c r="D167">
        <v>0</v>
      </c>
      <c r="E167">
        <v>1</v>
      </c>
      <c r="F167">
        <v>15</v>
      </c>
      <c r="G167" t="b">
        <v>0</v>
      </c>
      <c r="H167">
        <v>2</v>
      </c>
      <c r="I167">
        <v>1</v>
      </c>
      <c r="J167">
        <v>0.28000000000000003</v>
      </c>
      <c r="K167">
        <v>0.2727</v>
      </c>
      <c r="L167">
        <v>0.52</v>
      </c>
      <c r="M167">
        <v>0.25369999999999998</v>
      </c>
      <c r="N167">
        <v>17</v>
      </c>
      <c r="O167">
        <v>48</v>
      </c>
      <c r="P167">
        <v>65</v>
      </c>
      <c r="Q167" t="s">
        <v>62</v>
      </c>
      <c r="R167" t="s">
        <v>120</v>
      </c>
      <c r="S167" t="s">
        <v>27</v>
      </c>
      <c r="T167" t="s">
        <v>30</v>
      </c>
      <c r="U167" t="s">
        <v>123</v>
      </c>
    </row>
    <row r="168" spans="1:21" x14ac:dyDescent="0.3">
      <c r="A168">
        <v>85</v>
      </c>
      <c r="B168" s="1">
        <v>40547</v>
      </c>
      <c r="C168">
        <v>1</v>
      </c>
      <c r="D168">
        <v>0</v>
      </c>
      <c r="E168">
        <v>1</v>
      </c>
      <c r="F168">
        <v>16</v>
      </c>
      <c r="G168" t="b">
        <v>0</v>
      </c>
      <c r="H168">
        <v>2</v>
      </c>
      <c r="I168">
        <v>1</v>
      </c>
      <c r="J168">
        <v>0.3</v>
      </c>
      <c r="K168">
        <v>0.28789999999999999</v>
      </c>
      <c r="L168">
        <v>0.49</v>
      </c>
      <c r="M168">
        <v>0.25369999999999998</v>
      </c>
      <c r="N168">
        <v>15</v>
      </c>
      <c r="O168">
        <v>68</v>
      </c>
      <c r="P168">
        <v>83</v>
      </c>
      <c r="Q168" t="s">
        <v>62</v>
      </c>
      <c r="R168" t="s">
        <v>120</v>
      </c>
      <c r="S168" t="s">
        <v>27</v>
      </c>
      <c r="T168" t="s">
        <v>30</v>
      </c>
      <c r="U168" t="s">
        <v>123</v>
      </c>
    </row>
    <row r="169" spans="1:21" x14ac:dyDescent="0.3">
      <c r="A169">
        <v>86</v>
      </c>
      <c r="B169" s="1">
        <v>40547</v>
      </c>
      <c r="C169">
        <v>1</v>
      </c>
      <c r="D169">
        <v>0</v>
      </c>
      <c r="E169">
        <v>1</v>
      </c>
      <c r="F169">
        <v>17</v>
      </c>
      <c r="G169" t="b">
        <v>0</v>
      </c>
      <c r="H169">
        <v>2</v>
      </c>
      <c r="I169">
        <v>1</v>
      </c>
      <c r="J169">
        <v>0.28000000000000003</v>
      </c>
      <c r="K169">
        <v>0.2727</v>
      </c>
      <c r="L169">
        <v>0.48</v>
      </c>
      <c r="M169">
        <v>0.22389999999999999</v>
      </c>
      <c r="N169">
        <v>10</v>
      </c>
      <c r="O169">
        <v>202</v>
      </c>
      <c r="P169">
        <v>212</v>
      </c>
      <c r="Q169" t="s">
        <v>62</v>
      </c>
      <c r="R169" t="s">
        <v>120</v>
      </c>
      <c r="S169" t="s">
        <v>27</v>
      </c>
      <c r="T169" t="s">
        <v>30</v>
      </c>
      <c r="U169" t="s">
        <v>123</v>
      </c>
    </row>
    <row r="170" spans="1:21" x14ac:dyDescent="0.3">
      <c r="A170">
        <v>87</v>
      </c>
      <c r="B170" s="1">
        <v>40547</v>
      </c>
      <c r="C170">
        <v>1</v>
      </c>
      <c r="D170">
        <v>0</v>
      </c>
      <c r="E170">
        <v>1</v>
      </c>
      <c r="F170">
        <v>18</v>
      </c>
      <c r="G170" t="b">
        <v>0</v>
      </c>
      <c r="H170">
        <v>2</v>
      </c>
      <c r="I170">
        <v>1</v>
      </c>
      <c r="J170">
        <v>0.26</v>
      </c>
      <c r="K170">
        <v>0.2576</v>
      </c>
      <c r="L170">
        <v>0.48</v>
      </c>
      <c r="M170">
        <v>0.19400000000000001</v>
      </c>
      <c r="N170">
        <v>3</v>
      </c>
      <c r="O170">
        <v>179</v>
      </c>
      <c r="P170">
        <v>182</v>
      </c>
      <c r="Q170" t="s">
        <v>62</v>
      </c>
      <c r="R170" t="s">
        <v>120</v>
      </c>
      <c r="S170" t="s">
        <v>27</v>
      </c>
      <c r="T170" t="s">
        <v>30</v>
      </c>
      <c r="U170" t="s">
        <v>123</v>
      </c>
    </row>
    <row r="171" spans="1:21" x14ac:dyDescent="0.3">
      <c r="A171">
        <v>88</v>
      </c>
      <c r="B171" s="1">
        <v>40547</v>
      </c>
      <c r="C171">
        <v>1</v>
      </c>
      <c r="D171">
        <v>0</v>
      </c>
      <c r="E171">
        <v>1</v>
      </c>
      <c r="F171">
        <v>19</v>
      </c>
      <c r="G171" t="b">
        <v>0</v>
      </c>
      <c r="H171">
        <v>2</v>
      </c>
      <c r="I171">
        <v>1</v>
      </c>
      <c r="J171">
        <v>0.24</v>
      </c>
      <c r="K171">
        <v>0.2576</v>
      </c>
      <c r="L171">
        <v>0.48</v>
      </c>
      <c r="M171">
        <v>0.1045</v>
      </c>
      <c r="N171">
        <v>2</v>
      </c>
      <c r="O171">
        <v>110</v>
      </c>
      <c r="P171">
        <v>112</v>
      </c>
      <c r="Q171" t="s">
        <v>62</v>
      </c>
      <c r="R171" t="s">
        <v>120</v>
      </c>
      <c r="S171" t="s">
        <v>27</v>
      </c>
      <c r="T171" t="s">
        <v>30</v>
      </c>
      <c r="U171" t="s">
        <v>123</v>
      </c>
    </row>
    <row r="172" spans="1:21" x14ac:dyDescent="0.3">
      <c r="A172">
        <v>89</v>
      </c>
      <c r="B172" s="1">
        <v>40547</v>
      </c>
      <c r="C172">
        <v>1</v>
      </c>
      <c r="D172">
        <v>0</v>
      </c>
      <c r="E172">
        <v>1</v>
      </c>
      <c r="F172">
        <v>20</v>
      </c>
      <c r="G172" t="b">
        <v>0</v>
      </c>
      <c r="H172">
        <v>2</v>
      </c>
      <c r="I172">
        <v>1</v>
      </c>
      <c r="J172">
        <v>0.24</v>
      </c>
      <c r="K172">
        <v>0.2576</v>
      </c>
      <c r="L172">
        <v>0.48</v>
      </c>
      <c r="M172">
        <v>0.1045</v>
      </c>
      <c r="N172">
        <v>1</v>
      </c>
      <c r="O172">
        <v>53</v>
      </c>
      <c r="P172">
        <v>54</v>
      </c>
      <c r="Q172" t="s">
        <v>62</v>
      </c>
      <c r="R172" t="s">
        <v>120</v>
      </c>
      <c r="S172" t="s">
        <v>27</v>
      </c>
      <c r="T172" t="s">
        <v>30</v>
      </c>
      <c r="U172" t="s">
        <v>123</v>
      </c>
    </row>
    <row r="173" spans="1:21" x14ac:dyDescent="0.3">
      <c r="A173">
        <v>90</v>
      </c>
      <c r="B173" s="1">
        <v>40547</v>
      </c>
      <c r="C173">
        <v>1</v>
      </c>
      <c r="D173">
        <v>0</v>
      </c>
      <c r="E173">
        <v>1</v>
      </c>
      <c r="F173">
        <v>21</v>
      </c>
      <c r="G173" t="b">
        <v>0</v>
      </c>
      <c r="H173">
        <v>2</v>
      </c>
      <c r="I173">
        <v>1</v>
      </c>
      <c r="J173">
        <v>0.22</v>
      </c>
      <c r="K173">
        <v>0.2727</v>
      </c>
      <c r="L173">
        <v>0.64</v>
      </c>
      <c r="M173">
        <v>0</v>
      </c>
      <c r="N173">
        <v>0</v>
      </c>
      <c r="O173">
        <v>48</v>
      </c>
      <c r="P173">
        <v>48</v>
      </c>
      <c r="Q173" t="s">
        <v>62</v>
      </c>
      <c r="R173" t="s">
        <v>120</v>
      </c>
      <c r="S173" t="s">
        <v>27</v>
      </c>
      <c r="T173" t="s">
        <v>30</v>
      </c>
      <c r="U173" t="s">
        <v>123</v>
      </c>
    </row>
    <row r="174" spans="1:21" x14ac:dyDescent="0.3">
      <c r="A174">
        <v>91</v>
      </c>
      <c r="B174" s="1">
        <v>40547</v>
      </c>
      <c r="C174">
        <v>1</v>
      </c>
      <c r="D174">
        <v>0</v>
      </c>
      <c r="E174">
        <v>1</v>
      </c>
      <c r="F174">
        <v>22</v>
      </c>
      <c r="G174" t="b">
        <v>0</v>
      </c>
      <c r="H174">
        <v>2</v>
      </c>
      <c r="I174">
        <v>1</v>
      </c>
      <c r="J174">
        <v>0.22</v>
      </c>
      <c r="K174">
        <v>0.2576</v>
      </c>
      <c r="L174">
        <v>0.64</v>
      </c>
      <c r="M174">
        <v>8.9599999999999999E-2</v>
      </c>
      <c r="N174">
        <v>1</v>
      </c>
      <c r="O174">
        <v>34</v>
      </c>
      <c r="P174">
        <v>35</v>
      </c>
      <c r="Q174" t="s">
        <v>62</v>
      </c>
      <c r="R174" t="s">
        <v>120</v>
      </c>
      <c r="S174" t="s">
        <v>27</v>
      </c>
      <c r="T174" t="s">
        <v>30</v>
      </c>
      <c r="U174" t="s">
        <v>123</v>
      </c>
    </row>
    <row r="175" spans="1:21" x14ac:dyDescent="0.3">
      <c r="A175">
        <v>92</v>
      </c>
      <c r="B175" s="1">
        <v>40547</v>
      </c>
      <c r="C175">
        <v>1</v>
      </c>
      <c r="D175">
        <v>0</v>
      </c>
      <c r="E175">
        <v>1</v>
      </c>
      <c r="F175">
        <v>23</v>
      </c>
      <c r="G175" t="b">
        <v>0</v>
      </c>
      <c r="H175">
        <v>2</v>
      </c>
      <c r="I175">
        <v>1</v>
      </c>
      <c r="J175">
        <v>0.2</v>
      </c>
      <c r="K175">
        <v>0.2273</v>
      </c>
      <c r="L175">
        <v>0.69</v>
      </c>
      <c r="M175">
        <v>8.9599999999999999E-2</v>
      </c>
      <c r="N175">
        <v>2</v>
      </c>
      <c r="O175">
        <v>9</v>
      </c>
      <c r="P175">
        <v>11</v>
      </c>
      <c r="Q175" t="s">
        <v>62</v>
      </c>
      <c r="R175" t="s">
        <v>120</v>
      </c>
      <c r="S175" t="s">
        <v>27</v>
      </c>
      <c r="T175" t="s">
        <v>30</v>
      </c>
      <c r="U175" t="s">
        <v>123</v>
      </c>
    </row>
    <row r="176" spans="1:21" x14ac:dyDescent="0.3">
      <c r="A176">
        <v>234</v>
      </c>
      <c r="B176" s="1">
        <v>40554</v>
      </c>
      <c r="C176">
        <v>1</v>
      </c>
      <c r="D176">
        <v>0</v>
      </c>
      <c r="E176">
        <v>1</v>
      </c>
      <c r="F176">
        <v>0</v>
      </c>
      <c r="G176" t="b">
        <v>0</v>
      </c>
      <c r="H176">
        <v>2</v>
      </c>
      <c r="I176">
        <v>1</v>
      </c>
      <c r="J176">
        <v>0.14000000000000001</v>
      </c>
      <c r="K176">
        <v>0.16669999999999999</v>
      </c>
      <c r="L176">
        <v>0.59</v>
      </c>
      <c r="M176">
        <v>0.1045</v>
      </c>
      <c r="N176">
        <v>2</v>
      </c>
      <c r="O176">
        <v>10</v>
      </c>
      <c r="P176">
        <v>12</v>
      </c>
      <c r="Q176" t="s">
        <v>62</v>
      </c>
      <c r="R176" t="s">
        <v>120</v>
      </c>
      <c r="S176" t="s">
        <v>27</v>
      </c>
      <c r="T176" t="s">
        <v>30</v>
      </c>
      <c r="U176" t="s">
        <v>123</v>
      </c>
    </row>
    <row r="177" spans="1:21" x14ac:dyDescent="0.3">
      <c r="A177">
        <v>235</v>
      </c>
      <c r="B177" s="1">
        <v>40554</v>
      </c>
      <c r="C177">
        <v>1</v>
      </c>
      <c r="D177">
        <v>0</v>
      </c>
      <c r="E177">
        <v>1</v>
      </c>
      <c r="F177">
        <v>1</v>
      </c>
      <c r="G177" t="b">
        <v>0</v>
      </c>
      <c r="H177">
        <v>2</v>
      </c>
      <c r="I177">
        <v>1</v>
      </c>
      <c r="J177">
        <v>0.14000000000000001</v>
      </c>
      <c r="K177">
        <v>0.1515</v>
      </c>
      <c r="L177">
        <v>0.59</v>
      </c>
      <c r="M177">
        <v>0.16420000000000001</v>
      </c>
      <c r="N177">
        <v>0</v>
      </c>
      <c r="O177">
        <v>3</v>
      </c>
      <c r="P177">
        <v>3</v>
      </c>
      <c r="Q177" t="s">
        <v>62</v>
      </c>
      <c r="R177" t="s">
        <v>120</v>
      </c>
      <c r="S177" t="s">
        <v>27</v>
      </c>
      <c r="T177" t="s">
        <v>30</v>
      </c>
      <c r="U177" t="s">
        <v>123</v>
      </c>
    </row>
    <row r="178" spans="1:21" x14ac:dyDescent="0.3">
      <c r="A178">
        <v>236</v>
      </c>
      <c r="B178" s="1">
        <v>40554</v>
      </c>
      <c r="C178">
        <v>1</v>
      </c>
      <c r="D178">
        <v>0</v>
      </c>
      <c r="E178">
        <v>1</v>
      </c>
      <c r="F178">
        <v>2</v>
      </c>
      <c r="G178" t="b">
        <v>0</v>
      </c>
      <c r="H178">
        <v>2</v>
      </c>
      <c r="I178">
        <v>2</v>
      </c>
      <c r="J178">
        <v>0.16</v>
      </c>
      <c r="K178">
        <v>0.1515</v>
      </c>
      <c r="L178">
        <v>0.55000000000000004</v>
      </c>
      <c r="M178">
        <v>0.19400000000000001</v>
      </c>
      <c r="N178">
        <v>0</v>
      </c>
      <c r="O178">
        <v>3</v>
      </c>
      <c r="P178">
        <v>3</v>
      </c>
      <c r="Q178" t="s">
        <v>64</v>
      </c>
      <c r="R178" t="s">
        <v>120</v>
      </c>
      <c r="S178" t="s">
        <v>27</v>
      </c>
      <c r="T178" t="s">
        <v>30</v>
      </c>
      <c r="U178" t="s">
        <v>124</v>
      </c>
    </row>
    <row r="179" spans="1:21" x14ac:dyDescent="0.3">
      <c r="A179">
        <v>237</v>
      </c>
      <c r="B179" s="1">
        <v>40554</v>
      </c>
      <c r="C179">
        <v>1</v>
      </c>
      <c r="D179">
        <v>0</v>
      </c>
      <c r="E179">
        <v>1</v>
      </c>
      <c r="F179">
        <v>5</v>
      </c>
      <c r="G179" t="b">
        <v>0</v>
      </c>
      <c r="H179">
        <v>2</v>
      </c>
      <c r="I179">
        <v>2</v>
      </c>
      <c r="J179">
        <v>0.16</v>
      </c>
      <c r="K179">
        <v>0.18179999999999999</v>
      </c>
      <c r="L179">
        <v>0.55000000000000004</v>
      </c>
      <c r="M179">
        <v>0.1343</v>
      </c>
      <c r="N179">
        <v>0</v>
      </c>
      <c r="O179">
        <v>6</v>
      </c>
      <c r="P179">
        <v>6</v>
      </c>
      <c r="Q179" t="s">
        <v>64</v>
      </c>
      <c r="R179" t="s">
        <v>120</v>
      </c>
      <c r="S179" t="s">
        <v>27</v>
      </c>
      <c r="T179" t="s">
        <v>30</v>
      </c>
      <c r="U179" t="s">
        <v>124</v>
      </c>
    </row>
    <row r="180" spans="1:21" x14ac:dyDescent="0.3">
      <c r="A180">
        <v>238</v>
      </c>
      <c r="B180" s="1">
        <v>40554</v>
      </c>
      <c r="C180">
        <v>1</v>
      </c>
      <c r="D180">
        <v>0</v>
      </c>
      <c r="E180">
        <v>1</v>
      </c>
      <c r="F180">
        <v>6</v>
      </c>
      <c r="G180" t="b">
        <v>0</v>
      </c>
      <c r="H180">
        <v>2</v>
      </c>
      <c r="I180">
        <v>2</v>
      </c>
      <c r="J180">
        <v>0.16</v>
      </c>
      <c r="K180">
        <v>0.18179999999999999</v>
      </c>
      <c r="L180">
        <v>0.55000000000000004</v>
      </c>
      <c r="M180">
        <v>0.1343</v>
      </c>
      <c r="N180">
        <v>0</v>
      </c>
      <c r="O180">
        <v>27</v>
      </c>
      <c r="P180">
        <v>27</v>
      </c>
      <c r="Q180" t="s">
        <v>64</v>
      </c>
      <c r="R180" t="s">
        <v>120</v>
      </c>
      <c r="S180" t="s">
        <v>27</v>
      </c>
      <c r="T180" t="s">
        <v>30</v>
      </c>
      <c r="U180" t="s">
        <v>124</v>
      </c>
    </row>
    <row r="181" spans="1:21" x14ac:dyDescent="0.3">
      <c r="A181">
        <v>239</v>
      </c>
      <c r="B181" s="1">
        <v>40554</v>
      </c>
      <c r="C181">
        <v>1</v>
      </c>
      <c r="D181">
        <v>0</v>
      </c>
      <c r="E181">
        <v>1</v>
      </c>
      <c r="F181">
        <v>7</v>
      </c>
      <c r="G181" t="b">
        <v>0</v>
      </c>
      <c r="H181">
        <v>2</v>
      </c>
      <c r="I181">
        <v>2</v>
      </c>
      <c r="J181">
        <v>0.16</v>
      </c>
      <c r="K181">
        <v>0.2273</v>
      </c>
      <c r="L181">
        <v>0.55000000000000004</v>
      </c>
      <c r="M181">
        <v>0</v>
      </c>
      <c r="N181">
        <v>2</v>
      </c>
      <c r="O181">
        <v>97</v>
      </c>
      <c r="P181">
        <v>99</v>
      </c>
      <c r="Q181" t="s">
        <v>64</v>
      </c>
      <c r="R181" t="s">
        <v>120</v>
      </c>
      <c r="S181" t="s">
        <v>27</v>
      </c>
      <c r="T181" t="s">
        <v>30</v>
      </c>
      <c r="U181" t="s">
        <v>124</v>
      </c>
    </row>
    <row r="182" spans="1:21" x14ac:dyDescent="0.3">
      <c r="A182">
        <v>240</v>
      </c>
      <c r="B182" s="1">
        <v>40554</v>
      </c>
      <c r="C182">
        <v>1</v>
      </c>
      <c r="D182">
        <v>0</v>
      </c>
      <c r="E182">
        <v>1</v>
      </c>
      <c r="F182">
        <v>8</v>
      </c>
      <c r="G182" t="b">
        <v>0</v>
      </c>
      <c r="H182">
        <v>2</v>
      </c>
      <c r="I182">
        <v>2</v>
      </c>
      <c r="J182">
        <v>0.18</v>
      </c>
      <c r="K182">
        <v>0.21210000000000001</v>
      </c>
      <c r="L182">
        <v>0.51</v>
      </c>
      <c r="M182">
        <v>8.9599999999999999E-2</v>
      </c>
      <c r="N182">
        <v>3</v>
      </c>
      <c r="O182">
        <v>214</v>
      </c>
      <c r="P182">
        <v>217</v>
      </c>
      <c r="Q182" t="s">
        <v>64</v>
      </c>
      <c r="R182" t="s">
        <v>120</v>
      </c>
      <c r="S182" t="s">
        <v>27</v>
      </c>
      <c r="T182" t="s">
        <v>30</v>
      </c>
      <c r="U182" t="s">
        <v>124</v>
      </c>
    </row>
    <row r="183" spans="1:21" x14ac:dyDescent="0.3">
      <c r="A183">
        <v>241</v>
      </c>
      <c r="B183" s="1">
        <v>40554</v>
      </c>
      <c r="C183">
        <v>1</v>
      </c>
      <c r="D183">
        <v>0</v>
      </c>
      <c r="E183">
        <v>1</v>
      </c>
      <c r="F183">
        <v>9</v>
      </c>
      <c r="G183" t="b">
        <v>0</v>
      </c>
      <c r="H183">
        <v>2</v>
      </c>
      <c r="I183">
        <v>2</v>
      </c>
      <c r="J183">
        <v>0.18</v>
      </c>
      <c r="K183">
        <v>0.19700000000000001</v>
      </c>
      <c r="L183">
        <v>0.51</v>
      </c>
      <c r="M183">
        <v>0.16420000000000001</v>
      </c>
      <c r="N183">
        <v>3</v>
      </c>
      <c r="O183">
        <v>127</v>
      </c>
      <c r="P183">
        <v>130</v>
      </c>
      <c r="Q183" t="s">
        <v>64</v>
      </c>
      <c r="R183" t="s">
        <v>120</v>
      </c>
      <c r="S183" t="s">
        <v>27</v>
      </c>
      <c r="T183" t="s">
        <v>30</v>
      </c>
      <c r="U183" t="s">
        <v>124</v>
      </c>
    </row>
    <row r="184" spans="1:21" x14ac:dyDescent="0.3">
      <c r="A184">
        <v>242</v>
      </c>
      <c r="B184" s="1">
        <v>40554</v>
      </c>
      <c r="C184">
        <v>1</v>
      </c>
      <c r="D184">
        <v>0</v>
      </c>
      <c r="E184">
        <v>1</v>
      </c>
      <c r="F184">
        <v>10</v>
      </c>
      <c r="G184" t="b">
        <v>0</v>
      </c>
      <c r="H184">
        <v>2</v>
      </c>
      <c r="I184">
        <v>2</v>
      </c>
      <c r="J184">
        <v>0.2</v>
      </c>
      <c r="K184">
        <v>0.21210000000000001</v>
      </c>
      <c r="L184">
        <v>0.51</v>
      </c>
      <c r="M184">
        <v>0.16420000000000001</v>
      </c>
      <c r="N184">
        <v>3</v>
      </c>
      <c r="O184">
        <v>51</v>
      </c>
      <c r="P184">
        <v>54</v>
      </c>
      <c r="Q184" t="s">
        <v>64</v>
      </c>
      <c r="R184" t="s">
        <v>120</v>
      </c>
      <c r="S184" t="s">
        <v>27</v>
      </c>
      <c r="T184" t="s">
        <v>30</v>
      </c>
      <c r="U184" t="s">
        <v>124</v>
      </c>
    </row>
    <row r="185" spans="1:21" x14ac:dyDescent="0.3">
      <c r="A185">
        <v>243</v>
      </c>
      <c r="B185" s="1">
        <v>40554</v>
      </c>
      <c r="C185">
        <v>1</v>
      </c>
      <c r="D185">
        <v>0</v>
      </c>
      <c r="E185">
        <v>1</v>
      </c>
      <c r="F185">
        <v>11</v>
      </c>
      <c r="G185" t="b">
        <v>0</v>
      </c>
      <c r="H185">
        <v>2</v>
      </c>
      <c r="I185">
        <v>2</v>
      </c>
      <c r="J185">
        <v>0.2</v>
      </c>
      <c r="K185">
        <v>0.21210000000000001</v>
      </c>
      <c r="L185">
        <v>0.47</v>
      </c>
      <c r="M185">
        <v>0.1343</v>
      </c>
      <c r="N185">
        <v>4</v>
      </c>
      <c r="O185">
        <v>31</v>
      </c>
      <c r="P185">
        <v>35</v>
      </c>
      <c r="Q185" t="s">
        <v>64</v>
      </c>
      <c r="R185" t="s">
        <v>120</v>
      </c>
      <c r="S185" t="s">
        <v>27</v>
      </c>
      <c r="T185" t="s">
        <v>30</v>
      </c>
      <c r="U185" t="s">
        <v>124</v>
      </c>
    </row>
    <row r="186" spans="1:21" x14ac:dyDescent="0.3">
      <c r="A186">
        <v>244</v>
      </c>
      <c r="B186" s="1">
        <v>40554</v>
      </c>
      <c r="C186">
        <v>1</v>
      </c>
      <c r="D186">
        <v>0</v>
      </c>
      <c r="E186">
        <v>1</v>
      </c>
      <c r="F186">
        <v>12</v>
      </c>
      <c r="G186" t="b">
        <v>0</v>
      </c>
      <c r="H186">
        <v>2</v>
      </c>
      <c r="I186">
        <v>2</v>
      </c>
      <c r="J186">
        <v>0.2</v>
      </c>
      <c r="K186">
        <v>0.2273</v>
      </c>
      <c r="L186">
        <v>0.51</v>
      </c>
      <c r="M186">
        <v>0.1045</v>
      </c>
      <c r="N186">
        <v>2</v>
      </c>
      <c r="O186">
        <v>55</v>
      </c>
      <c r="P186">
        <v>57</v>
      </c>
      <c r="Q186" t="s">
        <v>64</v>
      </c>
      <c r="R186" t="s">
        <v>120</v>
      </c>
      <c r="S186" t="s">
        <v>27</v>
      </c>
      <c r="T186" t="s">
        <v>30</v>
      </c>
      <c r="U186" t="s">
        <v>124</v>
      </c>
    </row>
    <row r="187" spans="1:21" x14ac:dyDescent="0.3">
      <c r="A187">
        <v>245</v>
      </c>
      <c r="B187" s="1">
        <v>40554</v>
      </c>
      <c r="C187">
        <v>1</v>
      </c>
      <c r="D187">
        <v>0</v>
      </c>
      <c r="E187">
        <v>1</v>
      </c>
      <c r="F187">
        <v>13</v>
      </c>
      <c r="G187" t="b">
        <v>0</v>
      </c>
      <c r="H187">
        <v>2</v>
      </c>
      <c r="I187">
        <v>2</v>
      </c>
      <c r="J187">
        <v>0.2</v>
      </c>
      <c r="K187">
        <v>0.2273</v>
      </c>
      <c r="L187">
        <v>0.59</v>
      </c>
      <c r="M187">
        <v>8.9599999999999999E-2</v>
      </c>
      <c r="N187">
        <v>6</v>
      </c>
      <c r="O187">
        <v>46</v>
      </c>
      <c r="P187">
        <v>52</v>
      </c>
      <c r="Q187" t="s">
        <v>64</v>
      </c>
      <c r="R187" t="s">
        <v>120</v>
      </c>
      <c r="S187" t="s">
        <v>27</v>
      </c>
      <c r="T187" t="s">
        <v>30</v>
      </c>
      <c r="U187" t="s">
        <v>124</v>
      </c>
    </row>
    <row r="188" spans="1:21" x14ac:dyDescent="0.3">
      <c r="A188">
        <v>246</v>
      </c>
      <c r="B188" s="1">
        <v>40554</v>
      </c>
      <c r="C188">
        <v>1</v>
      </c>
      <c r="D188">
        <v>0</v>
      </c>
      <c r="E188">
        <v>1</v>
      </c>
      <c r="F188">
        <v>14</v>
      </c>
      <c r="G188" t="b">
        <v>0</v>
      </c>
      <c r="H188">
        <v>2</v>
      </c>
      <c r="I188">
        <v>2</v>
      </c>
      <c r="J188">
        <v>0.2</v>
      </c>
      <c r="K188">
        <v>0.2273</v>
      </c>
      <c r="L188">
        <v>0.59</v>
      </c>
      <c r="M188">
        <v>8.9599999999999999E-2</v>
      </c>
      <c r="N188">
        <v>3</v>
      </c>
      <c r="O188">
        <v>60</v>
      </c>
      <c r="P188">
        <v>63</v>
      </c>
      <c r="Q188" t="s">
        <v>64</v>
      </c>
      <c r="R188" t="s">
        <v>120</v>
      </c>
      <c r="S188" t="s">
        <v>27</v>
      </c>
      <c r="T188" t="s">
        <v>30</v>
      </c>
      <c r="U188" t="s">
        <v>124</v>
      </c>
    </row>
    <row r="189" spans="1:21" x14ac:dyDescent="0.3">
      <c r="A189">
        <v>247</v>
      </c>
      <c r="B189" s="1">
        <v>40554</v>
      </c>
      <c r="C189">
        <v>1</v>
      </c>
      <c r="D189">
        <v>0</v>
      </c>
      <c r="E189">
        <v>1</v>
      </c>
      <c r="F189">
        <v>15</v>
      </c>
      <c r="G189" t="b">
        <v>0</v>
      </c>
      <c r="H189">
        <v>2</v>
      </c>
      <c r="I189">
        <v>2</v>
      </c>
      <c r="J189">
        <v>0.16</v>
      </c>
      <c r="K189">
        <v>0.19700000000000001</v>
      </c>
      <c r="L189">
        <v>0.8</v>
      </c>
      <c r="M189">
        <v>8.9599999999999999E-2</v>
      </c>
      <c r="N189">
        <v>2</v>
      </c>
      <c r="O189">
        <v>45</v>
      </c>
      <c r="P189">
        <v>47</v>
      </c>
      <c r="Q189" t="s">
        <v>64</v>
      </c>
      <c r="R189" t="s">
        <v>120</v>
      </c>
      <c r="S189" t="s">
        <v>27</v>
      </c>
      <c r="T189" t="s">
        <v>30</v>
      </c>
      <c r="U189" t="s">
        <v>124</v>
      </c>
    </row>
    <row r="190" spans="1:21" x14ac:dyDescent="0.3">
      <c r="A190">
        <v>248</v>
      </c>
      <c r="B190" s="1">
        <v>40554</v>
      </c>
      <c r="C190">
        <v>1</v>
      </c>
      <c r="D190">
        <v>0</v>
      </c>
      <c r="E190">
        <v>1</v>
      </c>
      <c r="F190">
        <v>16</v>
      </c>
      <c r="G190" t="b">
        <v>0</v>
      </c>
      <c r="H190">
        <v>2</v>
      </c>
      <c r="I190">
        <v>2</v>
      </c>
      <c r="J190">
        <v>0.16</v>
      </c>
      <c r="K190">
        <v>0.1515</v>
      </c>
      <c r="L190">
        <v>0.86</v>
      </c>
      <c r="M190">
        <v>0.22389999999999999</v>
      </c>
      <c r="N190">
        <v>4</v>
      </c>
      <c r="O190">
        <v>72</v>
      </c>
      <c r="P190">
        <v>76</v>
      </c>
      <c r="Q190" t="s">
        <v>64</v>
      </c>
      <c r="R190" t="s">
        <v>120</v>
      </c>
      <c r="S190" t="s">
        <v>27</v>
      </c>
      <c r="T190" t="s">
        <v>30</v>
      </c>
      <c r="U190" t="s">
        <v>124</v>
      </c>
    </row>
    <row r="191" spans="1:21" x14ac:dyDescent="0.3">
      <c r="A191">
        <v>249</v>
      </c>
      <c r="B191" s="1">
        <v>40554</v>
      </c>
      <c r="C191">
        <v>1</v>
      </c>
      <c r="D191">
        <v>0</v>
      </c>
      <c r="E191">
        <v>1</v>
      </c>
      <c r="F191">
        <v>17</v>
      </c>
      <c r="G191" t="b">
        <v>0</v>
      </c>
      <c r="H191">
        <v>2</v>
      </c>
      <c r="I191">
        <v>2</v>
      </c>
      <c r="J191">
        <v>0.16</v>
      </c>
      <c r="K191">
        <v>0.1515</v>
      </c>
      <c r="L191">
        <v>0.86</v>
      </c>
      <c r="M191">
        <v>0.22389999999999999</v>
      </c>
      <c r="N191">
        <v>6</v>
      </c>
      <c r="O191">
        <v>130</v>
      </c>
      <c r="P191">
        <v>136</v>
      </c>
      <c r="Q191" t="s">
        <v>64</v>
      </c>
      <c r="R191" t="s">
        <v>120</v>
      </c>
      <c r="S191" t="s">
        <v>27</v>
      </c>
      <c r="T191" t="s">
        <v>30</v>
      </c>
      <c r="U191" t="s">
        <v>124</v>
      </c>
    </row>
    <row r="192" spans="1:21" x14ac:dyDescent="0.3">
      <c r="A192">
        <v>250</v>
      </c>
      <c r="B192" s="1">
        <v>40554</v>
      </c>
      <c r="C192">
        <v>1</v>
      </c>
      <c r="D192">
        <v>0</v>
      </c>
      <c r="E192">
        <v>1</v>
      </c>
      <c r="F192">
        <v>18</v>
      </c>
      <c r="G192" t="b">
        <v>0</v>
      </c>
      <c r="H192">
        <v>2</v>
      </c>
      <c r="I192">
        <v>3</v>
      </c>
      <c r="J192">
        <v>0.16</v>
      </c>
      <c r="K192">
        <v>0.18179999999999999</v>
      </c>
      <c r="L192">
        <v>0.93</v>
      </c>
      <c r="M192">
        <v>0.1045</v>
      </c>
      <c r="N192">
        <v>1</v>
      </c>
      <c r="O192">
        <v>94</v>
      </c>
      <c r="P192">
        <v>95</v>
      </c>
      <c r="Q192" t="s">
        <v>63</v>
      </c>
      <c r="R192" t="s">
        <v>120</v>
      </c>
      <c r="S192" t="s">
        <v>27</v>
      </c>
      <c r="T192" t="s">
        <v>30</v>
      </c>
      <c r="U192" t="s">
        <v>125</v>
      </c>
    </row>
    <row r="193" spans="1:21" x14ac:dyDescent="0.3">
      <c r="A193">
        <v>251</v>
      </c>
      <c r="B193" s="1">
        <v>40554</v>
      </c>
      <c r="C193">
        <v>1</v>
      </c>
      <c r="D193">
        <v>0</v>
      </c>
      <c r="E193">
        <v>1</v>
      </c>
      <c r="F193">
        <v>19</v>
      </c>
      <c r="G193" t="b">
        <v>0</v>
      </c>
      <c r="H193">
        <v>2</v>
      </c>
      <c r="I193">
        <v>3</v>
      </c>
      <c r="J193">
        <v>0.16</v>
      </c>
      <c r="K193">
        <v>0.2273</v>
      </c>
      <c r="L193">
        <v>0.93</v>
      </c>
      <c r="M193">
        <v>0</v>
      </c>
      <c r="N193">
        <v>0</v>
      </c>
      <c r="O193">
        <v>51</v>
      </c>
      <c r="P193">
        <v>51</v>
      </c>
      <c r="Q193" t="s">
        <v>63</v>
      </c>
      <c r="R193" t="s">
        <v>120</v>
      </c>
      <c r="S193" t="s">
        <v>27</v>
      </c>
      <c r="T193" t="s">
        <v>30</v>
      </c>
      <c r="U193" t="s">
        <v>125</v>
      </c>
    </row>
    <row r="194" spans="1:21" x14ac:dyDescent="0.3">
      <c r="A194">
        <v>252</v>
      </c>
      <c r="B194" s="1">
        <v>40554</v>
      </c>
      <c r="C194">
        <v>1</v>
      </c>
      <c r="D194">
        <v>0</v>
      </c>
      <c r="E194">
        <v>1</v>
      </c>
      <c r="F194">
        <v>20</v>
      </c>
      <c r="G194" t="b">
        <v>0</v>
      </c>
      <c r="H194">
        <v>2</v>
      </c>
      <c r="I194">
        <v>3</v>
      </c>
      <c r="J194">
        <v>0.16</v>
      </c>
      <c r="K194">
        <v>0.1515</v>
      </c>
      <c r="L194">
        <v>0.93</v>
      </c>
      <c r="M194">
        <v>0.19400000000000001</v>
      </c>
      <c r="N194">
        <v>0</v>
      </c>
      <c r="O194">
        <v>32</v>
      </c>
      <c r="P194">
        <v>32</v>
      </c>
      <c r="Q194" t="s">
        <v>63</v>
      </c>
      <c r="R194" t="s">
        <v>120</v>
      </c>
      <c r="S194" t="s">
        <v>27</v>
      </c>
      <c r="T194" t="s">
        <v>30</v>
      </c>
      <c r="U194" t="s">
        <v>125</v>
      </c>
    </row>
    <row r="195" spans="1:21" x14ac:dyDescent="0.3">
      <c r="A195">
        <v>253</v>
      </c>
      <c r="B195" s="1">
        <v>40554</v>
      </c>
      <c r="C195">
        <v>1</v>
      </c>
      <c r="D195">
        <v>0</v>
      </c>
      <c r="E195">
        <v>1</v>
      </c>
      <c r="F195">
        <v>21</v>
      </c>
      <c r="G195" t="b">
        <v>0</v>
      </c>
      <c r="H195">
        <v>2</v>
      </c>
      <c r="I195">
        <v>3</v>
      </c>
      <c r="J195">
        <v>0.16</v>
      </c>
      <c r="K195">
        <v>0.19700000000000001</v>
      </c>
      <c r="L195">
        <v>0.86</v>
      </c>
      <c r="M195">
        <v>8.9599999999999999E-2</v>
      </c>
      <c r="N195">
        <v>0</v>
      </c>
      <c r="O195">
        <v>20</v>
      </c>
      <c r="P195">
        <v>20</v>
      </c>
      <c r="Q195" t="s">
        <v>63</v>
      </c>
      <c r="R195" t="s">
        <v>120</v>
      </c>
      <c r="S195" t="s">
        <v>27</v>
      </c>
      <c r="T195" t="s">
        <v>30</v>
      </c>
      <c r="U195" t="s">
        <v>125</v>
      </c>
    </row>
    <row r="196" spans="1:21" x14ac:dyDescent="0.3">
      <c r="A196">
        <v>254</v>
      </c>
      <c r="B196" s="1">
        <v>40554</v>
      </c>
      <c r="C196">
        <v>1</v>
      </c>
      <c r="D196">
        <v>0</v>
      </c>
      <c r="E196">
        <v>1</v>
      </c>
      <c r="F196">
        <v>22</v>
      </c>
      <c r="G196" t="b">
        <v>0</v>
      </c>
      <c r="H196">
        <v>2</v>
      </c>
      <c r="I196">
        <v>3</v>
      </c>
      <c r="J196">
        <v>0.16</v>
      </c>
      <c r="K196">
        <v>0.18179999999999999</v>
      </c>
      <c r="L196">
        <v>0.93</v>
      </c>
      <c r="M196">
        <v>0.1045</v>
      </c>
      <c r="N196">
        <v>1</v>
      </c>
      <c r="O196">
        <v>28</v>
      </c>
      <c r="P196">
        <v>29</v>
      </c>
      <c r="Q196" t="s">
        <v>63</v>
      </c>
      <c r="R196" t="s">
        <v>120</v>
      </c>
      <c r="S196" t="s">
        <v>27</v>
      </c>
      <c r="T196" t="s">
        <v>30</v>
      </c>
      <c r="U196" t="s">
        <v>125</v>
      </c>
    </row>
    <row r="197" spans="1:21" x14ac:dyDescent="0.3">
      <c r="A197">
        <v>255</v>
      </c>
      <c r="B197" s="1">
        <v>40554</v>
      </c>
      <c r="C197">
        <v>1</v>
      </c>
      <c r="D197">
        <v>0</v>
      </c>
      <c r="E197">
        <v>1</v>
      </c>
      <c r="F197">
        <v>23</v>
      </c>
      <c r="G197" t="b">
        <v>0</v>
      </c>
      <c r="H197">
        <v>2</v>
      </c>
      <c r="I197">
        <v>3</v>
      </c>
      <c r="J197">
        <v>0.16</v>
      </c>
      <c r="K197">
        <v>0.19700000000000001</v>
      </c>
      <c r="L197">
        <v>0.93</v>
      </c>
      <c r="M197">
        <v>8.9599999999999999E-2</v>
      </c>
      <c r="N197">
        <v>1</v>
      </c>
      <c r="O197">
        <v>18</v>
      </c>
      <c r="P197">
        <v>19</v>
      </c>
      <c r="Q197" t="s">
        <v>63</v>
      </c>
      <c r="R197" t="s">
        <v>120</v>
      </c>
      <c r="S197" t="s">
        <v>27</v>
      </c>
      <c r="T197" t="s">
        <v>30</v>
      </c>
      <c r="U197" t="s">
        <v>125</v>
      </c>
    </row>
    <row r="198" spans="1:21" x14ac:dyDescent="0.3">
      <c r="A198">
        <v>397</v>
      </c>
      <c r="B198" s="1">
        <v>40561</v>
      </c>
      <c r="C198">
        <v>1</v>
      </c>
      <c r="D198">
        <v>0</v>
      </c>
      <c r="E198">
        <v>1</v>
      </c>
      <c r="F198">
        <v>12</v>
      </c>
      <c r="G198" t="b">
        <v>0</v>
      </c>
      <c r="H198">
        <v>2</v>
      </c>
      <c r="I198">
        <v>2</v>
      </c>
      <c r="J198">
        <v>0.2</v>
      </c>
      <c r="K198">
        <v>0.18179999999999999</v>
      </c>
      <c r="L198">
        <v>0.86</v>
      </c>
      <c r="M198">
        <v>0.32840000000000003</v>
      </c>
      <c r="N198">
        <v>0</v>
      </c>
      <c r="O198">
        <v>3</v>
      </c>
      <c r="P198">
        <v>3</v>
      </c>
      <c r="Q198" t="s">
        <v>64</v>
      </c>
      <c r="R198" t="s">
        <v>120</v>
      </c>
      <c r="S198" t="s">
        <v>27</v>
      </c>
      <c r="T198" t="s">
        <v>30</v>
      </c>
      <c r="U198" t="s">
        <v>124</v>
      </c>
    </row>
    <row r="199" spans="1:21" x14ac:dyDescent="0.3">
      <c r="A199">
        <v>398</v>
      </c>
      <c r="B199" s="1">
        <v>40561</v>
      </c>
      <c r="C199">
        <v>1</v>
      </c>
      <c r="D199">
        <v>0</v>
      </c>
      <c r="E199">
        <v>1</v>
      </c>
      <c r="F199">
        <v>13</v>
      </c>
      <c r="G199" t="b">
        <v>0</v>
      </c>
      <c r="H199">
        <v>2</v>
      </c>
      <c r="I199">
        <v>2</v>
      </c>
      <c r="J199">
        <v>0.2</v>
      </c>
      <c r="K199">
        <v>0.19700000000000001</v>
      </c>
      <c r="L199">
        <v>0.86</v>
      </c>
      <c r="M199">
        <v>0.22389999999999999</v>
      </c>
      <c r="N199">
        <v>0</v>
      </c>
      <c r="O199">
        <v>22</v>
      </c>
      <c r="P199">
        <v>22</v>
      </c>
      <c r="Q199" t="s">
        <v>64</v>
      </c>
      <c r="R199" t="s">
        <v>120</v>
      </c>
      <c r="S199" t="s">
        <v>27</v>
      </c>
      <c r="T199" t="s">
        <v>30</v>
      </c>
      <c r="U199" t="s">
        <v>124</v>
      </c>
    </row>
    <row r="200" spans="1:21" x14ac:dyDescent="0.3">
      <c r="A200">
        <v>399</v>
      </c>
      <c r="B200" s="1">
        <v>40561</v>
      </c>
      <c r="C200">
        <v>1</v>
      </c>
      <c r="D200">
        <v>0</v>
      </c>
      <c r="E200">
        <v>1</v>
      </c>
      <c r="F200">
        <v>14</v>
      </c>
      <c r="G200" t="b">
        <v>0</v>
      </c>
      <c r="H200">
        <v>2</v>
      </c>
      <c r="I200">
        <v>2</v>
      </c>
      <c r="J200">
        <v>0.22</v>
      </c>
      <c r="K200">
        <v>0.2273</v>
      </c>
      <c r="L200">
        <v>0.8</v>
      </c>
      <c r="M200">
        <v>0.16420000000000001</v>
      </c>
      <c r="N200">
        <v>2</v>
      </c>
      <c r="O200">
        <v>26</v>
      </c>
      <c r="P200">
        <v>28</v>
      </c>
      <c r="Q200" t="s">
        <v>64</v>
      </c>
      <c r="R200" t="s">
        <v>120</v>
      </c>
      <c r="S200" t="s">
        <v>27</v>
      </c>
      <c r="T200" t="s">
        <v>30</v>
      </c>
      <c r="U200" t="s">
        <v>124</v>
      </c>
    </row>
    <row r="201" spans="1:21" x14ac:dyDescent="0.3">
      <c r="A201">
        <v>400</v>
      </c>
      <c r="B201" s="1">
        <v>40561</v>
      </c>
      <c r="C201">
        <v>1</v>
      </c>
      <c r="D201">
        <v>0</v>
      </c>
      <c r="E201">
        <v>1</v>
      </c>
      <c r="F201">
        <v>15</v>
      </c>
      <c r="G201" t="b">
        <v>0</v>
      </c>
      <c r="H201">
        <v>2</v>
      </c>
      <c r="I201">
        <v>2</v>
      </c>
      <c r="J201">
        <v>0.22</v>
      </c>
      <c r="K201">
        <v>0.2273</v>
      </c>
      <c r="L201">
        <v>0.87</v>
      </c>
      <c r="M201">
        <v>0.16420000000000001</v>
      </c>
      <c r="N201">
        <v>3</v>
      </c>
      <c r="O201">
        <v>32</v>
      </c>
      <c r="P201">
        <v>35</v>
      </c>
      <c r="Q201" t="s">
        <v>64</v>
      </c>
      <c r="R201" t="s">
        <v>120</v>
      </c>
      <c r="S201" t="s">
        <v>27</v>
      </c>
      <c r="T201" t="s">
        <v>30</v>
      </c>
      <c r="U201" t="s">
        <v>124</v>
      </c>
    </row>
    <row r="202" spans="1:21" x14ac:dyDescent="0.3">
      <c r="A202">
        <v>401</v>
      </c>
      <c r="B202" s="1">
        <v>40561</v>
      </c>
      <c r="C202">
        <v>1</v>
      </c>
      <c r="D202">
        <v>0</v>
      </c>
      <c r="E202">
        <v>1</v>
      </c>
      <c r="F202">
        <v>16</v>
      </c>
      <c r="G202" t="b">
        <v>0</v>
      </c>
      <c r="H202">
        <v>2</v>
      </c>
      <c r="I202">
        <v>2</v>
      </c>
      <c r="J202">
        <v>0.22</v>
      </c>
      <c r="K202">
        <v>0.2273</v>
      </c>
      <c r="L202">
        <v>0.87</v>
      </c>
      <c r="M202">
        <v>0.19400000000000001</v>
      </c>
      <c r="N202">
        <v>0</v>
      </c>
      <c r="O202">
        <v>61</v>
      </c>
      <c r="P202">
        <v>61</v>
      </c>
      <c r="Q202" t="s">
        <v>64</v>
      </c>
      <c r="R202" t="s">
        <v>120</v>
      </c>
      <c r="S202" t="s">
        <v>27</v>
      </c>
      <c r="T202" t="s">
        <v>30</v>
      </c>
      <c r="U202" t="s">
        <v>124</v>
      </c>
    </row>
    <row r="203" spans="1:21" x14ac:dyDescent="0.3">
      <c r="A203">
        <v>402</v>
      </c>
      <c r="B203" s="1">
        <v>40561</v>
      </c>
      <c r="C203">
        <v>1</v>
      </c>
      <c r="D203">
        <v>0</v>
      </c>
      <c r="E203">
        <v>1</v>
      </c>
      <c r="F203">
        <v>17</v>
      </c>
      <c r="G203" t="b">
        <v>0</v>
      </c>
      <c r="H203">
        <v>2</v>
      </c>
      <c r="I203">
        <v>2</v>
      </c>
      <c r="J203">
        <v>0.22</v>
      </c>
      <c r="K203">
        <v>0.2273</v>
      </c>
      <c r="L203">
        <v>0.82</v>
      </c>
      <c r="M203">
        <v>0.19400000000000001</v>
      </c>
      <c r="N203">
        <v>1</v>
      </c>
      <c r="O203">
        <v>124</v>
      </c>
      <c r="P203">
        <v>125</v>
      </c>
      <c r="Q203" t="s">
        <v>64</v>
      </c>
      <c r="R203" t="s">
        <v>120</v>
      </c>
      <c r="S203" t="s">
        <v>27</v>
      </c>
      <c r="T203" t="s">
        <v>30</v>
      </c>
      <c r="U203" t="s">
        <v>124</v>
      </c>
    </row>
    <row r="204" spans="1:21" x14ac:dyDescent="0.3">
      <c r="A204">
        <v>403</v>
      </c>
      <c r="B204" s="1">
        <v>40561</v>
      </c>
      <c r="C204">
        <v>1</v>
      </c>
      <c r="D204">
        <v>0</v>
      </c>
      <c r="E204">
        <v>1</v>
      </c>
      <c r="F204">
        <v>18</v>
      </c>
      <c r="G204" t="b">
        <v>0</v>
      </c>
      <c r="H204">
        <v>2</v>
      </c>
      <c r="I204">
        <v>2</v>
      </c>
      <c r="J204">
        <v>0.22</v>
      </c>
      <c r="K204">
        <v>0.2273</v>
      </c>
      <c r="L204">
        <v>0.8</v>
      </c>
      <c r="M204">
        <v>0.16420000000000001</v>
      </c>
      <c r="N204">
        <v>1</v>
      </c>
      <c r="O204">
        <v>132</v>
      </c>
      <c r="P204">
        <v>133</v>
      </c>
      <c r="Q204" t="s">
        <v>64</v>
      </c>
      <c r="R204" t="s">
        <v>120</v>
      </c>
      <c r="S204" t="s">
        <v>27</v>
      </c>
      <c r="T204" t="s">
        <v>30</v>
      </c>
      <c r="U204" t="s">
        <v>124</v>
      </c>
    </row>
    <row r="205" spans="1:21" x14ac:dyDescent="0.3">
      <c r="A205">
        <v>404</v>
      </c>
      <c r="B205" s="1">
        <v>40561</v>
      </c>
      <c r="C205">
        <v>1</v>
      </c>
      <c r="D205">
        <v>0</v>
      </c>
      <c r="E205">
        <v>1</v>
      </c>
      <c r="F205">
        <v>19</v>
      </c>
      <c r="G205" t="b">
        <v>0</v>
      </c>
      <c r="H205">
        <v>2</v>
      </c>
      <c r="I205">
        <v>2</v>
      </c>
      <c r="J205">
        <v>0.22</v>
      </c>
      <c r="K205">
        <v>0.2273</v>
      </c>
      <c r="L205">
        <v>0.8</v>
      </c>
      <c r="M205">
        <v>0.1343</v>
      </c>
      <c r="N205">
        <v>1</v>
      </c>
      <c r="O205">
        <v>98</v>
      </c>
      <c r="P205">
        <v>99</v>
      </c>
      <c r="Q205" t="s">
        <v>64</v>
      </c>
      <c r="R205" t="s">
        <v>120</v>
      </c>
      <c r="S205" t="s">
        <v>27</v>
      </c>
      <c r="T205" t="s">
        <v>30</v>
      </c>
      <c r="U205" t="s">
        <v>124</v>
      </c>
    </row>
    <row r="206" spans="1:21" x14ac:dyDescent="0.3">
      <c r="A206">
        <v>405</v>
      </c>
      <c r="B206" s="1">
        <v>40561</v>
      </c>
      <c r="C206">
        <v>1</v>
      </c>
      <c r="D206">
        <v>0</v>
      </c>
      <c r="E206">
        <v>1</v>
      </c>
      <c r="F206">
        <v>20</v>
      </c>
      <c r="G206" t="b">
        <v>0</v>
      </c>
      <c r="H206">
        <v>2</v>
      </c>
      <c r="I206">
        <v>2</v>
      </c>
      <c r="J206">
        <v>0.22</v>
      </c>
      <c r="K206">
        <v>0.2727</v>
      </c>
      <c r="L206">
        <v>0.87</v>
      </c>
      <c r="M206">
        <v>0</v>
      </c>
      <c r="N206">
        <v>0</v>
      </c>
      <c r="O206">
        <v>83</v>
      </c>
      <c r="P206">
        <v>83</v>
      </c>
      <c r="Q206" t="s">
        <v>64</v>
      </c>
      <c r="R206" t="s">
        <v>120</v>
      </c>
      <c r="S206" t="s">
        <v>27</v>
      </c>
      <c r="T206" t="s">
        <v>30</v>
      </c>
      <c r="U206" t="s">
        <v>124</v>
      </c>
    </row>
    <row r="207" spans="1:21" x14ac:dyDescent="0.3">
      <c r="A207">
        <v>406</v>
      </c>
      <c r="B207" s="1">
        <v>40561</v>
      </c>
      <c r="C207">
        <v>1</v>
      </c>
      <c r="D207">
        <v>0</v>
      </c>
      <c r="E207">
        <v>1</v>
      </c>
      <c r="F207">
        <v>21</v>
      </c>
      <c r="G207" t="b">
        <v>0</v>
      </c>
      <c r="H207">
        <v>2</v>
      </c>
      <c r="I207">
        <v>2</v>
      </c>
      <c r="J207">
        <v>0.22</v>
      </c>
      <c r="K207">
        <v>0.2424</v>
      </c>
      <c r="L207">
        <v>0.93</v>
      </c>
      <c r="M207">
        <v>0.1045</v>
      </c>
      <c r="N207">
        <v>0</v>
      </c>
      <c r="O207">
        <v>41</v>
      </c>
      <c r="P207">
        <v>41</v>
      </c>
      <c r="Q207" t="s">
        <v>64</v>
      </c>
      <c r="R207" t="s">
        <v>120</v>
      </c>
      <c r="S207" t="s">
        <v>27</v>
      </c>
      <c r="T207" t="s">
        <v>30</v>
      </c>
      <c r="U207" t="s">
        <v>124</v>
      </c>
    </row>
    <row r="208" spans="1:21" x14ac:dyDescent="0.3">
      <c r="A208">
        <v>407</v>
      </c>
      <c r="B208" s="1">
        <v>40561</v>
      </c>
      <c r="C208">
        <v>1</v>
      </c>
      <c r="D208">
        <v>0</v>
      </c>
      <c r="E208">
        <v>1</v>
      </c>
      <c r="F208">
        <v>22</v>
      </c>
      <c r="G208" t="b">
        <v>0</v>
      </c>
      <c r="H208">
        <v>2</v>
      </c>
      <c r="I208">
        <v>2</v>
      </c>
      <c r="J208">
        <v>0.22</v>
      </c>
      <c r="K208">
        <v>0.2576</v>
      </c>
      <c r="L208">
        <v>0.93</v>
      </c>
      <c r="M208">
        <v>8.9599999999999999E-2</v>
      </c>
      <c r="N208">
        <v>0</v>
      </c>
      <c r="O208">
        <v>33</v>
      </c>
      <c r="P208">
        <v>33</v>
      </c>
      <c r="Q208" t="s">
        <v>64</v>
      </c>
      <c r="R208" t="s">
        <v>120</v>
      </c>
      <c r="S208" t="s">
        <v>27</v>
      </c>
      <c r="T208" t="s">
        <v>30</v>
      </c>
      <c r="U208" t="s">
        <v>124</v>
      </c>
    </row>
    <row r="209" spans="1:21" x14ac:dyDescent="0.3">
      <c r="A209">
        <v>408</v>
      </c>
      <c r="B209" s="1">
        <v>40561</v>
      </c>
      <c r="C209">
        <v>1</v>
      </c>
      <c r="D209">
        <v>0</v>
      </c>
      <c r="E209">
        <v>1</v>
      </c>
      <c r="F209">
        <v>23</v>
      </c>
      <c r="G209" t="b">
        <v>0</v>
      </c>
      <c r="H209">
        <v>2</v>
      </c>
      <c r="I209">
        <v>2</v>
      </c>
      <c r="J209">
        <v>0.22</v>
      </c>
      <c r="K209">
        <v>0.2727</v>
      </c>
      <c r="L209">
        <v>0.93</v>
      </c>
      <c r="M209">
        <v>0</v>
      </c>
      <c r="N209">
        <v>1</v>
      </c>
      <c r="O209">
        <v>19</v>
      </c>
      <c r="P209">
        <v>20</v>
      </c>
      <c r="Q209" t="s">
        <v>64</v>
      </c>
      <c r="R209" t="s">
        <v>120</v>
      </c>
      <c r="S209" t="s">
        <v>27</v>
      </c>
      <c r="T209" t="s">
        <v>30</v>
      </c>
      <c r="U209" t="s">
        <v>124</v>
      </c>
    </row>
    <row r="210" spans="1:21" x14ac:dyDescent="0.3">
      <c r="A210">
        <v>549</v>
      </c>
      <c r="B210" s="1">
        <v>40568</v>
      </c>
      <c r="C210">
        <v>1</v>
      </c>
      <c r="D210">
        <v>0</v>
      </c>
      <c r="E210">
        <v>1</v>
      </c>
      <c r="F210">
        <v>0</v>
      </c>
      <c r="G210" t="b">
        <v>0</v>
      </c>
      <c r="H210">
        <v>2</v>
      </c>
      <c r="I210">
        <v>2</v>
      </c>
      <c r="J210">
        <v>0.16</v>
      </c>
      <c r="K210">
        <v>0.13639999999999999</v>
      </c>
      <c r="L210">
        <v>0.69</v>
      </c>
      <c r="M210">
        <v>0.28360000000000002</v>
      </c>
      <c r="N210">
        <v>3</v>
      </c>
      <c r="O210">
        <v>6</v>
      </c>
      <c r="P210">
        <v>9</v>
      </c>
      <c r="Q210" t="s">
        <v>64</v>
      </c>
      <c r="R210" t="s">
        <v>120</v>
      </c>
      <c r="S210" t="s">
        <v>27</v>
      </c>
      <c r="T210" t="s">
        <v>30</v>
      </c>
      <c r="U210" t="s">
        <v>124</v>
      </c>
    </row>
    <row r="211" spans="1:21" x14ac:dyDescent="0.3">
      <c r="A211">
        <v>550</v>
      </c>
      <c r="B211" s="1">
        <v>40568</v>
      </c>
      <c r="C211">
        <v>1</v>
      </c>
      <c r="D211">
        <v>0</v>
      </c>
      <c r="E211">
        <v>1</v>
      </c>
      <c r="F211">
        <v>1</v>
      </c>
      <c r="G211" t="b">
        <v>0</v>
      </c>
      <c r="H211">
        <v>2</v>
      </c>
      <c r="I211">
        <v>2</v>
      </c>
      <c r="J211">
        <v>0.16</v>
      </c>
      <c r="K211">
        <v>0.16669999999999999</v>
      </c>
      <c r="L211">
        <v>0.69</v>
      </c>
      <c r="M211">
        <v>0.16420000000000001</v>
      </c>
      <c r="N211">
        <v>0</v>
      </c>
      <c r="O211">
        <v>5</v>
      </c>
      <c r="P211">
        <v>5</v>
      </c>
      <c r="Q211" t="s">
        <v>64</v>
      </c>
      <c r="R211" t="s">
        <v>120</v>
      </c>
      <c r="S211" t="s">
        <v>27</v>
      </c>
      <c r="T211" t="s">
        <v>30</v>
      </c>
      <c r="U211" t="s">
        <v>124</v>
      </c>
    </row>
    <row r="212" spans="1:21" x14ac:dyDescent="0.3">
      <c r="A212">
        <v>551</v>
      </c>
      <c r="B212" s="1">
        <v>40568</v>
      </c>
      <c r="C212">
        <v>1</v>
      </c>
      <c r="D212">
        <v>0</v>
      </c>
      <c r="E212">
        <v>1</v>
      </c>
      <c r="F212">
        <v>2</v>
      </c>
      <c r="G212" t="b">
        <v>0</v>
      </c>
      <c r="H212">
        <v>2</v>
      </c>
      <c r="I212">
        <v>1</v>
      </c>
      <c r="J212">
        <v>0.16</v>
      </c>
      <c r="K212">
        <v>0.1515</v>
      </c>
      <c r="L212">
        <v>0.69</v>
      </c>
      <c r="M212">
        <v>0.22389999999999999</v>
      </c>
      <c r="N212">
        <v>0</v>
      </c>
      <c r="O212">
        <v>2</v>
      </c>
      <c r="P212">
        <v>2</v>
      </c>
      <c r="Q212" t="s">
        <v>62</v>
      </c>
      <c r="R212" t="s">
        <v>120</v>
      </c>
      <c r="S212" t="s">
        <v>27</v>
      </c>
      <c r="T212" t="s">
        <v>30</v>
      </c>
      <c r="U212" t="s">
        <v>123</v>
      </c>
    </row>
    <row r="213" spans="1:21" x14ac:dyDescent="0.3">
      <c r="A213">
        <v>552</v>
      </c>
      <c r="B213" s="1">
        <v>40568</v>
      </c>
      <c r="C213">
        <v>1</v>
      </c>
      <c r="D213">
        <v>0</v>
      </c>
      <c r="E213">
        <v>1</v>
      </c>
      <c r="F213">
        <v>4</v>
      </c>
      <c r="G213" t="b">
        <v>0</v>
      </c>
      <c r="H213">
        <v>2</v>
      </c>
      <c r="I213">
        <v>1</v>
      </c>
      <c r="J213">
        <v>0.14000000000000001</v>
      </c>
      <c r="K213">
        <v>0.16669999999999999</v>
      </c>
      <c r="L213">
        <v>0.74</v>
      </c>
      <c r="M213">
        <v>0.1045</v>
      </c>
      <c r="N213">
        <v>0</v>
      </c>
      <c r="O213">
        <v>1</v>
      </c>
      <c r="P213">
        <v>1</v>
      </c>
      <c r="Q213" t="s">
        <v>62</v>
      </c>
      <c r="R213" t="s">
        <v>120</v>
      </c>
      <c r="S213" t="s">
        <v>27</v>
      </c>
      <c r="T213" t="s">
        <v>30</v>
      </c>
      <c r="U213" t="s">
        <v>123</v>
      </c>
    </row>
    <row r="214" spans="1:21" x14ac:dyDescent="0.3">
      <c r="A214">
        <v>553</v>
      </c>
      <c r="B214" s="1">
        <v>40568</v>
      </c>
      <c r="C214">
        <v>1</v>
      </c>
      <c r="D214">
        <v>0</v>
      </c>
      <c r="E214">
        <v>1</v>
      </c>
      <c r="F214">
        <v>5</v>
      </c>
      <c r="G214" t="b">
        <v>0</v>
      </c>
      <c r="H214">
        <v>2</v>
      </c>
      <c r="I214">
        <v>1</v>
      </c>
      <c r="J214">
        <v>0.14000000000000001</v>
      </c>
      <c r="K214">
        <v>0.13639999999999999</v>
      </c>
      <c r="L214">
        <v>0.74</v>
      </c>
      <c r="M214">
        <v>0.22389999999999999</v>
      </c>
      <c r="N214">
        <v>0</v>
      </c>
      <c r="O214">
        <v>9</v>
      </c>
      <c r="P214">
        <v>9</v>
      </c>
      <c r="Q214" t="s">
        <v>62</v>
      </c>
      <c r="R214" t="s">
        <v>120</v>
      </c>
      <c r="S214" t="s">
        <v>27</v>
      </c>
      <c r="T214" t="s">
        <v>30</v>
      </c>
      <c r="U214" t="s">
        <v>123</v>
      </c>
    </row>
    <row r="215" spans="1:21" x14ac:dyDescent="0.3">
      <c r="A215">
        <v>554</v>
      </c>
      <c r="B215" s="1">
        <v>40568</v>
      </c>
      <c r="C215">
        <v>1</v>
      </c>
      <c r="D215">
        <v>0</v>
      </c>
      <c r="E215">
        <v>1</v>
      </c>
      <c r="F215">
        <v>6</v>
      </c>
      <c r="G215" t="b">
        <v>0</v>
      </c>
      <c r="H215">
        <v>2</v>
      </c>
      <c r="I215">
        <v>1</v>
      </c>
      <c r="J215">
        <v>0.16</v>
      </c>
      <c r="K215">
        <v>0.18179999999999999</v>
      </c>
      <c r="L215">
        <v>0.74</v>
      </c>
      <c r="M215">
        <v>0.1045</v>
      </c>
      <c r="N215">
        <v>1</v>
      </c>
      <c r="O215">
        <v>35</v>
      </c>
      <c r="P215">
        <v>36</v>
      </c>
      <c r="Q215" t="s">
        <v>62</v>
      </c>
      <c r="R215" t="s">
        <v>120</v>
      </c>
      <c r="S215" t="s">
        <v>27</v>
      </c>
      <c r="T215" t="s">
        <v>30</v>
      </c>
      <c r="U215" t="s">
        <v>123</v>
      </c>
    </row>
    <row r="216" spans="1:21" x14ac:dyDescent="0.3">
      <c r="A216">
        <v>555</v>
      </c>
      <c r="B216" s="1">
        <v>40568</v>
      </c>
      <c r="C216">
        <v>1</v>
      </c>
      <c r="D216">
        <v>0</v>
      </c>
      <c r="E216">
        <v>1</v>
      </c>
      <c r="F216">
        <v>7</v>
      </c>
      <c r="G216" t="b">
        <v>0</v>
      </c>
      <c r="H216">
        <v>2</v>
      </c>
      <c r="I216">
        <v>1</v>
      </c>
      <c r="J216">
        <v>0.16</v>
      </c>
      <c r="K216">
        <v>0.1515</v>
      </c>
      <c r="L216">
        <v>0.74</v>
      </c>
      <c r="M216">
        <v>0.22389999999999999</v>
      </c>
      <c r="N216">
        <v>5</v>
      </c>
      <c r="O216">
        <v>103</v>
      </c>
      <c r="P216">
        <v>108</v>
      </c>
      <c r="Q216" t="s">
        <v>62</v>
      </c>
      <c r="R216" t="s">
        <v>120</v>
      </c>
      <c r="S216" t="s">
        <v>27</v>
      </c>
      <c r="T216" t="s">
        <v>30</v>
      </c>
      <c r="U216" t="s">
        <v>123</v>
      </c>
    </row>
    <row r="217" spans="1:21" x14ac:dyDescent="0.3">
      <c r="A217">
        <v>556</v>
      </c>
      <c r="B217" s="1">
        <v>40568</v>
      </c>
      <c r="C217">
        <v>1</v>
      </c>
      <c r="D217">
        <v>0</v>
      </c>
      <c r="E217">
        <v>1</v>
      </c>
      <c r="F217">
        <v>8</v>
      </c>
      <c r="G217" t="b">
        <v>0</v>
      </c>
      <c r="H217">
        <v>2</v>
      </c>
      <c r="I217">
        <v>2</v>
      </c>
      <c r="J217">
        <v>0.16</v>
      </c>
      <c r="K217">
        <v>0.18179999999999999</v>
      </c>
      <c r="L217">
        <v>0.74</v>
      </c>
      <c r="M217">
        <v>0.1343</v>
      </c>
      <c r="N217">
        <v>5</v>
      </c>
      <c r="O217">
        <v>233</v>
      </c>
      <c r="P217">
        <v>238</v>
      </c>
      <c r="Q217" t="s">
        <v>64</v>
      </c>
      <c r="R217" t="s">
        <v>120</v>
      </c>
      <c r="S217" t="s">
        <v>27</v>
      </c>
      <c r="T217" t="s">
        <v>30</v>
      </c>
      <c r="U217" t="s">
        <v>124</v>
      </c>
    </row>
    <row r="218" spans="1:21" x14ac:dyDescent="0.3">
      <c r="A218">
        <v>557</v>
      </c>
      <c r="B218" s="1">
        <v>40568</v>
      </c>
      <c r="C218">
        <v>1</v>
      </c>
      <c r="D218">
        <v>0</v>
      </c>
      <c r="E218">
        <v>1</v>
      </c>
      <c r="F218">
        <v>9</v>
      </c>
      <c r="G218" t="b">
        <v>0</v>
      </c>
      <c r="H218">
        <v>2</v>
      </c>
      <c r="I218">
        <v>2</v>
      </c>
      <c r="J218">
        <v>0.2</v>
      </c>
      <c r="K218">
        <v>0.2273</v>
      </c>
      <c r="L218">
        <v>0.64</v>
      </c>
      <c r="M218">
        <v>8.9599999999999999E-2</v>
      </c>
      <c r="N218">
        <v>10</v>
      </c>
      <c r="O218">
        <v>134</v>
      </c>
      <c r="P218">
        <v>144</v>
      </c>
      <c r="Q218" t="s">
        <v>64</v>
      </c>
      <c r="R218" t="s">
        <v>120</v>
      </c>
      <c r="S218" t="s">
        <v>27</v>
      </c>
      <c r="T218" t="s">
        <v>30</v>
      </c>
      <c r="U218" t="s">
        <v>124</v>
      </c>
    </row>
    <row r="219" spans="1:21" x14ac:dyDescent="0.3">
      <c r="A219">
        <v>558</v>
      </c>
      <c r="B219" s="1">
        <v>40568</v>
      </c>
      <c r="C219">
        <v>1</v>
      </c>
      <c r="D219">
        <v>0</v>
      </c>
      <c r="E219">
        <v>1</v>
      </c>
      <c r="F219">
        <v>10</v>
      </c>
      <c r="G219" t="b">
        <v>0</v>
      </c>
      <c r="H219">
        <v>2</v>
      </c>
      <c r="I219">
        <v>2</v>
      </c>
      <c r="J219">
        <v>0.22</v>
      </c>
      <c r="K219">
        <v>0.2424</v>
      </c>
      <c r="L219">
        <v>0.6</v>
      </c>
      <c r="M219">
        <v>0.1045</v>
      </c>
      <c r="N219">
        <v>6</v>
      </c>
      <c r="O219">
        <v>49</v>
      </c>
      <c r="P219">
        <v>55</v>
      </c>
      <c r="Q219" t="s">
        <v>64</v>
      </c>
      <c r="R219" t="s">
        <v>120</v>
      </c>
      <c r="S219" t="s">
        <v>27</v>
      </c>
      <c r="T219" t="s">
        <v>30</v>
      </c>
      <c r="U219" t="s">
        <v>124</v>
      </c>
    </row>
    <row r="220" spans="1:21" x14ac:dyDescent="0.3">
      <c r="A220">
        <v>559</v>
      </c>
      <c r="B220" s="1">
        <v>40568</v>
      </c>
      <c r="C220">
        <v>1</v>
      </c>
      <c r="D220">
        <v>0</v>
      </c>
      <c r="E220">
        <v>1</v>
      </c>
      <c r="F220">
        <v>11</v>
      </c>
      <c r="G220" t="b">
        <v>0</v>
      </c>
      <c r="H220">
        <v>2</v>
      </c>
      <c r="I220">
        <v>2</v>
      </c>
      <c r="J220">
        <v>0.24</v>
      </c>
      <c r="K220">
        <v>0.2424</v>
      </c>
      <c r="L220">
        <v>0.6</v>
      </c>
      <c r="M220">
        <v>0.1343</v>
      </c>
      <c r="N220">
        <v>6</v>
      </c>
      <c r="O220">
        <v>55</v>
      </c>
      <c r="P220">
        <v>61</v>
      </c>
      <c r="Q220" t="s">
        <v>64</v>
      </c>
      <c r="R220" t="s">
        <v>120</v>
      </c>
      <c r="S220" t="s">
        <v>27</v>
      </c>
      <c r="T220" t="s">
        <v>30</v>
      </c>
      <c r="U220" t="s">
        <v>124</v>
      </c>
    </row>
    <row r="221" spans="1:21" x14ac:dyDescent="0.3">
      <c r="A221">
        <v>560</v>
      </c>
      <c r="B221" s="1">
        <v>40568</v>
      </c>
      <c r="C221">
        <v>1</v>
      </c>
      <c r="D221">
        <v>0</v>
      </c>
      <c r="E221">
        <v>1</v>
      </c>
      <c r="F221">
        <v>12</v>
      </c>
      <c r="G221" t="b">
        <v>0</v>
      </c>
      <c r="H221">
        <v>2</v>
      </c>
      <c r="I221">
        <v>2</v>
      </c>
      <c r="J221">
        <v>0.26</v>
      </c>
      <c r="K221">
        <v>0.28789999999999999</v>
      </c>
      <c r="L221">
        <v>0.56000000000000005</v>
      </c>
      <c r="M221">
        <v>8.9599999999999999E-2</v>
      </c>
      <c r="N221">
        <v>21</v>
      </c>
      <c r="O221">
        <v>85</v>
      </c>
      <c r="P221">
        <v>106</v>
      </c>
      <c r="Q221" t="s">
        <v>64</v>
      </c>
      <c r="R221" t="s">
        <v>120</v>
      </c>
      <c r="S221" t="s">
        <v>27</v>
      </c>
      <c r="T221" t="s">
        <v>30</v>
      </c>
      <c r="U221" t="s">
        <v>124</v>
      </c>
    </row>
    <row r="222" spans="1:21" x14ac:dyDescent="0.3">
      <c r="A222">
        <v>561</v>
      </c>
      <c r="B222" s="1">
        <v>40568</v>
      </c>
      <c r="C222">
        <v>1</v>
      </c>
      <c r="D222">
        <v>0</v>
      </c>
      <c r="E222">
        <v>1</v>
      </c>
      <c r="F222">
        <v>13</v>
      </c>
      <c r="G222" t="b">
        <v>0</v>
      </c>
      <c r="H222">
        <v>2</v>
      </c>
      <c r="I222">
        <v>2</v>
      </c>
      <c r="J222">
        <v>0.26</v>
      </c>
      <c r="K222">
        <v>0.2727</v>
      </c>
      <c r="L222">
        <v>0.56000000000000005</v>
      </c>
      <c r="M222">
        <v>0.1343</v>
      </c>
      <c r="N222">
        <v>21</v>
      </c>
      <c r="O222">
        <v>72</v>
      </c>
      <c r="P222">
        <v>93</v>
      </c>
      <c r="Q222" t="s">
        <v>64</v>
      </c>
      <c r="R222" t="s">
        <v>120</v>
      </c>
      <c r="S222" t="s">
        <v>27</v>
      </c>
      <c r="T222" t="s">
        <v>30</v>
      </c>
      <c r="U222" t="s">
        <v>124</v>
      </c>
    </row>
    <row r="223" spans="1:21" x14ac:dyDescent="0.3">
      <c r="A223">
        <v>562</v>
      </c>
      <c r="B223" s="1">
        <v>40568</v>
      </c>
      <c r="C223">
        <v>1</v>
      </c>
      <c r="D223">
        <v>0</v>
      </c>
      <c r="E223">
        <v>1</v>
      </c>
      <c r="F223">
        <v>14</v>
      </c>
      <c r="G223" t="b">
        <v>0</v>
      </c>
      <c r="H223">
        <v>2</v>
      </c>
      <c r="I223">
        <v>2</v>
      </c>
      <c r="J223">
        <v>0.3</v>
      </c>
      <c r="K223">
        <v>0.33329999999999999</v>
      </c>
      <c r="L223">
        <v>0.45</v>
      </c>
      <c r="M223">
        <v>0</v>
      </c>
      <c r="N223">
        <v>11</v>
      </c>
      <c r="O223">
        <v>57</v>
      </c>
      <c r="P223">
        <v>68</v>
      </c>
      <c r="Q223" t="s">
        <v>64</v>
      </c>
      <c r="R223" t="s">
        <v>120</v>
      </c>
      <c r="S223" t="s">
        <v>27</v>
      </c>
      <c r="T223" t="s">
        <v>30</v>
      </c>
      <c r="U223" t="s">
        <v>124</v>
      </c>
    </row>
    <row r="224" spans="1:21" x14ac:dyDescent="0.3">
      <c r="A224">
        <v>563</v>
      </c>
      <c r="B224" s="1">
        <v>40568</v>
      </c>
      <c r="C224">
        <v>1</v>
      </c>
      <c r="D224">
        <v>0</v>
      </c>
      <c r="E224">
        <v>1</v>
      </c>
      <c r="F224">
        <v>15</v>
      </c>
      <c r="G224" t="b">
        <v>0</v>
      </c>
      <c r="H224">
        <v>2</v>
      </c>
      <c r="I224">
        <v>2</v>
      </c>
      <c r="J224">
        <v>0.32</v>
      </c>
      <c r="K224">
        <v>0.34849999999999998</v>
      </c>
      <c r="L224">
        <v>0.42</v>
      </c>
      <c r="M224">
        <v>0</v>
      </c>
      <c r="N224">
        <v>21</v>
      </c>
      <c r="O224">
        <v>63</v>
      </c>
      <c r="P224">
        <v>84</v>
      </c>
      <c r="Q224" t="s">
        <v>64</v>
      </c>
      <c r="R224" t="s">
        <v>120</v>
      </c>
      <c r="S224" t="s">
        <v>27</v>
      </c>
      <c r="T224" t="s">
        <v>30</v>
      </c>
      <c r="U224" t="s">
        <v>124</v>
      </c>
    </row>
    <row r="225" spans="1:21" x14ac:dyDescent="0.3">
      <c r="A225">
        <v>564</v>
      </c>
      <c r="B225" s="1">
        <v>40568</v>
      </c>
      <c r="C225">
        <v>1</v>
      </c>
      <c r="D225">
        <v>0</v>
      </c>
      <c r="E225">
        <v>1</v>
      </c>
      <c r="F225">
        <v>16</v>
      </c>
      <c r="G225" t="b">
        <v>0</v>
      </c>
      <c r="H225">
        <v>2</v>
      </c>
      <c r="I225">
        <v>2</v>
      </c>
      <c r="J225">
        <v>0.32</v>
      </c>
      <c r="K225">
        <v>0.34849999999999998</v>
      </c>
      <c r="L225">
        <v>0.42</v>
      </c>
      <c r="M225">
        <v>0</v>
      </c>
      <c r="N225">
        <v>14</v>
      </c>
      <c r="O225">
        <v>102</v>
      </c>
      <c r="P225">
        <v>116</v>
      </c>
      <c r="Q225" t="s">
        <v>64</v>
      </c>
      <c r="R225" t="s">
        <v>120</v>
      </c>
      <c r="S225" t="s">
        <v>27</v>
      </c>
      <c r="T225" t="s">
        <v>30</v>
      </c>
      <c r="U225" t="s">
        <v>124</v>
      </c>
    </row>
    <row r="226" spans="1:21" x14ac:dyDescent="0.3">
      <c r="A226">
        <v>565</v>
      </c>
      <c r="B226" s="1">
        <v>40568</v>
      </c>
      <c r="C226">
        <v>1</v>
      </c>
      <c r="D226">
        <v>0</v>
      </c>
      <c r="E226">
        <v>1</v>
      </c>
      <c r="F226">
        <v>17</v>
      </c>
      <c r="G226" t="b">
        <v>0</v>
      </c>
      <c r="H226">
        <v>2</v>
      </c>
      <c r="I226">
        <v>1</v>
      </c>
      <c r="J226">
        <v>0.3</v>
      </c>
      <c r="K226">
        <v>0.33329999999999999</v>
      </c>
      <c r="L226">
        <v>0.45</v>
      </c>
      <c r="M226">
        <v>0</v>
      </c>
      <c r="N226">
        <v>14</v>
      </c>
      <c r="O226">
        <v>208</v>
      </c>
      <c r="P226">
        <v>222</v>
      </c>
      <c r="Q226" t="s">
        <v>62</v>
      </c>
      <c r="R226" t="s">
        <v>120</v>
      </c>
      <c r="S226" t="s">
        <v>27</v>
      </c>
      <c r="T226" t="s">
        <v>30</v>
      </c>
      <c r="U226" t="s">
        <v>123</v>
      </c>
    </row>
    <row r="227" spans="1:21" x14ac:dyDescent="0.3">
      <c r="A227">
        <v>566</v>
      </c>
      <c r="B227" s="1">
        <v>40568</v>
      </c>
      <c r="C227">
        <v>1</v>
      </c>
      <c r="D227">
        <v>0</v>
      </c>
      <c r="E227">
        <v>1</v>
      </c>
      <c r="F227">
        <v>18</v>
      </c>
      <c r="G227" t="b">
        <v>0</v>
      </c>
      <c r="H227">
        <v>2</v>
      </c>
      <c r="I227">
        <v>2</v>
      </c>
      <c r="J227">
        <v>0.3</v>
      </c>
      <c r="K227">
        <v>0.31819999999999998</v>
      </c>
      <c r="L227">
        <v>0.49</v>
      </c>
      <c r="M227">
        <v>8.9599999999999999E-2</v>
      </c>
      <c r="N227">
        <v>7</v>
      </c>
      <c r="O227">
        <v>218</v>
      </c>
      <c r="P227">
        <v>225</v>
      </c>
      <c r="Q227" t="s">
        <v>64</v>
      </c>
      <c r="R227" t="s">
        <v>120</v>
      </c>
      <c r="S227" t="s">
        <v>27</v>
      </c>
      <c r="T227" t="s">
        <v>30</v>
      </c>
      <c r="U227" t="s">
        <v>124</v>
      </c>
    </row>
    <row r="228" spans="1:21" x14ac:dyDescent="0.3">
      <c r="A228">
        <v>567</v>
      </c>
      <c r="B228" s="1">
        <v>40568</v>
      </c>
      <c r="C228">
        <v>1</v>
      </c>
      <c r="D228">
        <v>0</v>
      </c>
      <c r="E228">
        <v>1</v>
      </c>
      <c r="F228">
        <v>19</v>
      </c>
      <c r="G228" t="b">
        <v>0</v>
      </c>
      <c r="H228">
        <v>2</v>
      </c>
      <c r="I228">
        <v>2</v>
      </c>
      <c r="J228">
        <v>0.26</v>
      </c>
      <c r="K228">
        <v>0.2576</v>
      </c>
      <c r="L228">
        <v>0.65</v>
      </c>
      <c r="M228">
        <v>0.16420000000000001</v>
      </c>
      <c r="N228">
        <v>13</v>
      </c>
      <c r="O228">
        <v>133</v>
      </c>
      <c r="P228">
        <v>146</v>
      </c>
      <c r="Q228" t="s">
        <v>64</v>
      </c>
      <c r="R228" t="s">
        <v>120</v>
      </c>
      <c r="S228" t="s">
        <v>27</v>
      </c>
      <c r="T228" t="s">
        <v>30</v>
      </c>
      <c r="U228" t="s">
        <v>124</v>
      </c>
    </row>
    <row r="229" spans="1:21" x14ac:dyDescent="0.3">
      <c r="A229">
        <v>568</v>
      </c>
      <c r="B229" s="1">
        <v>40568</v>
      </c>
      <c r="C229">
        <v>1</v>
      </c>
      <c r="D229">
        <v>0</v>
      </c>
      <c r="E229">
        <v>1</v>
      </c>
      <c r="F229">
        <v>20</v>
      </c>
      <c r="G229" t="b">
        <v>0</v>
      </c>
      <c r="H229">
        <v>2</v>
      </c>
      <c r="I229">
        <v>1</v>
      </c>
      <c r="J229">
        <v>0.24</v>
      </c>
      <c r="K229">
        <v>0.2273</v>
      </c>
      <c r="L229">
        <v>0.65</v>
      </c>
      <c r="M229">
        <v>0.19400000000000001</v>
      </c>
      <c r="N229">
        <v>16</v>
      </c>
      <c r="O229">
        <v>103</v>
      </c>
      <c r="P229">
        <v>119</v>
      </c>
      <c r="Q229" t="s">
        <v>62</v>
      </c>
      <c r="R229" t="s">
        <v>120</v>
      </c>
      <c r="S229" t="s">
        <v>27</v>
      </c>
      <c r="T229" t="s">
        <v>30</v>
      </c>
      <c r="U229" t="s">
        <v>123</v>
      </c>
    </row>
    <row r="230" spans="1:21" x14ac:dyDescent="0.3">
      <c r="A230">
        <v>569</v>
      </c>
      <c r="B230" s="1">
        <v>40568</v>
      </c>
      <c r="C230">
        <v>1</v>
      </c>
      <c r="D230">
        <v>0</v>
      </c>
      <c r="E230">
        <v>1</v>
      </c>
      <c r="F230">
        <v>21</v>
      </c>
      <c r="G230" t="b">
        <v>0</v>
      </c>
      <c r="H230">
        <v>2</v>
      </c>
      <c r="I230">
        <v>1</v>
      </c>
      <c r="J230">
        <v>0.24</v>
      </c>
      <c r="K230">
        <v>0.2273</v>
      </c>
      <c r="L230">
        <v>0.65</v>
      </c>
      <c r="M230">
        <v>0.19400000000000001</v>
      </c>
      <c r="N230">
        <v>5</v>
      </c>
      <c r="O230">
        <v>40</v>
      </c>
      <c r="P230">
        <v>45</v>
      </c>
      <c r="Q230" t="s">
        <v>62</v>
      </c>
      <c r="R230" t="s">
        <v>120</v>
      </c>
      <c r="S230" t="s">
        <v>27</v>
      </c>
      <c r="T230" t="s">
        <v>30</v>
      </c>
      <c r="U230" t="s">
        <v>123</v>
      </c>
    </row>
    <row r="231" spans="1:21" x14ac:dyDescent="0.3">
      <c r="A231">
        <v>570</v>
      </c>
      <c r="B231" s="1">
        <v>40568</v>
      </c>
      <c r="C231">
        <v>1</v>
      </c>
      <c r="D231">
        <v>0</v>
      </c>
      <c r="E231">
        <v>1</v>
      </c>
      <c r="F231">
        <v>22</v>
      </c>
      <c r="G231" t="b">
        <v>0</v>
      </c>
      <c r="H231">
        <v>2</v>
      </c>
      <c r="I231">
        <v>1</v>
      </c>
      <c r="J231">
        <v>0.22</v>
      </c>
      <c r="K231">
        <v>0.2273</v>
      </c>
      <c r="L231">
        <v>0.64</v>
      </c>
      <c r="M231">
        <v>0.16420000000000001</v>
      </c>
      <c r="N231">
        <v>4</v>
      </c>
      <c r="O231">
        <v>49</v>
      </c>
      <c r="P231">
        <v>53</v>
      </c>
      <c r="Q231" t="s">
        <v>62</v>
      </c>
      <c r="R231" t="s">
        <v>120</v>
      </c>
      <c r="S231" t="s">
        <v>27</v>
      </c>
      <c r="T231" t="s">
        <v>30</v>
      </c>
      <c r="U231" t="s">
        <v>123</v>
      </c>
    </row>
    <row r="232" spans="1:21" x14ac:dyDescent="0.3">
      <c r="A232">
        <v>571</v>
      </c>
      <c r="B232" s="1">
        <v>40568</v>
      </c>
      <c r="C232">
        <v>1</v>
      </c>
      <c r="D232">
        <v>0</v>
      </c>
      <c r="E232">
        <v>1</v>
      </c>
      <c r="F232">
        <v>23</v>
      </c>
      <c r="G232" t="b">
        <v>0</v>
      </c>
      <c r="H232">
        <v>2</v>
      </c>
      <c r="I232">
        <v>2</v>
      </c>
      <c r="J232">
        <v>0.22</v>
      </c>
      <c r="K232">
        <v>0.2273</v>
      </c>
      <c r="L232">
        <v>0.64</v>
      </c>
      <c r="M232">
        <v>0.16420000000000001</v>
      </c>
      <c r="N232">
        <v>3</v>
      </c>
      <c r="O232">
        <v>37</v>
      </c>
      <c r="P232">
        <v>40</v>
      </c>
      <c r="Q232" t="s">
        <v>64</v>
      </c>
      <c r="R232" t="s">
        <v>120</v>
      </c>
      <c r="S232" t="s">
        <v>27</v>
      </c>
      <c r="T232" t="s">
        <v>30</v>
      </c>
      <c r="U232" t="s">
        <v>124</v>
      </c>
    </row>
    <row r="233" spans="1:21" x14ac:dyDescent="0.3">
      <c r="A233">
        <v>689</v>
      </c>
      <c r="B233" s="1">
        <v>40575</v>
      </c>
      <c r="C233">
        <v>1</v>
      </c>
      <c r="D233">
        <v>0</v>
      </c>
      <c r="E233">
        <v>2</v>
      </c>
      <c r="F233">
        <v>0</v>
      </c>
      <c r="G233" t="b">
        <v>0</v>
      </c>
      <c r="H233">
        <v>2</v>
      </c>
      <c r="I233">
        <v>2</v>
      </c>
      <c r="J233">
        <v>0.16</v>
      </c>
      <c r="K233">
        <v>0.18179999999999999</v>
      </c>
      <c r="L233">
        <v>0.64</v>
      </c>
      <c r="M233">
        <v>0.1045</v>
      </c>
      <c r="N233">
        <v>2</v>
      </c>
      <c r="O233">
        <v>6</v>
      </c>
      <c r="P233">
        <v>8</v>
      </c>
      <c r="Q233" t="s">
        <v>64</v>
      </c>
      <c r="R233" t="s">
        <v>120</v>
      </c>
      <c r="S233" t="s">
        <v>27</v>
      </c>
      <c r="T233" t="s">
        <v>29</v>
      </c>
      <c r="U233" t="s">
        <v>124</v>
      </c>
    </row>
    <row r="234" spans="1:21" x14ac:dyDescent="0.3">
      <c r="A234">
        <v>690</v>
      </c>
      <c r="B234" s="1">
        <v>40575</v>
      </c>
      <c r="C234">
        <v>1</v>
      </c>
      <c r="D234">
        <v>0</v>
      </c>
      <c r="E234">
        <v>2</v>
      </c>
      <c r="F234">
        <v>1</v>
      </c>
      <c r="G234" t="b">
        <v>0</v>
      </c>
      <c r="H234">
        <v>2</v>
      </c>
      <c r="I234">
        <v>2</v>
      </c>
      <c r="J234">
        <v>0.16</v>
      </c>
      <c r="K234">
        <v>0.18179999999999999</v>
      </c>
      <c r="L234">
        <v>0.69</v>
      </c>
      <c r="M234">
        <v>0.1045</v>
      </c>
      <c r="N234">
        <v>0</v>
      </c>
      <c r="O234">
        <v>3</v>
      </c>
      <c r="P234">
        <v>3</v>
      </c>
      <c r="Q234" t="s">
        <v>64</v>
      </c>
      <c r="R234" t="s">
        <v>120</v>
      </c>
      <c r="S234" t="s">
        <v>27</v>
      </c>
      <c r="T234" t="s">
        <v>29</v>
      </c>
      <c r="U234" t="s">
        <v>124</v>
      </c>
    </row>
    <row r="235" spans="1:21" x14ac:dyDescent="0.3">
      <c r="A235">
        <v>691</v>
      </c>
      <c r="B235" s="1">
        <v>40575</v>
      </c>
      <c r="C235">
        <v>1</v>
      </c>
      <c r="D235">
        <v>0</v>
      </c>
      <c r="E235">
        <v>2</v>
      </c>
      <c r="F235">
        <v>2</v>
      </c>
      <c r="G235" t="b">
        <v>0</v>
      </c>
      <c r="H235">
        <v>2</v>
      </c>
      <c r="I235">
        <v>2</v>
      </c>
      <c r="J235">
        <v>0.16</v>
      </c>
      <c r="K235">
        <v>0.2273</v>
      </c>
      <c r="L235">
        <v>0.69</v>
      </c>
      <c r="M235">
        <v>0</v>
      </c>
      <c r="N235">
        <v>0</v>
      </c>
      <c r="O235">
        <v>2</v>
      </c>
      <c r="P235">
        <v>2</v>
      </c>
      <c r="Q235" t="s">
        <v>64</v>
      </c>
      <c r="R235" t="s">
        <v>120</v>
      </c>
      <c r="S235" t="s">
        <v>27</v>
      </c>
      <c r="T235" t="s">
        <v>29</v>
      </c>
      <c r="U235" t="s">
        <v>124</v>
      </c>
    </row>
    <row r="236" spans="1:21" x14ac:dyDescent="0.3">
      <c r="A236">
        <v>692</v>
      </c>
      <c r="B236" s="1">
        <v>40575</v>
      </c>
      <c r="C236">
        <v>1</v>
      </c>
      <c r="D236">
        <v>0</v>
      </c>
      <c r="E236">
        <v>2</v>
      </c>
      <c r="F236">
        <v>3</v>
      </c>
      <c r="G236" t="b">
        <v>0</v>
      </c>
      <c r="H236">
        <v>2</v>
      </c>
      <c r="I236">
        <v>2</v>
      </c>
      <c r="J236">
        <v>0.16</v>
      </c>
      <c r="K236">
        <v>0.2273</v>
      </c>
      <c r="L236">
        <v>0.69</v>
      </c>
      <c r="M236">
        <v>0</v>
      </c>
      <c r="N236">
        <v>0</v>
      </c>
      <c r="O236">
        <v>2</v>
      </c>
      <c r="P236">
        <v>2</v>
      </c>
      <c r="Q236" t="s">
        <v>64</v>
      </c>
      <c r="R236" t="s">
        <v>120</v>
      </c>
      <c r="S236" t="s">
        <v>27</v>
      </c>
      <c r="T236" t="s">
        <v>29</v>
      </c>
      <c r="U236" t="s">
        <v>124</v>
      </c>
    </row>
    <row r="237" spans="1:21" x14ac:dyDescent="0.3">
      <c r="A237">
        <v>693</v>
      </c>
      <c r="B237" s="1">
        <v>40575</v>
      </c>
      <c r="C237">
        <v>1</v>
      </c>
      <c r="D237">
        <v>0</v>
      </c>
      <c r="E237">
        <v>2</v>
      </c>
      <c r="F237">
        <v>5</v>
      </c>
      <c r="G237" t="b">
        <v>0</v>
      </c>
      <c r="H237">
        <v>2</v>
      </c>
      <c r="I237">
        <v>3</v>
      </c>
      <c r="J237">
        <v>0.14000000000000001</v>
      </c>
      <c r="K237">
        <v>0.21210000000000001</v>
      </c>
      <c r="L237">
        <v>0.93</v>
      </c>
      <c r="M237">
        <v>0</v>
      </c>
      <c r="N237">
        <v>0</v>
      </c>
      <c r="O237">
        <v>3</v>
      </c>
      <c r="P237">
        <v>3</v>
      </c>
      <c r="Q237" t="s">
        <v>63</v>
      </c>
      <c r="R237" t="s">
        <v>120</v>
      </c>
      <c r="S237" t="s">
        <v>27</v>
      </c>
      <c r="T237" t="s">
        <v>29</v>
      </c>
      <c r="U237" t="s">
        <v>125</v>
      </c>
    </row>
    <row r="238" spans="1:21" x14ac:dyDescent="0.3">
      <c r="A238">
        <v>694</v>
      </c>
      <c r="B238" s="1">
        <v>40575</v>
      </c>
      <c r="C238">
        <v>1</v>
      </c>
      <c r="D238">
        <v>0</v>
      </c>
      <c r="E238">
        <v>2</v>
      </c>
      <c r="F238">
        <v>6</v>
      </c>
      <c r="G238" t="b">
        <v>0</v>
      </c>
      <c r="H238">
        <v>2</v>
      </c>
      <c r="I238">
        <v>3</v>
      </c>
      <c r="J238">
        <v>0.14000000000000001</v>
      </c>
      <c r="K238">
        <v>0.21210000000000001</v>
      </c>
      <c r="L238">
        <v>0.93</v>
      </c>
      <c r="M238">
        <v>0</v>
      </c>
      <c r="N238">
        <v>0</v>
      </c>
      <c r="O238">
        <v>22</v>
      </c>
      <c r="P238">
        <v>22</v>
      </c>
      <c r="Q238" t="s">
        <v>63</v>
      </c>
      <c r="R238" t="s">
        <v>120</v>
      </c>
      <c r="S238" t="s">
        <v>27</v>
      </c>
      <c r="T238" t="s">
        <v>29</v>
      </c>
      <c r="U238" t="s">
        <v>125</v>
      </c>
    </row>
    <row r="239" spans="1:21" x14ac:dyDescent="0.3">
      <c r="A239">
        <v>695</v>
      </c>
      <c r="B239" s="1">
        <v>40575</v>
      </c>
      <c r="C239">
        <v>1</v>
      </c>
      <c r="D239">
        <v>0</v>
      </c>
      <c r="E239">
        <v>2</v>
      </c>
      <c r="F239">
        <v>7</v>
      </c>
      <c r="G239" t="b">
        <v>0</v>
      </c>
      <c r="H239">
        <v>2</v>
      </c>
      <c r="I239">
        <v>3</v>
      </c>
      <c r="J239">
        <v>0.16</v>
      </c>
      <c r="K239">
        <v>0.2273</v>
      </c>
      <c r="L239">
        <v>0.93</v>
      </c>
      <c r="M239">
        <v>0</v>
      </c>
      <c r="N239">
        <v>0</v>
      </c>
      <c r="O239">
        <v>52</v>
      </c>
      <c r="P239">
        <v>52</v>
      </c>
      <c r="Q239" t="s">
        <v>63</v>
      </c>
      <c r="R239" t="s">
        <v>120</v>
      </c>
      <c r="S239" t="s">
        <v>27</v>
      </c>
      <c r="T239" t="s">
        <v>29</v>
      </c>
      <c r="U239" t="s">
        <v>125</v>
      </c>
    </row>
    <row r="240" spans="1:21" x14ac:dyDescent="0.3">
      <c r="A240">
        <v>696</v>
      </c>
      <c r="B240" s="1">
        <v>40575</v>
      </c>
      <c r="C240">
        <v>1</v>
      </c>
      <c r="D240">
        <v>0</v>
      </c>
      <c r="E240">
        <v>2</v>
      </c>
      <c r="F240">
        <v>8</v>
      </c>
      <c r="G240" t="b">
        <v>0</v>
      </c>
      <c r="H240">
        <v>2</v>
      </c>
      <c r="I240">
        <v>3</v>
      </c>
      <c r="J240">
        <v>0.16</v>
      </c>
      <c r="K240">
        <v>0.2273</v>
      </c>
      <c r="L240">
        <v>0.93</v>
      </c>
      <c r="M240">
        <v>0</v>
      </c>
      <c r="N240">
        <v>3</v>
      </c>
      <c r="O240">
        <v>132</v>
      </c>
      <c r="P240">
        <v>135</v>
      </c>
      <c r="Q240" t="s">
        <v>63</v>
      </c>
      <c r="R240" t="s">
        <v>120</v>
      </c>
      <c r="S240" t="s">
        <v>27</v>
      </c>
      <c r="T240" t="s">
        <v>29</v>
      </c>
      <c r="U240" t="s">
        <v>125</v>
      </c>
    </row>
    <row r="241" spans="1:21" x14ac:dyDescent="0.3">
      <c r="A241">
        <v>697</v>
      </c>
      <c r="B241" s="1">
        <v>40575</v>
      </c>
      <c r="C241">
        <v>1</v>
      </c>
      <c r="D241">
        <v>0</v>
      </c>
      <c r="E241">
        <v>2</v>
      </c>
      <c r="F241">
        <v>9</v>
      </c>
      <c r="G241" t="b">
        <v>0</v>
      </c>
      <c r="H241">
        <v>2</v>
      </c>
      <c r="I241">
        <v>2</v>
      </c>
      <c r="J241">
        <v>0.16</v>
      </c>
      <c r="K241">
        <v>0.2273</v>
      </c>
      <c r="L241">
        <v>0.93</v>
      </c>
      <c r="M241">
        <v>0</v>
      </c>
      <c r="N241">
        <v>2</v>
      </c>
      <c r="O241">
        <v>114</v>
      </c>
      <c r="P241">
        <v>116</v>
      </c>
      <c r="Q241" t="s">
        <v>64</v>
      </c>
      <c r="R241" t="s">
        <v>120</v>
      </c>
      <c r="S241" t="s">
        <v>27</v>
      </c>
      <c r="T241" t="s">
        <v>29</v>
      </c>
      <c r="U241" t="s">
        <v>124</v>
      </c>
    </row>
    <row r="242" spans="1:21" x14ac:dyDescent="0.3">
      <c r="A242">
        <v>698</v>
      </c>
      <c r="B242" s="1">
        <v>40575</v>
      </c>
      <c r="C242">
        <v>1</v>
      </c>
      <c r="D242">
        <v>0</v>
      </c>
      <c r="E242">
        <v>2</v>
      </c>
      <c r="F242">
        <v>10</v>
      </c>
      <c r="G242" t="b">
        <v>0</v>
      </c>
      <c r="H242">
        <v>2</v>
      </c>
      <c r="I242">
        <v>2</v>
      </c>
      <c r="J242">
        <v>0.16</v>
      </c>
      <c r="K242">
        <v>0.2273</v>
      </c>
      <c r="L242">
        <v>0.93</v>
      </c>
      <c r="M242">
        <v>0</v>
      </c>
      <c r="N242">
        <v>0</v>
      </c>
      <c r="O242">
        <v>47</v>
      </c>
      <c r="P242">
        <v>47</v>
      </c>
      <c r="Q242" t="s">
        <v>64</v>
      </c>
      <c r="R242" t="s">
        <v>120</v>
      </c>
      <c r="S242" t="s">
        <v>27</v>
      </c>
      <c r="T242" t="s">
        <v>29</v>
      </c>
      <c r="U242" t="s">
        <v>124</v>
      </c>
    </row>
    <row r="243" spans="1:21" x14ac:dyDescent="0.3">
      <c r="A243">
        <v>699</v>
      </c>
      <c r="B243" s="1">
        <v>40575</v>
      </c>
      <c r="C243">
        <v>1</v>
      </c>
      <c r="D243">
        <v>0</v>
      </c>
      <c r="E243">
        <v>2</v>
      </c>
      <c r="F243">
        <v>11</v>
      </c>
      <c r="G243" t="b">
        <v>0</v>
      </c>
      <c r="H243">
        <v>2</v>
      </c>
      <c r="I243">
        <v>2</v>
      </c>
      <c r="J243">
        <v>0.18</v>
      </c>
      <c r="K243">
        <v>0.2424</v>
      </c>
      <c r="L243">
        <v>0.86</v>
      </c>
      <c r="M243">
        <v>0</v>
      </c>
      <c r="N243">
        <v>2</v>
      </c>
      <c r="O243">
        <v>49</v>
      </c>
      <c r="P243">
        <v>51</v>
      </c>
      <c r="Q243" t="s">
        <v>64</v>
      </c>
      <c r="R243" t="s">
        <v>120</v>
      </c>
      <c r="S243" t="s">
        <v>27</v>
      </c>
      <c r="T243" t="s">
        <v>29</v>
      </c>
      <c r="U243" t="s">
        <v>124</v>
      </c>
    </row>
    <row r="244" spans="1:21" x14ac:dyDescent="0.3">
      <c r="A244">
        <v>700</v>
      </c>
      <c r="B244" s="1">
        <v>40575</v>
      </c>
      <c r="C244">
        <v>1</v>
      </c>
      <c r="D244">
        <v>0</v>
      </c>
      <c r="E244">
        <v>2</v>
      </c>
      <c r="F244">
        <v>12</v>
      </c>
      <c r="G244" t="b">
        <v>0</v>
      </c>
      <c r="H244">
        <v>2</v>
      </c>
      <c r="I244">
        <v>2</v>
      </c>
      <c r="J244">
        <v>0.2</v>
      </c>
      <c r="K244">
        <v>0.2576</v>
      </c>
      <c r="L244">
        <v>0.86</v>
      </c>
      <c r="M244">
        <v>0</v>
      </c>
      <c r="N244">
        <v>2</v>
      </c>
      <c r="O244">
        <v>53</v>
      </c>
      <c r="P244">
        <v>55</v>
      </c>
      <c r="Q244" t="s">
        <v>64</v>
      </c>
      <c r="R244" t="s">
        <v>120</v>
      </c>
      <c r="S244" t="s">
        <v>27</v>
      </c>
      <c r="T244" t="s">
        <v>29</v>
      </c>
      <c r="U244" t="s">
        <v>124</v>
      </c>
    </row>
    <row r="245" spans="1:21" x14ac:dyDescent="0.3">
      <c r="A245">
        <v>701</v>
      </c>
      <c r="B245" s="1">
        <v>40575</v>
      </c>
      <c r="C245">
        <v>1</v>
      </c>
      <c r="D245">
        <v>0</v>
      </c>
      <c r="E245">
        <v>2</v>
      </c>
      <c r="F245">
        <v>13</v>
      </c>
      <c r="G245" t="b">
        <v>0</v>
      </c>
      <c r="H245">
        <v>2</v>
      </c>
      <c r="I245">
        <v>2</v>
      </c>
      <c r="J245">
        <v>0.2</v>
      </c>
      <c r="K245">
        <v>0.2576</v>
      </c>
      <c r="L245">
        <v>0.86</v>
      </c>
      <c r="M245">
        <v>0</v>
      </c>
      <c r="N245">
        <v>3</v>
      </c>
      <c r="O245">
        <v>49</v>
      </c>
      <c r="P245">
        <v>52</v>
      </c>
      <c r="Q245" t="s">
        <v>64</v>
      </c>
      <c r="R245" t="s">
        <v>120</v>
      </c>
      <c r="S245" t="s">
        <v>27</v>
      </c>
      <c r="T245" t="s">
        <v>29</v>
      </c>
      <c r="U245" t="s">
        <v>124</v>
      </c>
    </row>
    <row r="246" spans="1:21" x14ac:dyDescent="0.3">
      <c r="A246">
        <v>702</v>
      </c>
      <c r="B246" s="1">
        <v>40575</v>
      </c>
      <c r="C246">
        <v>1</v>
      </c>
      <c r="D246">
        <v>0</v>
      </c>
      <c r="E246">
        <v>2</v>
      </c>
      <c r="F246">
        <v>14</v>
      </c>
      <c r="G246" t="b">
        <v>0</v>
      </c>
      <c r="H246">
        <v>2</v>
      </c>
      <c r="I246">
        <v>2</v>
      </c>
      <c r="J246">
        <v>0.22</v>
      </c>
      <c r="K246">
        <v>0.2576</v>
      </c>
      <c r="L246">
        <v>0.8</v>
      </c>
      <c r="M246">
        <v>8.9599999999999999E-2</v>
      </c>
      <c r="N246">
        <v>5</v>
      </c>
      <c r="O246">
        <v>49</v>
      </c>
      <c r="P246">
        <v>54</v>
      </c>
      <c r="Q246" t="s">
        <v>64</v>
      </c>
      <c r="R246" t="s">
        <v>120</v>
      </c>
      <c r="S246" t="s">
        <v>27</v>
      </c>
      <c r="T246" t="s">
        <v>29</v>
      </c>
      <c r="U246" t="s">
        <v>124</v>
      </c>
    </row>
    <row r="247" spans="1:21" x14ac:dyDescent="0.3">
      <c r="A247">
        <v>703</v>
      </c>
      <c r="B247" s="1">
        <v>40575</v>
      </c>
      <c r="C247">
        <v>1</v>
      </c>
      <c r="D247">
        <v>0</v>
      </c>
      <c r="E247">
        <v>2</v>
      </c>
      <c r="F247">
        <v>15</v>
      </c>
      <c r="G247" t="b">
        <v>0</v>
      </c>
      <c r="H247">
        <v>2</v>
      </c>
      <c r="I247">
        <v>2</v>
      </c>
      <c r="J247">
        <v>0.24</v>
      </c>
      <c r="K247">
        <v>0.28789999999999999</v>
      </c>
      <c r="L247">
        <v>0.75</v>
      </c>
      <c r="M247">
        <v>0</v>
      </c>
      <c r="N247">
        <v>7</v>
      </c>
      <c r="O247">
        <v>45</v>
      </c>
      <c r="P247">
        <v>52</v>
      </c>
      <c r="Q247" t="s">
        <v>64</v>
      </c>
      <c r="R247" t="s">
        <v>120</v>
      </c>
      <c r="S247" t="s">
        <v>27</v>
      </c>
      <c r="T247" t="s">
        <v>29</v>
      </c>
      <c r="U247" t="s">
        <v>124</v>
      </c>
    </row>
    <row r="248" spans="1:21" x14ac:dyDescent="0.3">
      <c r="A248">
        <v>704</v>
      </c>
      <c r="B248" s="1">
        <v>40575</v>
      </c>
      <c r="C248">
        <v>1</v>
      </c>
      <c r="D248">
        <v>0</v>
      </c>
      <c r="E248">
        <v>2</v>
      </c>
      <c r="F248">
        <v>16</v>
      </c>
      <c r="G248" t="b">
        <v>0</v>
      </c>
      <c r="H248">
        <v>2</v>
      </c>
      <c r="I248">
        <v>2</v>
      </c>
      <c r="J248">
        <v>0.24</v>
      </c>
      <c r="K248">
        <v>0.2424</v>
      </c>
      <c r="L248">
        <v>0.75</v>
      </c>
      <c r="M248">
        <v>0.1343</v>
      </c>
      <c r="N248">
        <v>3</v>
      </c>
      <c r="O248">
        <v>61</v>
      </c>
      <c r="P248">
        <v>64</v>
      </c>
      <c r="Q248" t="s">
        <v>64</v>
      </c>
      <c r="R248" t="s">
        <v>120</v>
      </c>
      <c r="S248" t="s">
        <v>27</v>
      </c>
      <c r="T248" t="s">
        <v>29</v>
      </c>
      <c r="U248" t="s">
        <v>124</v>
      </c>
    </row>
    <row r="249" spans="1:21" x14ac:dyDescent="0.3">
      <c r="A249">
        <v>705</v>
      </c>
      <c r="B249" s="1">
        <v>40575</v>
      </c>
      <c r="C249">
        <v>1</v>
      </c>
      <c r="D249">
        <v>0</v>
      </c>
      <c r="E249">
        <v>2</v>
      </c>
      <c r="F249">
        <v>17</v>
      </c>
      <c r="G249" t="b">
        <v>0</v>
      </c>
      <c r="H249">
        <v>2</v>
      </c>
      <c r="I249">
        <v>2</v>
      </c>
      <c r="J249">
        <v>0.24</v>
      </c>
      <c r="K249">
        <v>0.28789999999999999</v>
      </c>
      <c r="L249">
        <v>0.75</v>
      </c>
      <c r="M249">
        <v>0</v>
      </c>
      <c r="N249">
        <v>4</v>
      </c>
      <c r="O249">
        <v>172</v>
      </c>
      <c r="P249">
        <v>176</v>
      </c>
      <c r="Q249" t="s">
        <v>64</v>
      </c>
      <c r="R249" t="s">
        <v>120</v>
      </c>
      <c r="S249" t="s">
        <v>27</v>
      </c>
      <c r="T249" t="s">
        <v>29</v>
      </c>
      <c r="U249" t="s">
        <v>124</v>
      </c>
    </row>
    <row r="250" spans="1:21" x14ac:dyDescent="0.3">
      <c r="A250">
        <v>706</v>
      </c>
      <c r="B250" s="1">
        <v>40575</v>
      </c>
      <c r="C250">
        <v>1</v>
      </c>
      <c r="D250">
        <v>0</v>
      </c>
      <c r="E250">
        <v>2</v>
      </c>
      <c r="F250">
        <v>18</v>
      </c>
      <c r="G250" t="b">
        <v>0</v>
      </c>
      <c r="H250">
        <v>2</v>
      </c>
      <c r="I250">
        <v>2</v>
      </c>
      <c r="J250">
        <v>0.24</v>
      </c>
      <c r="K250">
        <v>0.2576</v>
      </c>
      <c r="L250">
        <v>0.81</v>
      </c>
      <c r="M250">
        <v>0.1045</v>
      </c>
      <c r="N250">
        <v>3</v>
      </c>
      <c r="O250">
        <v>165</v>
      </c>
      <c r="P250">
        <v>168</v>
      </c>
      <c r="Q250" t="s">
        <v>64</v>
      </c>
      <c r="R250" t="s">
        <v>120</v>
      </c>
      <c r="S250" t="s">
        <v>27</v>
      </c>
      <c r="T250" t="s">
        <v>29</v>
      </c>
      <c r="U250" t="s">
        <v>124</v>
      </c>
    </row>
    <row r="251" spans="1:21" x14ac:dyDescent="0.3">
      <c r="A251">
        <v>707</v>
      </c>
      <c r="B251" s="1">
        <v>40575</v>
      </c>
      <c r="C251">
        <v>1</v>
      </c>
      <c r="D251">
        <v>0</v>
      </c>
      <c r="E251">
        <v>2</v>
      </c>
      <c r="F251">
        <v>19</v>
      </c>
      <c r="G251" t="b">
        <v>0</v>
      </c>
      <c r="H251">
        <v>2</v>
      </c>
      <c r="I251">
        <v>2</v>
      </c>
      <c r="J251">
        <v>0.24</v>
      </c>
      <c r="K251">
        <v>0.2424</v>
      </c>
      <c r="L251">
        <v>0.81</v>
      </c>
      <c r="M251">
        <v>0.1343</v>
      </c>
      <c r="N251">
        <v>3</v>
      </c>
      <c r="O251">
        <v>105</v>
      </c>
      <c r="P251">
        <v>108</v>
      </c>
      <c r="Q251" t="s">
        <v>64</v>
      </c>
      <c r="R251" t="s">
        <v>120</v>
      </c>
      <c r="S251" t="s">
        <v>27</v>
      </c>
      <c r="T251" t="s">
        <v>29</v>
      </c>
      <c r="U251" t="s">
        <v>124</v>
      </c>
    </row>
    <row r="252" spans="1:21" x14ac:dyDescent="0.3">
      <c r="A252">
        <v>708</v>
      </c>
      <c r="B252" s="1">
        <v>40575</v>
      </c>
      <c r="C252">
        <v>1</v>
      </c>
      <c r="D252">
        <v>0</v>
      </c>
      <c r="E252">
        <v>2</v>
      </c>
      <c r="F252">
        <v>20</v>
      </c>
      <c r="G252" t="b">
        <v>0</v>
      </c>
      <c r="H252">
        <v>2</v>
      </c>
      <c r="I252">
        <v>2</v>
      </c>
      <c r="J252">
        <v>0.22</v>
      </c>
      <c r="K252">
        <v>0.2273</v>
      </c>
      <c r="L252">
        <v>0.87</v>
      </c>
      <c r="M252">
        <v>0.1343</v>
      </c>
      <c r="N252">
        <v>5</v>
      </c>
      <c r="O252">
        <v>69</v>
      </c>
      <c r="P252">
        <v>74</v>
      </c>
      <c r="Q252" t="s">
        <v>64</v>
      </c>
      <c r="R252" t="s">
        <v>120</v>
      </c>
      <c r="S252" t="s">
        <v>27</v>
      </c>
      <c r="T252" t="s">
        <v>29</v>
      </c>
      <c r="U252" t="s">
        <v>124</v>
      </c>
    </row>
    <row r="253" spans="1:21" x14ac:dyDescent="0.3">
      <c r="A253">
        <v>709</v>
      </c>
      <c r="B253" s="1">
        <v>40575</v>
      </c>
      <c r="C253">
        <v>1</v>
      </c>
      <c r="D253">
        <v>0</v>
      </c>
      <c r="E253">
        <v>2</v>
      </c>
      <c r="F253">
        <v>21</v>
      </c>
      <c r="G253" t="b">
        <v>0</v>
      </c>
      <c r="H253">
        <v>2</v>
      </c>
      <c r="I253">
        <v>2</v>
      </c>
      <c r="J253">
        <v>0.22</v>
      </c>
      <c r="K253">
        <v>0.2273</v>
      </c>
      <c r="L253">
        <v>0.87</v>
      </c>
      <c r="M253">
        <v>0.1343</v>
      </c>
      <c r="N253">
        <v>0</v>
      </c>
      <c r="O253">
        <v>64</v>
      </c>
      <c r="P253">
        <v>64</v>
      </c>
      <c r="Q253" t="s">
        <v>64</v>
      </c>
      <c r="R253" t="s">
        <v>120</v>
      </c>
      <c r="S253" t="s">
        <v>27</v>
      </c>
      <c r="T253" t="s">
        <v>29</v>
      </c>
      <c r="U253" t="s">
        <v>124</v>
      </c>
    </row>
    <row r="254" spans="1:21" x14ac:dyDescent="0.3">
      <c r="A254">
        <v>710</v>
      </c>
      <c r="B254" s="1">
        <v>40575</v>
      </c>
      <c r="C254">
        <v>1</v>
      </c>
      <c r="D254">
        <v>0</v>
      </c>
      <c r="E254">
        <v>2</v>
      </c>
      <c r="F254">
        <v>22</v>
      </c>
      <c r="G254" t="b">
        <v>0</v>
      </c>
      <c r="H254">
        <v>2</v>
      </c>
      <c r="I254">
        <v>2</v>
      </c>
      <c r="J254">
        <v>0.22</v>
      </c>
      <c r="K254">
        <v>0.2576</v>
      </c>
      <c r="L254">
        <v>0.87</v>
      </c>
      <c r="M254">
        <v>8.9599999999999999E-2</v>
      </c>
      <c r="N254">
        <v>2</v>
      </c>
      <c r="O254">
        <v>34</v>
      </c>
      <c r="P254">
        <v>36</v>
      </c>
      <c r="Q254" t="s">
        <v>64</v>
      </c>
      <c r="R254" t="s">
        <v>120</v>
      </c>
      <c r="S254" t="s">
        <v>27</v>
      </c>
      <c r="T254" t="s">
        <v>29</v>
      </c>
      <c r="U254" t="s">
        <v>124</v>
      </c>
    </row>
    <row r="255" spans="1:21" x14ac:dyDescent="0.3">
      <c r="A255">
        <v>711</v>
      </c>
      <c r="B255" s="1">
        <v>40575</v>
      </c>
      <c r="C255">
        <v>1</v>
      </c>
      <c r="D255">
        <v>0</v>
      </c>
      <c r="E255">
        <v>2</v>
      </c>
      <c r="F255">
        <v>23</v>
      </c>
      <c r="G255" t="b">
        <v>0</v>
      </c>
      <c r="H255">
        <v>2</v>
      </c>
      <c r="I255">
        <v>3</v>
      </c>
      <c r="J255">
        <v>0.2</v>
      </c>
      <c r="K255">
        <v>0.19700000000000001</v>
      </c>
      <c r="L255">
        <v>0.93</v>
      </c>
      <c r="M255">
        <v>0.19400000000000001</v>
      </c>
      <c r="N255">
        <v>1</v>
      </c>
      <c r="O255">
        <v>15</v>
      </c>
      <c r="P255">
        <v>16</v>
      </c>
      <c r="Q255" t="s">
        <v>63</v>
      </c>
      <c r="R255" t="s">
        <v>120</v>
      </c>
      <c r="S255" t="s">
        <v>27</v>
      </c>
      <c r="T255" t="s">
        <v>29</v>
      </c>
      <c r="U255" t="s">
        <v>125</v>
      </c>
    </row>
    <row r="256" spans="1:21" x14ac:dyDescent="0.3">
      <c r="A256">
        <v>854</v>
      </c>
      <c r="B256" s="1">
        <v>40582</v>
      </c>
      <c r="C256">
        <v>1</v>
      </c>
      <c r="D256">
        <v>0</v>
      </c>
      <c r="E256">
        <v>2</v>
      </c>
      <c r="F256">
        <v>0</v>
      </c>
      <c r="G256" t="b">
        <v>0</v>
      </c>
      <c r="H256">
        <v>2</v>
      </c>
      <c r="I256">
        <v>2</v>
      </c>
      <c r="J256">
        <v>0.28000000000000003</v>
      </c>
      <c r="K256">
        <v>0.31819999999999998</v>
      </c>
      <c r="L256">
        <v>0.87</v>
      </c>
      <c r="M256">
        <v>0</v>
      </c>
      <c r="N256">
        <v>4</v>
      </c>
      <c r="O256">
        <v>6</v>
      </c>
      <c r="P256">
        <v>10</v>
      </c>
      <c r="Q256" t="s">
        <v>64</v>
      </c>
      <c r="R256" t="s">
        <v>120</v>
      </c>
      <c r="S256" t="s">
        <v>27</v>
      </c>
      <c r="T256" t="s">
        <v>29</v>
      </c>
      <c r="U256" t="s">
        <v>124</v>
      </c>
    </row>
    <row r="257" spans="1:21" x14ac:dyDescent="0.3">
      <c r="A257">
        <v>855</v>
      </c>
      <c r="B257" s="1">
        <v>40582</v>
      </c>
      <c r="C257">
        <v>1</v>
      </c>
      <c r="D257">
        <v>0</v>
      </c>
      <c r="E257">
        <v>2</v>
      </c>
      <c r="F257">
        <v>1</v>
      </c>
      <c r="G257" t="b">
        <v>0</v>
      </c>
      <c r="H257">
        <v>2</v>
      </c>
      <c r="I257">
        <v>2</v>
      </c>
      <c r="J257">
        <v>0.28000000000000003</v>
      </c>
      <c r="K257">
        <v>0.31819999999999998</v>
      </c>
      <c r="L257">
        <v>0.87</v>
      </c>
      <c r="M257">
        <v>0</v>
      </c>
      <c r="N257">
        <v>0</v>
      </c>
      <c r="O257">
        <v>4</v>
      </c>
      <c r="P257">
        <v>4</v>
      </c>
      <c r="Q257" t="s">
        <v>64</v>
      </c>
      <c r="R257" t="s">
        <v>120</v>
      </c>
      <c r="S257" t="s">
        <v>27</v>
      </c>
      <c r="T257" t="s">
        <v>29</v>
      </c>
      <c r="U257" t="s">
        <v>124</v>
      </c>
    </row>
    <row r="258" spans="1:21" x14ac:dyDescent="0.3">
      <c r="A258">
        <v>856</v>
      </c>
      <c r="B258" s="1">
        <v>40582</v>
      </c>
      <c r="C258">
        <v>1</v>
      </c>
      <c r="D258">
        <v>0</v>
      </c>
      <c r="E258">
        <v>2</v>
      </c>
      <c r="F258">
        <v>2</v>
      </c>
      <c r="G258" t="b">
        <v>0</v>
      </c>
      <c r="H258">
        <v>2</v>
      </c>
      <c r="I258">
        <v>2</v>
      </c>
      <c r="J258">
        <v>0.26</v>
      </c>
      <c r="K258">
        <v>0.2727</v>
      </c>
      <c r="L258">
        <v>0.93</v>
      </c>
      <c r="M258">
        <v>0.1045</v>
      </c>
      <c r="N258">
        <v>1</v>
      </c>
      <c r="O258">
        <v>1</v>
      </c>
      <c r="P258">
        <v>2</v>
      </c>
      <c r="Q258" t="s">
        <v>64</v>
      </c>
      <c r="R258" t="s">
        <v>120</v>
      </c>
      <c r="S258" t="s">
        <v>27</v>
      </c>
      <c r="T258" t="s">
        <v>29</v>
      </c>
      <c r="U258" t="s">
        <v>124</v>
      </c>
    </row>
    <row r="259" spans="1:21" x14ac:dyDescent="0.3">
      <c r="A259">
        <v>857</v>
      </c>
      <c r="B259" s="1">
        <v>40582</v>
      </c>
      <c r="C259">
        <v>1</v>
      </c>
      <c r="D259">
        <v>0</v>
      </c>
      <c r="E259">
        <v>2</v>
      </c>
      <c r="F259">
        <v>3</v>
      </c>
      <c r="G259" t="b">
        <v>0</v>
      </c>
      <c r="H259">
        <v>2</v>
      </c>
      <c r="I259">
        <v>3</v>
      </c>
      <c r="J259">
        <v>0.28000000000000003</v>
      </c>
      <c r="K259">
        <v>0.2727</v>
      </c>
      <c r="L259">
        <v>0.93</v>
      </c>
      <c r="M259">
        <v>0.16420000000000001</v>
      </c>
      <c r="N259">
        <v>0</v>
      </c>
      <c r="O259">
        <v>1</v>
      </c>
      <c r="P259">
        <v>1</v>
      </c>
      <c r="Q259" t="s">
        <v>63</v>
      </c>
      <c r="R259" t="s">
        <v>120</v>
      </c>
      <c r="S259" t="s">
        <v>27</v>
      </c>
      <c r="T259" t="s">
        <v>29</v>
      </c>
      <c r="U259" t="s">
        <v>125</v>
      </c>
    </row>
    <row r="260" spans="1:21" x14ac:dyDescent="0.3">
      <c r="A260">
        <v>858</v>
      </c>
      <c r="B260" s="1">
        <v>40582</v>
      </c>
      <c r="C260">
        <v>1</v>
      </c>
      <c r="D260">
        <v>0</v>
      </c>
      <c r="E260">
        <v>2</v>
      </c>
      <c r="F260">
        <v>4</v>
      </c>
      <c r="G260" t="b">
        <v>0</v>
      </c>
      <c r="H260">
        <v>2</v>
      </c>
      <c r="I260">
        <v>1</v>
      </c>
      <c r="J260">
        <v>0.26</v>
      </c>
      <c r="K260">
        <v>0.2576</v>
      </c>
      <c r="L260">
        <v>0.93</v>
      </c>
      <c r="M260">
        <v>0.16420000000000001</v>
      </c>
      <c r="N260">
        <v>0</v>
      </c>
      <c r="O260">
        <v>3</v>
      </c>
      <c r="P260">
        <v>3</v>
      </c>
      <c r="Q260" t="s">
        <v>62</v>
      </c>
      <c r="R260" t="s">
        <v>120</v>
      </c>
      <c r="S260" t="s">
        <v>27</v>
      </c>
      <c r="T260" t="s">
        <v>29</v>
      </c>
      <c r="U260" t="s">
        <v>123</v>
      </c>
    </row>
    <row r="261" spans="1:21" x14ac:dyDescent="0.3">
      <c r="A261">
        <v>859</v>
      </c>
      <c r="B261" s="1">
        <v>40582</v>
      </c>
      <c r="C261">
        <v>1</v>
      </c>
      <c r="D261">
        <v>0</v>
      </c>
      <c r="E261">
        <v>2</v>
      </c>
      <c r="F261">
        <v>5</v>
      </c>
      <c r="G261" t="b">
        <v>0</v>
      </c>
      <c r="H261">
        <v>2</v>
      </c>
      <c r="I261">
        <v>1</v>
      </c>
      <c r="J261">
        <v>0.26</v>
      </c>
      <c r="K261">
        <v>0.2273</v>
      </c>
      <c r="L261">
        <v>0.81</v>
      </c>
      <c r="M261">
        <v>0.32840000000000003</v>
      </c>
      <c r="N261">
        <v>0</v>
      </c>
      <c r="O261">
        <v>2</v>
      </c>
      <c r="P261">
        <v>2</v>
      </c>
      <c r="Q261" t="s">
        <v>62</v>
      </c>
      <c r="R261" t="s">
        <v>120</v>
      </c>
      <c r="S261" t="s">
        <v>27</v>
      </c>
      <c r="T261" t="s">
        <v>29</v>
      </c>
      <c r="U261" t="s">
        <v>123</v>
      </c>
    </row>
    <row r="262" spans="1:21" x14ac:dyDescent="0.3">
      <c r="A262">
        <v>860</v>
      </c>
      <c r="B262" s="1">
        <v>40582</v>
      </c>
      <c r="C262">
        <v>1</v>
      </c>
      <c r="D262">
        <v>0</v>
      </c>
      <c r="E262">
        <v>2</v>
      </c>
      <c r="F262">
        <v>6</v>
      </c>
      <c r="G262" t="b">
        <v>0</v>
      </c>
      <c r="H262">
        <v>2</v>
      </c>
      <c r="I262">
        <v>1</v>
      </c>
      <c r="J262">
        <v>0.26</v>
      </c>
      <c r="K262">
        <v>0.2273</v>
      </c>
      <c r="L262">
        <v>0.7</v>
      </c>
      <c r="M262">
        <v>0.32840000000000003</v>
      </c>
      <c r="N262">
        <v>0</v>
      </c>
      <c r="O262">
        <v>39</v>
      </c>
      <c r="P262">
        <v>39</v>
      </c>
      <c r="Q262" t="s">
        <v>62</v>
      </c>
      <c r="R262" t="s">
        <v>120</v>
      </c>
      <c r="S262" t="s">
        <v>27</v>
      </c>
      <c r="T262" t="s">
        <v>29</v>
      </c>
      <c r="U262" t="s">
        <v>123</v>
      </c>
    </row>
    <row r="263" spans="1:21" x14ac:dyDescent="0.3">
      <c r="A263">
        <v>861</v>
      </c>
      <c r="B263" s="1">
        <v>40582</v>
      </c>
      <c r="C263">
        <v>1</v>
      </c>
      <c r="D263">
        <v>0</v>
      </c>
      <c r="E263">
        <v>2</v>
      </c>
      <c r="F263">
        <v>7</v>
      </c>
      <c r="G263" t="b">
        <v>0</v>
      </c>
      <c r="H263">
        <v>2</v>
      </c>
      <c r="I263">
        <v>1</v>
      </c>
      <c r="J263">
        <v>0.24</v>
      </c>
      <c r="K263">
        <v>0.19700000000000001</v>
      </c>
      <c r="L263">
        <v>0.65</v>
      </c>
      <c r="M263">
        <v>0.41789999999999999</v>
      </c>
      <c r="N263">
        <v>3</v>
      </c>
      <c r="O263">
        <v>97</v>
      </c>
      <c r="P263">
        <v>100</v>
      </c>
      <c r="Q263" t="s">
        <v>62</v>
      </c>
      <c r="R263" t="s">
        <v>120</v>
      </c>
      <c r="S263" t="s">
        <v>27</v>
      </c>
      <c r="T263" t="s">
        <v>29</v>
      </c>
      <c r="U263" t="s">
        <v>123</v>
      </c>
    </row>
    <row r="264" spans="1:21" x14ac:dyDescent="0.3">
      <c r="A264">
        <v>862</v>
      </c>
      <c r="B264" s="1">
        <v>40582</v>
      </c>
      <c r="C264">
        <v>1</v>
      </c>
      <c r="D264">
        <v>0</v>
      </c>
      <c r="E264">
        <v>2</v>
      </c>
      <c r="F264">
        <v>8</v>
      </c>
      <c r="G264" t="b">
        <v>0</v>
      </c>
      <c r="H264">
        <v>2</v>
      </c>
      <c r="I264">
        <v>1</v>
      </c>
      <c r="J264">
        <v>0.24</v>
      </c>
      <c r="K264">
        <v>0.19700000000000001</v>
      </c>
      <c r="L264">
        <v>0.56000000000000005</v>
      </c>
      <c r="M264">
        <v>0.49249999999999999</v>
      </c>
      <c r="N264">
        <v>7</v>
      </c>
      <c r="O264">
        <v>236</v>
      </c>
      <c r="P264">
        <v>243</v>
      </c>
      <c r="Q264" t="s">
        <v>62</v>
      </c>
      <c r="R264" t="s">
        <v>120</v>
      </c>
      <c r="S264" t="s">
        <v>27</v>
      </c>
      <c r="T264" t="s">
        <v>29</v>
      </c>
      <c r="U264" t="s">
        <v>123</v>
      </c>
    </row>
    <row r="265" spans="1:21" x14ac:dyDescent="0.3">
      <c r="A265">
        <v>863</v>
      </c>
      <c r="B265" s="1">
        <v>40582</v>
      </c>
      <c r="C265">
        <v>1</v>
      </c>
      <c r="D265">
        <v>0</v>
      </c>
      <c r="E265">
        <v>2</v>
      </c>
      <c r="F265">
        <v>9</v>
      </c>
      <c r="G265" t="b">
        <v>0</v>
      </c>
      <c r="H265">
        <v>2</v>
      </c>
      <c r="I265">
        <v>1</v>
      </c>
      <c r="J265">
        <v>0.24</v>
      </c>
      <c r="K265">
        <v>0.19700000000000001</v>
      </c>
      <c r="L265">
        <v>0.52</v>
      </c>
      <c r="M265">
        <v>0.49249999999999999</v>
      </c>
      <c r="N265">
        <v>7</v>
      </c>
      <c r="O265">
        <v>128</v>
      </c>
      <c r="P265">
        <v>135</v>
      </c>
      <c r="Q265" t="s">
        <v>62</v>
      </c>
      <c r="R265" t="s">
        <v>120</v>
      </c>
      <c r="S265" t="s">
        <v>27</v>
      </c>
      <c r="T265" t="s">
        <v>29</v>
      </c>
      <c r="U265" t="s">
        <v>123</v>
      </c>
    </row>
    <row r="266" spans="1:21" x14ac:dyDescent="0.3">
      <c r="A266">
        <v>864</v>
      </c>
      <c r="B266" s="1">
        <v>40582</v>
      </c>
      <c r="C266">
        <v>1</v>
      </c>
      <c r="D266">
        <v>0</v>
      </c>
      <c r="E266">
        <v>2</v>
      </c>
      <c r="F266">
        <v>10</v>
      </c>
      <c r="G266" t="b">
        <v>0</v>
      </c>
      <c r="H266">
        <v>2</v>
      </c>
      <c r="I266">
        <v>1</v>
      </c>
      <c r="J266">
        <v>0.22</v>
      </c>
      <c r="K266">
        <v>0.18179999999999999</v>
      </c>
      <c r="L266">
        <v>0.47</v>
      </c>
      <c r="M266">
        <v>0.55220000000000002</v>
      </c>
      <c r="N266">
        <v>4</v>
      </c>
      <c r="O266">
        <v>44</v>
      </c>
      <c r="P266">
        <v>48</v>
      </c>
      <c r="Q266" t="s">
        <v>62</v>
      </c>
      <c r="R266" t="s">
        <v>120</v>
      </c>
      <c r="S266" t="s">
        <v>27</v>
      </c>
      <c r="T266" t="s">
        <v>29</v>
      </c>
      <c r="U266" t="s">
        <v>123</v>
      </c>
    </row>
    <row r="267" spans="1:21" x14ac:dyDescent="0.3">
      <c r="A267">
        <v>865</v>
      </c>
      <c r="B267" s="1">
        <v>40582</v>
      </c>
      <c r="C267">
        <v>1</v>
      </c>
      <c r="D267">
        <v>0</v>
      </c>
      <c r="E267">
        <v>2</v>
      </c>
      <c r="F267">
        <v>11</v>
      </c>
      <c r="G267" t="b">
        <v>0</v>
      </c>
      <c r="H267">
        <v>2</v>
      </c>
      <c r="I267">
        <v>1</v>
      </c>
      <c r="J267">
        <v>0.22</v>
      </c>
      <c r="K267">
        <v>0.18179999999999999</v>
      </c>
      <c r="L267">
        <v>0.47</v>
      </c>
      <c r="M267">
        <v>0.4627</v>
      </c>
      <c r="N267">
        <v>1</v>
      </c>
      <c r="O267">
        <v>49</v>
      </c>
      <c r="P267">
        <v>50</v>
      </c>
      <c r="Q267" t="s">
        <v>62</v>
      </c>
      <c r="R267" t="s">
        <v>120</v>
      </c>
      <c r="S267" t="s">
        <v>27</v>
      </c>
      <c r="T267" t="s">
        <v>29</v>
      </c>
      <c r="U267" t="s">
        <v>123</v>
      </c>
    </row>
    <row r="268" spans="1:21" x14ac:dyDescent="0.3">
      <c r="A268">
        <v>866</v>
      </c>
      <c r="B268" s="1">
        <v>40582</v>
      </c>
      <c r="C268">
        <v>1</v>
      </c>
      <c r="D268">
        <v>0</v>
      </c>
      <c r="E268">
        <v>2</v>
      </c>
      <c r="F268">
        <v>12</v>
      </c>
      <c r="G268" t="b">
        <v>0</v>
      </c>
      <c r="H268">
        <v>2</v>
      </c>
      <c r="I268">
        <v>1</v>
      </c>
      <c r="J268">
        <v>0.24</v>
      </c>
      <c r="K268">
        <v>0.19700000000000001</v>
      </c>
      <c r="L268">
        <v>0.38</v>
      </c>
      <c r="M268">
        <v>0.49249999999999999</v>
      </c>
      <c r="N268">
        <v>2</v>
      </c>
      <c r="O268">
        <v>63</v>
      </c>
      <c r="P268">
        <v>65</v>
      </c>
      <c r="Q268" t="s">
        <v>62</v>
      </c>
      <c r="R268" t="s">
        <v>120</v>
      </c>
      <c r="S268" t="s">
        <v>27</v>
      </c>
      <c r="T268" t="s">
        <v>29</v>
      </c>
      <c r="U268" t="s">
        <v>123</v>
      </c>
    </row>
    <row r="269" spans="1:21" x14ac:dyDescent="0.3">
      <c r="A269">
        <v>867</v>
      </c>
      <c r="B269" s="1">
        <v>40582</v>
      </c>
      <c r="C269">
        <v>1</v>
      </c>
      <c r="D269">
        <v>0</v>
      </c>
      <c r="E269">
        <v>2</v>
      </c>
      <c r="F269">
        <v>13</v>
      </c>
      <c r="G269" t="b">
        <v>0</v>
      </c>
      <c r="H269">
        <v>2</v>
      </c>
      <c r="I269">
        <v>2</v>
      </c>
      <c r="J269">
        <v>0.24</v>
      </c>
      <c r="K269">
        <v>0.19700000000000001</v>
      </c>
      <c r="L269">
        <v>0.32</v>
      </c>
      <c r="M269">
        <v>0.44779999999999998</v>
      </c>
      <c r="N269">
        <v>2</v>
      </c>
      <c r="O269">
        <v>48</v>
      </c>
      <c r="P269">
        <v>50</v>
      </c>
      <c r="Q269" t="s">
        <v>64</v>
      </c>
      <c r="R269" t="s">
        <v>120</v>
      </c>
      <c r="S269" t="s">
        <v>27</v>
      </c>
      <c r="T269" t="s">
        <v>29</v>
      </c>
      <c r="U269" t="s">
        <v>124</v>
      </c>
    </row>
    <row r="270" spans="1:21" x14ac:dyDescent="0.3">
      <c r="A270">
        <v>868</v>
      </c>
      <c r="B270" s="1">
        <v>40582</v>
      </c>
      <c r="C270">
        <v>1</v>
      </c>
      <c r="D270">
        <v>0</v>
      </c>
      <c r="E270">
        <v>2</v>
      </c>
      <c r="F270">
        <v>14</v>
      </c>
      <c r="G270" t="b">
        <v>0</v>
      </c>
      <c r="H270">
        <v>2</v>
      </c>
      <c r="I270">
        <v>1</v>
      </c>
      <c r="J270">
        <v>0.22</v>
      </c>
      <c r="K270">
        <v>0.19700000000000001</v>
      </c>
      <c r="L270">
        <v>0.37</v>
      </c>
      <c r="M270">
        <v>0.41789999999999999</v>
      </c>
      <c r="N270">
        <v>3</v>
      </c>
      <c r="O270">
        <v>61</v>
      </c>
      <c r="P270">
        <v>64</v>
      </c>
      <c r="Q270" t="s">
        <v>62</v>
      </c>
      <c r="R270" t="s">
        <v>120</v>
      </c>
      <c r="S270" t="s">
        <v>27</v>
      </c>
      <c r="T270" t="s">
        <v>29</v>
      </c>
      <c r="U270" t="s">
        <v>123</v>
      </c>
    </row>
    <row r="271" spans="1:21" x14ac:dyDescent="0.3">
      <c r="A271">
        <v>869</v>
      </c>
      <c r="B271" s="1">
        <v>40582</v>
      </c>
      <c r="C271">
        <v>1</v>
      </c>
      <c r="D271">
        <v>0</v>
      </c>
      <c r="E271">
        <v>2</v>
      </c>
      <c r="F271">
        <v>15</v>
      </c>
      <c r="G271" t="b">
        <v>0</v>
      </c>
      <c r="H271">
        <v>2</v>
      </c>
      <c r="I271">
        <v>1</v>
      </c>
      <c r="J271">
        <v>0.22</v>
      </c>
      <c r="K271">
        <v>0.19700000000000001</v>
      </c>
      <c r="L271">
        <v>0.35</v>
      </c>
      <c r="M271">
        <v>0.3881</v>
      </c>
      <c r="N271">
        <v>6</v>
      </c>
      <c r="O271">
        <v>45</v>
      </c>
      <c r="P271">
        <v>51</v>
      </c>
      <c r="Q271" t="s">
        <v>62</v>
      </c>
      <c r="R271" t="s">
        <v>120</v>
      </c>
      <c r="S271" t="s">
        <v>27</v>
      </c>
      <c r="T271" t="s">
        <v>29</v>
      </c>
      <c r="U271" t="s">
        <v>123</v>
      </c>
    </row>
    <row r="272" spans="1:21" x14ac:dyDescent="0.3">
      <c r="A272">
        <v>870</v>
      </c>
      <c r="B272" s="1">
        <v>40582</v>
      </c>
      <c r="C272">
        <v>1</v>
      </c>
      <c r="D272">
        <v>0</v>
      </c>
      <c r="E272">
        <v>2</v>
      </c>
      <c r="F272">
        <v>16</v>
      </c>
      <c r="G272" t="b">
        <v>0</v>
      </c>
      <c r="H272">
        <v>2</v>
      </c>
      <c r="I272">
        <v>1</v>
      </c>
      <c r="J272">
        <v>0.22</v>
      </c>
      <c r="K272">
        <v>0.18179999999999999</v>
      </c>
      <c r="L272">
        <v>0.35</v>
      </c>
      <c r="M272">
        <v>0.52239999999999998</v>
      </c>
      <c r="N272">
        <v>4</v>
      </c>
      <c r="O272">
        <v>79</v>
      </c>
      <c r="P272">
        <v>83</v>
      </c>
      <c r="Q272" t="s">
        <v>62</v>
      </c>
      <c r="R272" t="s">
        <v>120</v>
      </c>
      <c r="S272" t="s">
        <v>27</v>
      </c>
      <c r="T272" t="s">
        <v>29</v>
      </c>
      <c r="U272" t="s">
        <v>123</v>
      </c>
    </row>
    <row r="273" spans="1:21" x14ac:dyDescent="0.3">
      <c r="A273">
        <v>871</v>
      </c>
      <c r="B273" s="1">
        <v>40582</v>
      </c>
      <c r="C273">
        <v>1</v>
      </c>
      <c r="D273">
        <v>0</v>
      </c>
      <c r="E273">
        <v>2</v>
      </c>
      <c r="F273">
        <v>17</v>
      </c>
      <c r="G273" t="b">
        <v>0</v>
      </c>
      <c r="H273">
        <v>2</v>
      </c>
      <c r="I273">
        <v>1</v>
      </c>
      <c r="J273">
        <v>0.22</v>
      </c>
      <c r="K273">
        <v>0.18179999999999999</v>
      </c>
      <c r="L273">
        <v>0.32</v>
      </c>
      <c r="M273">
        <v>0.58209999999999995</v>
      </c>
      <c r="N273">
        <v>4</v>
      </c>
      <c r="O273">
        <v>172</v>
      </c>
      <c r="P273">
        <v>176</v>
      </c>
      <c r="Q273" t="s">
        <v>62</v>
      </c>
      <c r="R273" t="s">
        <v>120</v>
      </c>
      <c r="S273" t="s">
        <v>27</v>
      </c>
      <c r="T273" t="s">
        <v>29</v>
      </c>
      <c r="U273" t="s">
        <v>123</v>
      </c>
    </row>
    <row r="274" spans="1:21" x14ac:dyDescent="0.3">
      <c r="A274">
        <v>872</v>
      </c>
      <c r="B274" s="1">
        <v>40582</v>
      </c>
      <c r="C274">
        <v>1</v>
      </c>
      <c r="D274">
        <v>0</v>
      </c>
      <c r="E274">
        <v>2</v>
      </c>
      <c r="F274">
        <v>18</v>
      </c>
      <c r="G274" t="b">
        <v>0</v>
      </c>
      <c r="H274">
        <v>2</v>
      </c>
      <c r="I274">
        <v>1</v>
      </c>
      <c r="J274">
        <v>0.2</v>
      </c>
      <c r="K274">
        <v>0.18179999999999999</v>
      </c>
      <c r="L274">
        <v>0.32</v>
      </c>
      <c r="M274">
        <v>0.3881</v>
      </c>
      <c r="N274">
        <v>1</v>
      </c>
      <c r="O274">
        <v>151</v>
      </c>
      <c r="P274">
        <v>152</v>
      </c>
      <c r="Q274" t="s">
        <v>62</v>
      </c>
      <c r="R274" t="s">
        <v>120</v>
      </c>
      <c r="S274" t="s">
        <v>27</v>
      </c>
      <c r="T274" t="s">
        <v>29</v>
      </c>
      <c r="U274" t="s">
        <v>123</v>
      </c>
    </row>
    <row r="275" spans="1:21" x14ac:dyDescent="0.3">
      <c r="A275">
        <v>873</v>
      </c>
      <c r="B275" s="1">
        <v>40582</v>
      </c>
      <c r="C275">
        <v>1</v>
      </c>
      <c r="D275">
        <v>0</v>
      </c>
      <c r="E275">
        <v>2</v>
      </c>
      <c r="F275">
        <v>19</v>
      </c>
      <c r="G275" t="b">
        <v>0</v>
      </c>
      <c r="H275">
        <v>2</v>
      </c>
      <c r="I275">
        <v>1</v>
      </c>
      <c r="J275">
        <v>0.16</v>
      </c>
      <c r="K275">
        <v>0.1212</v>
      </c>
      <c r="L275">
        <v>0.4</v>
      </c>
      <c r="M275">
        <v>0.4627</v>
      </c>
      <c r="N275">
        <v>1</v>
      </c>
      <c r="O275">
        <v>100</v>
      </c>
      <c r="P275">
        <v>101</v>
      </c>
      <c r="Q275" t="s">
        <v>62</v>
      </c>
      <c r="R275" t="s">
        <v>120</v>
      </c>
      <c r="S275" t="s">
        <v>27</v>
      </c>
      <c r="T275" t="s">
        <v>29</v>
      </c>
      <c r="U275" t="s">
        <v>123</v>
      </c>
    </row>
    <row r="276" spans="1:21" x14ac:dyDescent="0.3">
      <c r="A276">
        <v>874</v>
      </c>
      <c r="B276" s="1">
        <v>40582</v>
      </c>
      <c r="C276">
        <v>1</v>
      </c>
      <c r="D276">
        <v>0</v>
      </c>
      <c r="E276">
        <v>2</v>
      </c>
      <c r="F276">
        <v>20</v>
      </c>
      <c r="G276" t="b">
        <v>0</v>
      </c>
      <c r="H276">
        <v>2</v>
      </c>
      <c r="I276">
        <v>1</v>
      </c>
      <c r="J276">
        <v>0.16</v>
      </c>
      <c r="K276">
        <v>0.13639999999999999</v>
      </c>
      <c r="L276">
        <v>0.4</v>
      </c>
      <c r="M276">
        <v>0.32840000000000003</v>
      </c>
      <c r="N276">
        <v>3</v>
      </c>
      <c r="O276">
        <v>53</v>
      </c>
      <c r="P276">
        <v>56</v>
      </c>
      <c r="Q276" t="s">
        <v>62</v>
      </c>
      <c r="R276" t="s">
        <v>120</v>
      </c>
      <c r="S276" t="s">
        <v>27</v>
      </c>
      <c r="T276" t="s">
        <v>29</v>
      </c>
      <c r="U276" t="s">
        <v>123</v>
      </c>
    </row>
    <row r="277" spans="1:21" x14ac:dyDescent="0.3">
      <c r="A277">
        <v>875</v>
      </c>
      <c r="B277" s="1">
        <v>40582</v>
      </c>
      <c r="C277">
        <v>1</v>
      </c>
      <c r="D277">
        <v>0</v>
      </c>
      <c r="E277">
        <v>2</v>
      </c>
      <c r="F277">
        <v>21</v>
      </c>
      <c r="G277" t="b">
        <v>0</v>
      </c>
      <c r="H277">
        <v>2</v>
      </c>
      <c r="I277">
        <v>1</v>
      </c>
      <c r="J277">
        <v>0.14000000000000001</v>
      </c>
      <c r="K277">
        <v>0.1061</v>
      </c>
      <c r="L277">
        <v>0.33</v>
      </c>
      <c r="M277">
        <v>0.4627</v>
      </c>
      <c r="N277">
        <v>8</v>
      </c>
      <c r="O277">
        <v>46</v>
      </c>
      <c r="P277">
        <v>54</v>
      </c>
      <c r="Q277" t="s">
        <v>62</v>
      </c>
      <c r="R277" t="s">
        <v>120</v>
      </c>
      <c r="S277" t="s">
        <v>27</v>
      </c>
      <c r="T277" t="s">
        <v>29</v>
      </c>
      <c r="U277" t="s">
        <v>123</v>
      </c>
    </row>
    <row r="278" spans="1:21" x14ac:dyDescent="0.3">
      <c r="A278">
        <v>876</v>
      </c>
      <c r="B278" s="1">
        <v>40582</v>
      </c>
      <c r="C278">
        <v>1</v>
      </c>
      <c r="D278">
        <v>0</v>
      </c>
      <c r="E278">
        <v>2</v>
      </c>
      <c r="F278">
        <v>22</v>
      </c>
      <c r="G278" t="b">
        <v>0</v>
      </c>
      <c r="H278">
        <v>2</v>
      </c>
      <c r="I278">
        <v>1</v>
      </c>
      <c r="J278">
        <v>0.12</v>
      </c>
      <c r="K278">
        <v>0.1061</v>
      </c>
      <c r="L278">
        <v>0.33</v>
      </c>
      <c r="M278">
        <v>0.35820000000000002</v>
      </c>
      <c r="N278">
        <v>0</v>
      </c>
      <c r="O278">
        <v>29</v>
      </c>
      <c r="P278">
        <v>29</v>
      </c>
      <c r="Q278" t="s">
        <v>62</v>
      </c>
      <c r="R278" t="s">
        <v>120</v>
      </c>
      <c r="S278" t="s">
        <v>27</v>
      </c>
      <c r="T278" t="s">
        <v>29</v>
      </c>
      <c r="U278" t="s">
        <v>123</v>
      </c>
    </row>
    <row r="279" spans="1:21" x14ac:dyDescent="0.3">
      <c r="A279">
        <v>877</v>
      </c>
      <c r="B279" s="1">
        <v>40582</v>
      </c>
      <c r="C279">
        <v>1</v>
      </c>
      <c r="D279">
        <v>0</v>
      </c>
      <c r="E279">
        <v>2</v>
      </c>
      <c r="F279">
        <v>23</v>
      </c>
      <c r="G279" t="b">
        <v>0</v>
      </c>
      <c r="H279">
        <v>2</v>
      </c>
      <c r="I279">
        <v>1</v>
      </c>
      <c r="J279">
        <v>0.12</v>
      </c>
      <c r="K279">
        <v>0.1061</v>
      </c>
      <c r="L279">
        <v>0.33</v>
      </c>
      <c r="M279">
        <v>0.32840000000000003</v>
      </c>
      <c r="N279">
        <v>3</v>
      </c>
      <c r="O279">
        <v>9</v>
      </c>
      <c r="P279">
        <v>12</v>
      </c>
      <c r="Q279" t="s">
        <v>62</v>
      </c>
      <c r="R279" t="s">
        <v>120</v>
      </c>
      <c r="S279" t="s">
        <v>27</v>
      </c>
      <c r="T279" t="s">
        <v>29</v>
      </c>
      <c r="U279" t="s">
        <v>123</v>
      </c>
    </row>
    <row r="280" spans="1:21" x14ac:dyDescent="0.3">
      <c r="A280">
        <v>93</v>
      </c>
      <c r="B280" s="1">
        <v>40548</v>
      </c>
      <c r="C280">
        <v>1</v>
      </c>
      <c r="D280">
        <v>0</v>
      </c>
      <c r="E280">
        <v>1</v>
      </c>
      <c r="F280">
        <v>0</v>
      </c>
      <c r="G280" t="b">
        <v>0</v>
      </c>
      <c r="H280">
        <v>3</v>
      </c>
      <c r="I280">
        <v>1</v>
      </c>
      <c r="J280">
        <v>0.2</v>
      </c>
      <c r="K280">
        <v>0.2576</v>
      </c>
      <c r="L280">
        <v>0.64</v>
      </c>
      <c r="M280">
        <v>0</v>
      </c>
      <c r="N280">
        <v>0</v>
      </c>
      <c r="O280">
        <v>6</v>
      </c>
      <c r="P280">
        <v>6</v>
      </c>
      <c r="Q280" t="s">
        <v>62</v>
      </c>
      <c r="R280" t="s">
        <v>120</v>
      </c>
      <c r="S280" t="s">
        <v>28</v>
      </c>
      <c r="T280" t="s">
        <v>30</v>
      </c>
      <c r="U280" t="s">
        <v>123</v>
      </c>
    </row>
    <row r="281" spans="1:21" x14ac:dyDescent="0.3">
      <c r="A281">
        <v>94</v>
      </c>
      <c r="B281" s="1">
        <v>40548</v>
      </c>
      <c r="C281">
        <v>1</v>
      </c>
      <c r="D281">
        <v>0</v>
      </c>
      <c r="E281">
        <v>1</v>
      </c>
      <c r="F281">
        <v>1</v>
      </c>
      <c r="G281" t="b">
        <v>0</v>
      </c>
      <c r="H281">
        <v>3</v>
      </c>
      <c r="I281">
        <v>1</v>
      </c>
      <c r="J281">
        <v>0.16</v>
      </c>
      <c r="K281">
        <v>0.19700000000000001</v>
      </c>
      <c r="L281">
        <v>0.74</v>
      </c>
      <c r="M281">
        <v>8.9599999999999999E-2</v>
      </c>
      <c r="N281">
        <v>0</v>
      </c>
      <c r="O281">
        <v>6</v>
      </c>
      <c r="P281">
        <v>6</v>
      </c>
      <c r="Q281" t="s">
        <v>62</v>
      </c>
      <c r="R281" t="s">
        <v>120</v>
      </c>
      <c r="S281" t="s">
        <v>28</v>
      </c>
      <c r="T281" t="s">
        <v>30</v>
      </c>
      <c r="U281" t="s">
        <v>123</v>
      </c>
    </row>
    <row r="282" spans="1:21" x14ac:dyDescent="0.3">
      <c r="A282">
        <v>95</v>
      </c>
      <c r="B282" s="1">
        <v>40548</v>
      </c>
      <c r="C282">
        <v>1</v>
      </c>
      <c r="D282">
        <v>0</v>
      </c>
      <c r="E282">
        <v>1</v>
      </c>
      <c r="F282">
        <v>2</v>
      </c>
      <c r="G282" t="b">
        <v>0</v>
      </c>
      <c r="H282">
        <v>3</v>
      </c>
      <c r="I282">
        <v>1</v>
      </c>
      <c r="J282">
        <v>0.16</v>
      </c>
      <c r="K282">
        <v>0.19700000000000001</v>
      </c>
      <c r="L282">
        <v>0.74</v>
      </c>
      <c r="M282">
        <v>8.9599999999999999E-2</v>
      </c>
      <c r="N282">
        <v>0</v>
      </c>
      <c r="O282">
        <v>2</v>
      </c>
      <c r="P282">
        <v>2</v>
      </c>
      <c r="Q282" t="s">
        <v>62</v>
      </c>
      <c r="R282" t="s">
        <v>120</v>
      </c>
      <c r="S282" t="s">
        <v>28</v>
      </c>
      <c r="T282" t="s">
        <v>30</v>
      </c>
      <c r="U282" t="s">
        <v>123</v>
      </c>
    </row>
    <row r="283" spans="1:21" x14ac:dyDescent="0.3">
      <c r="A283">
        <v>96</v>
      </c>
      <c r="B283" s="1">
        <v>40548</v>
      </c>
      <c r="C283">
        <v>1</v>
      </c>
      <c r="D283">
        <v>0</v>
      </c>
      <c r="E283">
        <v>1</v>
      </c>
      <c r="F283">
        <v>4</v>
      </c>
      <c r="G283" t="b">
        <v>0</v>
      </c>
      <c r="H283">
        <v>3</v>
      </c>
      <c r="I283">
        <v>1</v>
      </c>
      <c r="J283">
        <v>0.24</v>
      </c>
      <c r="K283">
        <v>0.2273</v>
      </c>
      <c r="L283">
        <v>0.48</v>
      </c>
      <c r="M283">
        <v>0.22389999999999999</v>
      </c>
      <c r="N283">
        <v>0</v>
      </c>
      <c r="O283">
        <v>2</v>
      </c>
      <c r="P283">
        <v>2</v>
      </c>
      <c r="Q283" t="s">
        <v>62</v>
      </c>
      <c r="R283" t="s">
        <v>120</v>
      </c>
      <c r="S283" t="s">
        <v>28</v>
      </c>
      <c r="T283" t="s">
        <v>30</v>
      </c>
      <c r="U283" t="s">
        <v>123</v>
      </c>
    </row>
    <row r="284" spans="1:21" x14ac:dyDescent="0.3">
      <c r="A284">
        <v>97</v>
      </c>
      <c r="B284" s="1">
        <v>40548</v>
      </c>
      <c r="C284">
        <v>1</v>
      </c>
      <c r="D284">
        <v>0</v>
      </c>
      <c r="E284">
        <v>1</v>
      </c>
      <c r="F284">
        <v>5</v>
      </c>
      <c r="G284" t="b">
        <v>0</v>
      </c>
      <c r="H284">
        <v>3</v>
      </c>
      <c r="I284">
        <v>1</v>
      </c>
      <c r="J284">
        <v>0.22</v>
      </c>
      <c r="K284">
        <v>0.2273</v>
      </c>
      <c r="L284">
        <v>0.47</v>
      </c>
      <c r="M284">
        <v>0.16420000000000001</v>
      </c>
      <c r="N284">
        <v>0</v>
      </c>
      <c r="O284">
        <v>3</v>
      </c>
      <c r="P284">
        <v>3</v>
      </c>
      <c r="Q284" t="s">
        <v>62</v>
      </c>
      <c r="R284" t="s">
        <v>120</v>
      </c>
      <c r="S284" t="s">
        <v>28</v>
      </c>
      <c r="T284" t="s">
        <v>30</v>
      </c>
      <c r="U284" t="s">
        <v>123</v>
      </c>
    </row>
    <row r="285" spans="1:21" x14ac:dyDescent="0.3">
      <c r="A285">
        <v>98</v>
      </c>
      <c r="B285" s="1">
        <v>40548</v>
      </c>
      <c r="C285">
        <v>1</v>
      </c>
      <c r="D285">
        <v>0</v>
      </c>
      <c r="E285">
        <v>1</v>
      </c>
      <c r="F285">
        <v>6</v>
      </c>
      <c r="G285" t="b">
        <v>0</v>
      </c>
      <c r="H285">
        <v>3</v>
      </c>
      <c r="I285">
        <v>1</v>
      </c>
      <c r="J285">
        <v>0.2</v>
      </c>
      <c r="K285">
        <v>0.19700000000000001</v>
      </c>
      <c r="L285">
        <v>0.47</v>
      </c>
      <c r="M285">
        <v>0.22389999999999999</v>
      </c>
      <c r="N285">
        <v>0</v>
      </c>
      <c r="O285">
        <v>33</v>
      </c>
      <c r="P285">
        <v>33</v>
      </c>
      <c r="Q285" t="s">
        <v>62</v>
      </c>
      <c r="R285" t="s">
        <v>120</v>
      </c>
      <c r="S285" t="s">
        <v>28</v>
      </c>
      <c r="T285" t="s">
        <v>30</v>
      </c>
      <c r="U285" t="s">
        <v>123</v>
      </c>
    </row>
    <row r="286" spans="1:21" x14ac:dyDescent="0.3">
      <c r="A286">
        <v>99</v>
      </c>
      <c r="B286" s="1">
        <v>40548</v>
      </c>
      <c r="C286">
        <v>1</v>
      </c>
      <c r="D286">
        <v>0</v>
      </c>
      <c r="E286">
        <v>1</v>
      </c>
      <c r="F286">
        <v>7</v>
      </c>
      <c r="G286" t="b">
        <v>0</v>
      </c>
      <c r="H286">
        <v>3</v>
      </c>
      <c r="I286">
        <v>1</v>
      </c>
      <c r="J286">
        <v>0.18</v>
      </c>
      <c r="K286">
        <v>0.18179999999999999</v>
      </c>
      <c r="L286">
        <v>0.43</v>
      </c>
      <c r="M286">
        <v>0.19400000000000001</v>
      </c>
      <c r="N286">
        <v>1</v>
      </c>
      <c r="O286">
        <v>87</v>
      </c>
      <c r="P286">
        <v>88</v>
      </c>
      <c r="Q286" t="s">
        <v>62</v>
      </c>
      <c r="R286" t="s">
        <v>120</v>
      </c>
      <c r="S286" t="s">
        <v>28</v>
      </c>
      <c r="T286" t="s">
        <v>30</v>
      </c>
      <c r="U286" t="s">
        <v>123</v>
      </c>
    </row>
    <row r="287" spans="1:21" x14ac:dyDescent="0.3">
      <c r="A287">
        <v>100</v>
      </c>
      <c r="B287" s="1">
        <v>40548</v>
      </c>
      <c r="C287">
        <v>1</v>
      </c>
      <c r="D287">
        <v>0</v>
      </c>
      <c r="E287">
        <v>1</v>
      </c>
      <c r="F287">
        <v>8</v>
      </c>
      <c r="G287" t="b">
        <v>0</v>
      </c>
      <c r="H287">
        <v>3</v>
      </c>
      <c r="I287">
        <v>1</v>
      </c>
      <c r="J287">
        <v>0.2</v>
      </c>
      <c r="K287">
        <v>0.18179999999999999</v>
      </c>
      <c r="L287">
        <v>0.4</v>
      </c>
      <c r="M287">
        <v>0.29849999999999999</v>
      </c>
      <c r="N287">
        <v>3</v>
      </c>
      <c r="O287">
        <v>192</v>
      </c>
      <c r="P287">
        <v>195</v>
      </c>
      <c r="Q287" t="s">
        <v>62</v>
      </c>
      <c r="R287" t="s">
        <v>120</v>
      </c>
      <c r="S287" t="s">
        <v>28</v>
      </c>
      <c r="T287" t="s">
        <v>30</v>
      </c>
      <c r="U287" t="s">
        <v>123</v>
      </c>
    </row>
    <row r="288" spans="1:21" x14ac:dyDescent="0.3">
      <c r="A288">
        <v>101</v>
      </c>
      <c r="B288" s="1">
        <v>40548</v>
      </c>
      <c r="C288">
        <v>1</v>
      </c>
      <c r="D288">
        <v>0</v>
      </c>
      <c r="E288">
        <v>1</v>
      </c>
      <c r="F288">
        <v>9</v>
      </c>
      <c r="G288" t="b">
        <v>0</v>
      </c>
      <c r="H288">
        <v>3</v>
      </c>
      <c r="I288">
        <v>1</v>
      </c>
      <c r="J288">
        <v>0.22</v>
      </c>
      <c r="K288">
        <v>0.19700000000000001</v>
      </c>
      <c r="L288">
        <v>0.37</v>
      </c>
      <c r="M288">
        <v>0.32840000000000003</v>
      </c>
      <c r="N288">
        <v>6</v>
      </c>
      <c r="O288">
        <v>109</v>
      </c>
      <c r="P288">
        <v>115</v>
      </c>
      <c r="Q288" t="s">
        <v>62</v>
      </c>
      <c r="R288" t="s">
        <v>120</v>
      </c>
      <c r="S288" t="s">
        <v>28</v>
      </c>
      <c r="T288" t="s">
        <v>30</v>
      </c>
      <c r="U288" t="s">
        <v>123</v>
      </c>
    </row>
    <row r="289" spans="1:21" x14ac:dyDescent="0.3">
      <c r="A289">
        <v>102</v>
      </c>
      <c r="B289" s="1">
        <v>40548</v>
      </c>
      <c r="C289">
        <v>1</v>
      </c>
      <c r="D289">
        <v>0</v>
      </c>
      <c r="E289">
        <v>1</v>
      </c>
      <c r="F289">
        <v>10</v>
      </c>
      <c r="G289" t="b">
        <v>0</v>
      </c>
      <c r="H289">
        <v>3</v>
      </c>
      <c r="I289">
        <v>1</v>
      </c>
      <c r="J289">
        <v>0.22</v>
      </c>
      <c r="K289">
        <v>0.19700000000000001</v>
      </c>
      <c r="L289">
        <v>0.37</v>
      </c>
      <c r="M289">
        <v>0.32840000000000003</v>
      </c>
      <c r="N289">
        <v>4</v>
      </c>
      <c r="O289">
        <v>53</v>
      </c>
      <c r="P289">
        <v>57</v>
      </c>
      <c r="Q289" t="s">
        <v>62</v>
      </c>
      <c r="R289" t="s">
        <v>120</v>
      </c>
      <c r="S289" t="s">
        <v>28</v>
      </c>
      <c r="T289" t="s">
        <v>30</v>
      </c>
      <c r="U289" t="s">
        <v>123</v>
      </c>
    </row>
    <row r="290" spans="1:21" x14ac:dyDescent="0.3">
      <c r="A290">
        <v>103</v>
      </c>
      <c r="B290" s="1">
        <v>40548</v>
      </c>
      <c r="C290">
        <v>1</v>
      </c>
      <c r="D290">
        <v>0</v>
      </c>
      <c r="E290">
        <v>1</v>
      </c>
      <c r="F290">
        <v>11</v>
      </c>
      <c r="G290" t="b">
        <v>0</v>
      </c>
      <c r="H290">
        <v>3</v>
      </c>
      <c r="I290">
        <v>1</v>
      </c>
      <c r="J290">
        <v>0.26</v>
      </c>
      <c r="K290">
        <v>0.2273</v>
      </c>
      <c r="L290">
        <v>0.33</v>
      </c>
      <c r="M290">
        <v>0.32840000000000003</v>
      </c>
      <c r="N290">
        <v>12</v>
      </c>
      <c r="O290">
        <v>34</v>
      </c>
      <c r="P290">
        <v>46</v>
      </c>
      <c r="Q290" t="s">
        <v>62</v>
      </c>
      <c r="R290" t="s">
        <v>120</v>
      </c>
      <c r="S290" t="s">
        <v>28</v>
      </c>
      <c r="T290" t="s">
        <v>30</v>
      </c>
      <c r="U290" t="s">
        <v>123</v>
      </c>
    </row>
    <row r="291" spans="1:21" x14ac:dyDescent="0.3">
      <c r="A291">
        <v>104</v>
      </c>
      <c r="B291" s="1">
        <v>40548</v>
      </c>
      <c r="C291">
        <v>1</v>
      </c>
      <c r="D291">
        <v>0</v>
      </c>
      <c r="E291">
        <v>1</v>
      </c>
      <c r="F291">
        <v>12</v>
      </c>
      <c r="G291" t="b">
        <v>0</v>
      </c>
      <c r="H291">
        <v>3</v>
      </c>
      <c r="I291">
        <v>1</v>
      </c>
      <c r="J291">
        <v>0.26</v>
      </c>
      <c r="K291">
        <v>0.2273</v>
      </c>
      <c r="L291">
        <v>0.33</v>
      </c>
      <c r="M291">
        <v>0.32840000000000003</v>
      </c>
      <c r="N291">
        <v>5</v>
      </c>
      <c r="O291">
        <v>74</v>
      </c>
      <c r="P291">
        <v>79</v>
      </c>
      <c r="Q291" t="s">
        <v>62</v>
      </c>
      <c r="R291" t="s">
        <v>120</v>
      </c>
      <c r="S291" t="s">
        <v>28</v>
      </c>
      <c r="T291" t="s">
        <v>30</v>
      </c>
      <c r="U291" t="s">
        <v>123</v>
      </c>
    </row>
    <row r="292" spans="1:21" x14ac:dyDescent="0.3">
      <c r="A292">
        <v>105</v>
      </c>
      <c r="B292" s="1">
        <v>40548</v>
      </c>
      <c r="C292">
        <v>1</v>
      </c>
      <c r="D292">
        <v>0</v>
      </c>
      <c r="E292">
        <v>1</v>
      </c>
      <c r="F292">
        <v>13</v>
      </c>
      <c r="G292" t="b">
        <v>0</v>
      </c>
      <c r="H292">
        <v>3</v>
      </c>
      <c r="I292">
        <v>1</v>
      </c>
      <c r="J292">
        <v>0.28000000000000003</v>
      </c>
      <c r="K292">
        <v>0.2576</v>
      </c>
      <c r="L292">
        <v>0.3</v>
      </c>
      <c r="M292">
        <v>0.29849999999999999</v>
      </c>
      <c r="N292">
        <v>6</v>
      </c>
      <c r="O292">
        <v>65</v>
      </c>
      <c r="P292">
        <v>71</v>
      </c>
      <c r="Q292" t="s">
        <v>62</v>
      </c>
      <c r="R292" t="s">
        <v>120</v>
      </c>
      <c r="S292" t="s">
        <v>28</v>
      </c>
      <c r="T292" t="s">
        <v>30</v>
      </c>
      <c r="U292" t="s">
        <v>123</v>
      </c>
    </row>
    <row r="293" spans="1:21" x14ac:dyDescent="0.3">
      <c r="A293">
        <v>106</v>
      </c>
      <c r="B293" s="1">
        <v>40548</v>
      </c>
      <c r="C293">
        <v>1</v>
      </c>
      <c r="D293">
        <v>0</v>
      </c>
      <c r="E293">
        <v>1</v>
      </c>
      <c r="F293">
        <v>14</v>
      </c>
      <c r="G293" t="b">
        <v>0</v>
      </c>
      <c r="H293">
        <v>3</v>
      </c>
      <c r="I293">
        <v>1</v>
      </c>
      <c r="J293">
        <v>0.3</v>
      </c>
      <c r="K293">
        <v>0.28789999999999999</v>
      </c>
      <c r="L293">
        <v>0.28000000000000003</v>
      </c>
      <c r="M293">
        <v>0.19400000000000001</v>
      </c>
      <c r="N293">
        <v>10</v>
      </c>
      <c r="O293">
        <v>52</v>
      </c>
      <c r="P293">
        <v>62</v>
      </c>
      <c r="Q293" t="s">
        <v>62</v>
      </c>
      <c r="R293" t="s">
        <v>120</v>
      </c>
      <c r="S293" t="s">
        <v>28</v>
      </c>
      <c r="T293" t="s">
        <v>30</v>
      </c>
      <c r="U293" t="s">
        <v>123</v>
      </c>
    </row>
    <row r="294" spans="1:21" x14ac:dyDescent="0.3">
      <c r="A294">
        <v>107</v>
      </c>
      <c r="B294" s="1">
        <v>40548</v>
      </c>
      <c r="C294">
        <v>1</v>
      </c>
      <c r="D294">
        <v>0</v>
      </c>
      <c r="E294">
        <v>1</v>
      </c>
      <c r="F294">
        <v>15</v>
      </c>
      <c r="G294" t="b">
        <v>0</v>
      </c>
      <c r="H294">
        <v>3</v>
      </c>
      <c r="I294">
        <v>1</v>
      </c>
      <c r="J294">
        <v>0.3</v>
      </c>
      <c r="K294">
        <v>0.28789999999999999</v>
      </c>
      <c r="L294">
        <v>0.28000000000000003</v>
      </c>
      <c r="M294">
        <v>0.19400000000000001</v>
      </c>
      <c r="N294">
        <v>7</v>
      </c>
      <c r="O294">
        <v>55</v>
      </c>
      <c r="P294">
        <v>62</v>
      </c>
      <c r="Q294" t="s">
        <v>62</v>
      </c>
      <c r="R294" t="s">
        <v>120</v>
      </c>
      <c r="S294" t="s">
        <v>28</v>
      </c>
      <c r="T294" t="s">
        <v>30</v>
      </c>
      <c r="U294" t="s">
        <v>123</v>
      </c>
    </row>
    <row r="295" spans="1:21" x14ac:dyDescent="0.3">
      <c r="A295">
        <v>108</v>
      </c>
      <c r="B295" s="1">
        <v>40548</v>
      </c>
      <c r="C295">
        <v>1</v>
      </c>
      <c r="D295">
        <v>0</v>
      </c>
      <c r="E295">
        <v>1</v>
      </c>
      <c r="F295">
        <v>16</v>
      </c>
      <c r="G295" t="b">
        <v>0</v>
      </c>
      <c r="H295">
        <v>3</v>
      </c>
      <c r="I295">
        <v>1</v>
      </c>
      <c r="J295">
        <v>0.3</v>
      </c>
      <c r="K295">
        <v>0.31819999999999998</v>
      </c>
      <c r="L295">
        <v>0.28000000000000003</v>
      </c>
      <c r="M295">
        <v>8.9599999999999999E-2</v>
      </c>
      <c r="N295">
        <v>4</v>
      </c>
      <c r="O295">
        <v>85</v>
      </c>
      <c r="P295">
        <v>89</v>
      </c>
      <c r="Q295" t="s">
        <v>62</v>
      </c>
      <c r="R295" t="s">
        <v>120</v>
      </c>
      <c r="S295" t="s">
        <v>28</v>
      </c>
      <c r="T295" t="s">
        <v>30</v>
      </c>
      <c r="U295" t="s">
        <v>123</v>
      </c>
    </row>
    <row r="296" spans="1:21" x14ac:dyDescent="0.3">
      <c r="A296">
        <v>109</v>
      </c>
      <c r="B296" s="1">
        <v>40548</v>
      </c>
      <c r="C296">
        <v>1</v>
      </c>
      <c r="D296">
        <v>0</v>
      </c>
      <c r="E296">
        <v>1</v>
      </c>
      <c r="F296">
        <v>17</v>
      </c>
      <c r="G296" t="b">
        <v>0</v>
      </c>
      <c r="H296">
        <v>3</v>
      </c>
      <c r="I296">
        <v>1</v>
      </c>
      <c r="J296">
        <v>0.24</v>
      </c>
      <c r="K296">
        <v>0.2273</v>
      </c>
      <c r="L296">
        <v>0.38</v>
      </c>
      <c r="M296">
        <v>0.19400000000000001</v>
      </c>
      <c r="N296">
        <v>4</v>
      </c>
      <c r="O296">
        <v>186</v>
      </c>
      <c r="P296">
        <v>190</v>
      </c>
      <c r="Q296" t="s">
        <v>62</v>
      </c>
      <c r="R296" t="s">
        <v>120</v>
      </c>
      <c r="S296" t="s">
        <v>28</v>
      </c>
      <c r="T296" t="s">
        <v>30</v>
      </c>
      <c r="U296" t="s">
        <v>123</v>
      </c>
    </row>
    <row r="297" spans="1:21" x14ac:dyDescent="0.3">
      <c r="A297">
        <v>110</v>
      </c>
      <c r="B297" s="1">
        <v>40548</v>
      </c>
      <c r="C297">
        <v>1</v>
      </c>
      <c r="D297">
        <v>0</v>
      </c>
      <c r="E297">
        <v>1</v>
      </c>
      <c r="F297">
        <v>18</v>
      </c>
      <c r="G297" t="b">
        <v>0</v>
      </c>
      <c r="H297">
        <v>3</v>
      </c>
      <c r="I297">
        <v>1</v>
      </c>
      <c r="J297">
        <v>0.24</v>
      </c>
      <c r="K297">
        <v>0.2424</v>
      </c>
      <c r="L297">
        <v>0.38</v>
      </c>
      <c r="M297">
        <v>0.1343</v>
      </c>
      <c r="N297">
        <v>3</v>
      </c>
      <c r="O297">
        <v>166</v>
      </c>
      <c r="P297">
        <v>169</v>
      </c>
      <c r="Q297" t="s">
        <v>62</v>
      </c>
      <c r="R297" t="s">
        <v>120</v>
      </c>
      <c r="S297" t="s">
        <v>28</v>
      </c>
      <c r="T297" t="s">
        <v>30</v>
      </c>
      <c r="U297" t="s">
        <v>123</v>
      </c>
    </row>
    <row r="298" spans="1:21" x14ac:dyDescent="0.3">
      <c r="A298">
        <v>111</v>
      </c>
      <c r="B298" s="1">
        <v>40548</v>
      </c>
      <c r="C298">
        <v>1</v>
      </c>
      <c r="D298">
        <v>0</v>
      </c>
      <c r="E298">
        <v>1</v>
      </c>
      <c r="F298">
        <v>19</v>
      </c>
      <c r="G298" t="b">
        <v>0</v>
      </c>
      <c r="H298">
        <v>3</v>
      </c>
      <c r="I298">
        <v>1</v>
      </c>
      <c r="J298">
        <v>0.24</v>
      </c>
      <c r="K298">
        <v>0.2576</v>
      </c>
      <c r="L298">
        <v>0.38</v>
      </c>
      <c r="M298">
        <v>0.1045</v>
      </c>
      <c r="N298">
        <v>5</v>
      </c>
      <c r="O298">
        <v>127</v>
      </c>
      <c r="P298">
        <v>132</v>
      </c>
      <c r="Q298" t="s">
        <v>62</v>
      </c>
      <c r="R298" t="s">
        <v>120</v>
      </c>
      <c r="S298" t="s">
        <v>28</v>
      </c>
      <c r="T298" t="s">
        <v>30</v>
      </c>
      <c r="U298" t="s">
        <v>123</v>
      </c>
    </row>
    <row r="299" spans="1:21" x14ac:dyDescent="0.3">
      <c r="A299">
        <v>112</v>
      </c>
      <c r="B299" s="1">
        <v>40548</v>
      </c>
      <c r="C299">
        <v>1</v>
      </c>
      <c r="D299">
        <v>0</v>
      </c>
      <c r="E299">
        <v>1</v>
      </c>
      <c r="F299">
        <v>20</v>
      </c>
      <c r="G299" t="b">
        <v>0</v>
      </c>
      <c r="H299">
        <v>3</v>
      </c>
      <c r="I299">
        <v>1</v>
      </c>
      <c r="J299">
        <v>0.22</v>
      </c>
      <c r="K299">
        <v>0.2273</v>
      </c>
      <c r="L299">
        <v>0.47</v>
      </c>
      <c r="M299">
        <v>0.16420000000000001</v>
      </c>
      <c r="N299">
        <v>7</v>
      </c>
      <c r="O299">
        <v>82</v>
      </c>
      <c r="P299">
        <v>89</v>
      </c>
      <c r="Q299" t="s">
        <v>62</v>
      </c>
      <c r="R299" t="s">
        <v>120</v>
      </c>
      <c r="S299" t="s">
        <v>28</v>
      </c>
      <c r="T299" t="s">
        <v>30</v>
      </c>
      <c r="U299" t="s">
        <v>123</v>
      </c>
    </row>
    <row r="300" spans="1:21" x14ac:dyDescent="0.3">
      <c r="A300">
        <v>113</v>
      </c>
      <c r="B300" s="1">
        <v>40548</v>
      </c>
      <c r="C300">
        <v>1</v>
      </c>
      <c r="D300">
        <v>0</v>
      </c>
      <c r="E300">
        <v>1</v>
      </c>
      <c r="F300">
        <v>21</v>
      </c>
      <c r="G300" t="b">
        <v>0</v>
      </c>
      <c r="H300">
        <v>3</v>
      </c>
      <c r="I300">
        <v>1</v>
      </c>
      <c r="J300">
        <v>0.2</v>
      </c>
      <c r="K300">
        <v>0.19700000000000001</v>
      </c>
      <c r="L300">
        <v>0.51</v>
      </c>
      <c r="M300">
        <v>0.19400000000000001</v>
      </c>
      <c r="N300">
        <v>3</v>
      </c>
      <c r="O300">
        <v>40</v>
      </c>
      <c r="P300">
        <v>43</v>
      </c>
      <c r="Q300" t="s">
        <v>62</v>
      </c>
      <c r="R300" t="s">
        <v>120</v>
      </c>
      <c r="S300" t="s">
        <v>28</v>
      </c>
      <c r="T300" t="s">
        <v>30</v>
      </c>
      <c r="U300" t="s">
        <v>123</v>
      </c>
    </row>
    <row r="301" spans="1:21" x14ac:dyDescent="0.3">
      <c r="A301">
        <v>114</v>
      </c>
      <c r="B301" s="1">
        <v>40548</v>
      </c>
      <c r="C301">
        <v>1</v>
      </c>
      <c r="D301">
        <v>0</v>
      </c>
      <c r="E301">
        <v>1</v>
      </c>
      <c r="F301">
        <v>22</v>
      </c>
      <c r="G301" t="b">
        <v>0</v>
      </c>
      <c r="H301">
        <v>3</v>
      </c>
      <c r="I301">
        <v>1</v>
      </c>
      <c r="J301">
        <v>0.18</v>
      </c>
      <c r="K301">
        <v>0.19700000000000001</v>
      </c>
      <c r="L301">
        <v>0.55000000000000004</v>
      </c>
      <c r="M301">
        <v>0.1343</v>
      </c>
      <c r="N301">
        <v>1</v>
      </c>
      <c r="O301">
        <v>41</v>
      </c>
      <c r="P301">
        <v>42</v>
      </c>
      <c r="Q301" t="s">
        <v>62</v>
      </c>
      <c r="R301" t="s">
        <v>120</v>
      </c>
      <c r="S301" t="s">
        <v>28</v>
      </c>
      <c r="T301" t="s">
        <v>30</v>
      </c>
      <c r="U301" t="s">
        <v>123</v>
      </c>
    </row>
    <row r="302" spans="1:21" x14ac:dyDescent="0.3">
      <c r="A302">
        <v>115</v>
      </c>
      <c r="B302" s="1">
        <v>40548</v>
      </c>
      <c r="C302">
        <v>1</v>
      </c>
      <c r="D302">
        <v>0</v>
      </c>
      <c r="E302">
        <v>1</v>
      </c>
      <c r="F302">
        <v>23</v>
      </c>
      <c r="G302" t="b">
        <v>0</v>
      </c>
      <c r="H302">
        <v>3</v>
      </c>
      <c r="I302">
        <v>1</v>
      </c>
      <c r="J302">
        <v>0.2</v>
      </c>
      <c r="K302">
        <v>0.2576</v>
      </c>
      <c r="L302">
        <v>0.47</v>
      </c>
      <c r="M302">
        <v>0</v>
      </c>
      <c r="N302">
        <v>1</v>
      </c>
      <c r="O302">
        <v>18</v>
      </c>
      <c r="P302">
        <v>19</v>
      </c>
      <c r="Q302" t="s">
        <v>62</v>
      </c>
      <c r="R302" t="s">
        <v>120</v>
      </c>
      <c r="S302" t="s">
        <v>28</v>
      </c>
      <c r="T302" t="s">
        <v>30</v>
      </c>
      <c r="U302" t="s">
        <v>123</v>
      </c>
    </row>
    <row r="303" spans="1:21" x14ac:dyDescent="0.3">
      <c r="A303">
        <v>256</v>
      </c>
      <c r="B303" s="1">
        <v>40555</v>
      </c>
      <c r="C303">
        <v>1</v>
      </c>
      <c r="D303">
        <v>0</v>
      </c>
      <c r="E303">
        <v>1</v>
      </c>
      <c r="F303">
        <v>0</v>
      </c>
      <c r="G303" t="b">
        <v>0</v>
      </c>
      <c r="H303">
        <v>3</v>
      </c>
      <c r="I303">
        <v>2</v>
      </c>
      <c r="J303">
        <v>0.16</v>
      </c>
      <c r="K303">
        <v>0.19700000000000001</v>
      </c>
      <c r="L303">
        <v>0.86</v>
      </c>
      <c r="M303">
        <v>8.9599999999999999E-2</v>
      </c>
      <c r="N303">
        <v>0</v>
      </c>
      <c r="O303">
        <v>7</v>
      </c>
      <c r="P303">
        <v>7</v>
      </c>
      <c r="Q303" t="s">
        <v>64</v>
      </c>
      <c r="R303" t="s">
        <v>120</v>
      </c>
      <c r="S303" t="s">
        <v>28</v>
      </c>
      <c r="T303" t="s">
        <v>30</v>
      </c>
      <c r="U303" t="s">
        <v>124</v>
      </c>
    </row>
    <row r="304" spans="1:21" x14ac:dyDescent="0.3">
      <c r="A304">
        <v>257</v>
      </c>
      <c r="B304" s="1">
        <v>40555</v>
      </c>
      <c r="C304">
        <v>1</v>
      </c>
      <c r="D304">
        <v>0</v>
      </c>
      <c r="E304">
        <v>1</v>
      </c>
      <c r="F304">
        <v>1</v>
      </c>
      <c r="G304" t="b">
        <v>0</v>
      </c>
      <c r="H304">
        <v>3</v>
      </c>
      <c r="I304">
        <v>2</v>
      </c>
      <c r="J304">
        <v>0.16</v>
      </c>
      <c r="K304">
        <v>0.18179999999999999</v>
      </c>
      <c r="L304">
        <v>0.86</v>
      </c>
      <c r="M304">
        <v>0.1045</v>
      </c>
      <c r="N304">
        <v>0</v>
      </c>
      <c r="O304">
        <v>6</v>
      </c>
      <c r="P304">
        <v>6</v>
      </c>
      <c r="Q304" t="s">
        <v>64</v>
      </c>
      <c r="R304" t="s">
        <v>120</v>
      </c>
      <c r="S304" t="s">
        <v>28</v>
      </c>
      <c r="T304" t="s">
        <v>30</v>
      </c>
      <c r="U304" t="s">
        <v>124</v>
      </c>
    </row>
    <row r="305" spans="1:21" x14ac:dyDescent="0.3">
      <c r="A305">
        <v>258</v>
      </c>
      <c r="B305" s="1">
        <v>40555</v>
      </c>
      <c r="C305">
        <v>1</v>
      </c>
      <c r="D305">
        <v>0</v>
      </c>
      <c r="E305">
        <v>1</v>
      </c>
      <c r="F305">
        <v>2</v>
      </c>
      <c r="G305" t="b">
        <v>0</v>
      </c>
      <c r="H305">
        <v>3</v>
      </c>
      <c r="I305">
        <v>1</v>
      </c>
      <c r="J305">
        <v>0.14000000000000001</v>
      </c>
      <c r="K305">
        <v>0.1515</v>
      </c>
      <c r="L305">
        <v>0.86</v>
      </c>
      <c r="M305">
        <v>0.1343</v>
      </c>
      <c r="N305">
        <v>0</v>
      </c>
      <c r="O305">
        <v>1</v>
      </c>
      <c r="P305">
        <v>1</v>
      </c>
      <c r="Q305" t="s">
        <v>62</v>
      </c>
      <c r="R305" t="s">
        <v>120</v>
      </c>
      <c r="S305" t="s">
        <v>28</v>
      </c>
      <c r="T305" t="s">
        <v>30</v>
      </c>
      <c r="U305" t="s">
        <v>123</v>
      </c>
    </row>
    <row r="306" spans="1:21" x14ac:dyDescent="0.3">
      <c r="A306">
        <v>259</v>
      </c>
      <c r="B306" s="1">
        <v>40555</v>
      </c>
      <c r="C306">
        <v>1</v>
      </c>
      <c r="D306">
        <v>0</v>
      </c>
      <c r="E306">
        <v>1</v>
      </c>
      <c r="F306">
        <v>5</v>
      </c>
      <c r="G306" t="b">
        <v>0</v>
      </c>
      <c r="H306">
        <v>3</v>
      </c>
      <c r="I306">
        <v>1</v>
      </c>
      <c r="J306">
        <v>0.14000000000000001</v>
      </c>
      <c r="K306">
        <v>0.1515</v>
      </c>
      <c r="L306">
        <v>0.86</v>
      </c>
      <c r="M306">
        <v>0.16420000000000001</v>
      </c>
      <c r="N306">
        <v>0</v>
      </c>
      <c r="O306">
        <v>5</v>
      </c>
      <c r="P306">
        <v>5</v>
      </c>
      <c r="Q306" t="s">
        <v>62</v>
      </c>
      <c r="R306" t="s">
        <v>120</v>
      </c>
      <c r="S306" t="s">
        <v>28</v>
      </c>
      <c r="T306" t="s">
        <v>30</v>
      </c>
      <c r="U306" t="s">
        <v>123</v>
      </c>
    </row>
    <row r="307" spans="1:21" x14ac:dyDescent="0.3">
      <c r="A307">
        <v>260</v>
      </c>
      <c r="B307" s="1">
        <v>40555</v>
      </c>
      <c r="C307">
        <v>1</v>
      </c>
      <c r="D307">
        <v>0</v>
      </c>
      <c r="E307">
        <v>1</v>
      </c>
      <c r="F307">
        <v>6</v>
      </c>
      <c r="G307" t="b">
        <v>0</v>
      </c>
      <c r="H307">
        <v>3</v>
      </c>
      <c r="I307">
        <v>1</v>
      </c>
      <c r="J307">
        <v>0.12</v>
      </c>
      <c r="K307">
        <v>0.1515</v>
      </c>
      <c r="L307">
        <v>0.93</v>
      </c>
      <c r="M307">
        <v>0.1343</v>
      </c>
      <c r="N307">
        <v>0</v>
      </c>
      <c r="O307">
        <v>16</v>
      </c>
      <c r="P307">
        <v>16</v>
      </c>
      <c r="Q307" t="s">
        <v>62</v>
      </c>
      <c r="R307" t="s">
        <v>120</v>
      </c>
      <c r="S307" t="s">
        <v>28</v>
      </c>
      <c r="T307" t="s">
        <v>30</v>
      </c>
      <c r="U307" t="s">
        <v>123</v>
      </c>
    </row>
    <row r="308" spans="1:21" x14ac:dyDescent="0.3">
      <c r="A308">
        <v>261</v>
      </c>
      <c r="B308" s="1">
        <v>40555</v>
      </c>
      <c r="C308">
        <v>1</v>
      </c>
      <c r="D308">
        <v>0</v>
      </c>
      <c r="E308">
        <v>1</v>
      </c>
      <c r="F308">
        <v>7</v>
      </c>
      <c r="G308" t="b">
        <v>0</v>
      </c>
      <c r="H308">
        <v>3</v>
      </c>
      <c r="I308">
        <v>1</v>
      </c>
      <c r="J308">
        <v>0.14000000000000001</v>
      </c>
      <c r="K308">
        <v>0.1515</v>
      </c>
      <c r="L308">
        <v>0.69</v>
      </c>
      <c r="M308">
        <v>0.1343</v>
      </c>
      <c r="N308">
        <v>0</v>
      </c>
      <c r="O308">
        <v>54</v>
      </c>
      <c r="P308">
        <v>54</v>
      </c>
      <c r="Q308" t="s">
        <v>62</v>
      </c>
      <c r="R308" t="s">
        <v>120</v>
      </c>
      <c r="S308" t="s">
        <v>28</v>
      </c>
      <c r="T308" t="s">
        <v>30</v>
      </c>
      <c r="U308" t="s">
        <v>123</v>
      </c>
    </row>
    <row r="309" spans="1:21" x14ac:dyDescent="0.3">
      <c r="A309">
        <v>262</v>
      </c>
      <c r="B309" s="1">
        <v>40555</v>
      </c>
      <c r="C309">
        <v>1</v>
      </c>
      <c r="D309">
        <v>0</v>
      </c>
      <c r="E309">
        <v>1</v>
      </c>
      <c r="F309">
        <v>8</v>
      </c>
      <c r="G309" t="b">
        <v>0</v>
      </c>
      <c r="H309">
        <v>3</v>
      </c>
      <c r="I309">
        <v>1</v>
      </c>
      <c r="J309">
        <v>0.16</v>
      </c>
      <c r="K309">
        <v>0.16669999999999999</v>
      </c>
      <c r="L309">
        <v>0.59</v>
      </c>
      <c r="M309">
        <v>0.16420000000000001</v>
      </c>
      <c r="N309">
        <v>3</v>
      </c>
      <c r="O309">
        <v>125</v>
      </c>
      <c r="P309">
        <v>128</v>
      </c>
      <c r="Q309" t="s">
        <v>62</v>
      </c>
      <c r="R309" t="s">
        <v>120</v>
      </c>
      <c r="S309" t="s">
        <v>28</v>
      </c>
      <c r="T309" t="s">
        <v>30</v>
      </c>
      <c r="U309" t="s">
        <v>123</v>
      </c>
    </row>
    <row r="310" spans="1:21" x14ac:dyDescent="0.3">
      <c r="A310">
        <v>263</v>
      </c>
      <c r="B310" s="1">
        <v>40555</v>
      </c>
      <c r="C310">
        <v>1</v>
      </c>
      <c r="D310">
        <v>0</v>
      </c>
      <c r="E310">
        <v>1</v>
      </c>
      <c r="F310">
        <v>9</v>
      </c>
      <c r="G310" t="b">
        <v>0</v>
      </c>
      <c r="H310">
        <v>3</v>
      </c>
      <c r="I310">
        <v>1</v>
      </c>
      <c r="J310">
        <v>0.16</v>
      </c>
      <c r="K310">
        <v>0.13639999999999999</v>
      </c>
      <c r="L310">
        <v>0.59</v>
      </c>
      <c r="M310">
        <v>0.32840000000000003</v>
      </c>
      <c r="N310">
        <v>3</v>
      </c>
      <c r="O310">
        <v>78</v>
      </c>
      <c r="P310">
        <v>81</v>
      </c>
      <c r="Q310" t="s">
        <v>62</v>
      </c>
      <c r="R310" t="s">
        <v>120</v>
      </c>
      <c r="S310" t="s">
        <v>28</v>
      </c>
      <c r="T310" t="s">
        <v>30</v>
      </c>
      <c r="U310" t="s">
        <v>123</v>
      </c>
    </row>
    <row r="311" spans="1:21" x14ac:dyDescent="0.3">
      <c r="A311">
        <v>264</v>
      </c>
      <c r="B311" s="1">
        <v>40555</v>
      </c>
      <c r="C311">
        <v>1</v>
      </c>
      <c r="D311">
        <v>0</v>
      </c>
      <c r="E311">
        <v>1</v>
      </c>
      <c r="F311">
        <v>10</v>
      </c>
      <c r="G311" t="b">
        <v>0</v>
      </c>
      <c r="H311">
        <v>3</v>
      </c>
      <c r="I311">
        <v>1</v>
      </c>
      <c r="J311">
        <v>0.18</v>
      </c>
      <c r="K311">
        <v>0.18179999999999999</v>
      </c>
      <c r="L311">
        <v>0.55000000000000004</v>
      </c>
      <c r="M311">
        <v>0.22389999999999999</v>
      </c>
      <c r="N311">
        <v>0</v>
      </c>
      <c r="O311">
        <v>39</v>
      </c>
      <c r="P311">
        <v>39</v>
      </c>
      <c r="Q311" t="s">
        <v>62</v>
      </c>
      <c r="R311" t="s">
        <v>120</v>
      </c>
      <c r="S311" t="s">
        <v>28</v>
      </c>
      <c r="T311" t="s">
        <v>30</v>
      </c>
      <c r="U311" t="s">
        <v>123</v>
      </c>
    </row>
    <row r="312" spans="1:21" x14ac:dyDescent="0.3">
      <c r="A312">
        <v>265</v>
      </c>
      <c r="B312" s="1">
        <v>40555</v>
      </c>
      <c r="C312">
        <v>1</v>
      </c>
      <c r="D312">
        <v>0</v>
      </c>
      <c r="E312">
        <v>1</v>
      </c>
      <c r="F312">
        <v>11</v>
      </c>
      <c r="G312" t="b">
        <v>0</v>
      </c>
      <c r="H312">
        <v>3</v>
      </c>
      <c r="I312">
        <v>1</v>
      </c>
      <c r="J312">
        <v>0.2</v>
      </c>
      <c r="K312">
        <v>0.18179999999999999</v>
      </c>
      <c r="L312">
        <v>0.51</v>
      </c>
      <c r="M312">
        <v>0.3881</v>
      </c>
      <c r="N312">
        <v>3</v>
      </c>
      <c r="O312">
        <v>32</v>
      </c>
      <c r="P312">
        <v>35</v>
      </c>
      <c r="Q312" t="s">
        <v>62</v>
      </c>
      <c r="R312" t="s">
        <v>120</v>
      </c>
      <c r="S312" t="s">
        <v>28</v>
      </c>
      <c r="T312" t="s">
        <v>30</v>
      </c>
      <c r="U312" t="s">
        <v>123</v>
      </c>
    </row>
    <row r="313" spans="1:21" x14ac:dyDescent="0.3">
      <c r="A313">
        <v>266</v>
      </c>
      <c r="B313" s="1">
        <v>40555</v>
      </c>
      <c r="C313">
        <v>1</v>
      </c>
      <c r="D313">
        <v>0</v>
      </c>
      <c r="E313">
        <v>1</v>
      </c>
      <c r="F313">
        <v>12</v>
      </c>
      <c r="G313" t="b">
        <v>0</v>
      </c>
      <c r="H313">
        <v>3</v>
      </c>
      <c r="I313">
        <v>1</v>
      </c>
      <c r="J313">
        <v>0.2</v>
      </c>
      <c r="K313">
        <v>0.1515</v>
      </c>
      <c r="L313">
        <v>0.47</v>
      </c>
      <c r="M313">
        <v>0.58209999999999995</v>
      </c>
      <c r="N313">
        <v>3</v>
      </c>
      <c r="O313">
        <v>52</v>
      </c>
      <c r="P313">
        <v>55</v>
      </c>
      <c r="Q313" t="s">
        <v>62</v>
      </c>
      <c r="R313" t="s">
        <v>120</v>
      </c>
      <c r="S313" t="s">
        <v>28</v>
      </c>
      <c r="T313" t="s">
        <v>30</v>
      </c>
      <c r="U313" t="s">
        <v>123</v>
      </c>
    </row>
    <row r="314" spans="1:21" x14ac:dyDescent="0.3">
      <c r="A314">
        <v>267</v>
      </c>
      <c r="B314" s="1">
        <v>40555</v>
      </c>
      <c r="C314">
        <v>1</v>
      </c>
      <c r="D314">
        <v>0</v>
      </c>
      <c r="E314">
        <v>1</v>
      </c>
      <c r="F314">
        <v>13</v>
      </c>
      <c r="G314" t="b">
        <v>0</v>
      </c>
      <c r="H314">
        <v>3</v>
      </c>
      <c r="I314">
        <v>1</v>
      </c>
      <c r="J314">
        <v>0.22</v>
      </c>
      <c r="K314">
        <v>0.19700000000000001</v>
      </c>
      <c r="L314">
        <v>0.44</v>
      </c>
      <c r="M314">
        <v>0.35820000000000002</v>
      </c>
      <c r="N314">
        <v>0</v>
      </c>
      <c r="O314">
        <v>49</v>
      </c>
      <c r="P314">
        <v>49</v>
      </c>
      <c r="Q314" t="s">
        <v>62</v>
      </c>
      <c r="R314" t="s">
        <v>120</v>
      </c>
      <c r="S314" t="s">
        <v>28</v>
      </c>
      <c r="T314" t="s">
        <v>30</v>
      </c>
      <c r="U314" t="s">
        <v>123</v>
      </c>
    </row>
    <row r="315" spans="1:21" x14ac:dyDescent="0.3">
      <c r="A315">
        <v>268</v>
      </c>
      <c r="B315" s="1">
        <v>40555</v>
      </c>
      <c r="C315">
        <v>1</v>
      </c>
      <c r="D315">
        <v>0</v>
      </c>
      <c r="E315">
        <v>1</v>
      </c>
      <c r="F315">
        <v>14</v>
      </c>
      <c r="G315" t="b">
        <v>0</v>
      </c>
      <c r="H315">
        <v>3</v>
      </c>
      <c r="I315">
        <v>1</v>
      </c>
      <c r="J315">
        <v>0.2</v>
      </c>
      <c r="K315">
        <v>0.18179999999999999</v>
      </c>
      <c r="L315">
        <v>0.47</v>
      </c>
      <c r="M315">
        <v>0.32840000000000003</v>
      </c>
      <c r="N315">
        <v>0</v>
      </c>
      <c r="O315">
        <v>44</v>
      </c>
      <c r="P315">
        <v>44</v>
      </c>
      <c r="Q315" t="s">
        <v>62</v>
      </c>
      <c r="R315" t="s">
        <v>120</v>
      </c>
      <c r="S315" t="s">
        <v>28</v>
      </c>
      <c r="T315" t="s">
        <v>30</v>
      </c>
      <c r="U315" t="s">
        <v>123</v>
      </c>
    </row>
    <row r="316" spans="1:21" x14ac:dyDescent="0.3">
      <c r="A316">
        <v>269</v>
      </c>
      <c r="B316" s="1">
        <v>40555</v>
      </c>
      <c r="C316">
        <v>1</v>
      </c>
      <c r="D316">
        <v>0</v>
      </c>
      <c r="E316">
        <v>1</v>
      </c>
      <c r="F316">
        <v>15</v>
      </c>
      <c r="G316" t="b">
        <v>0</v>
      </c>
      <c r="H316">
        <v>3</v>
      </c>
      <c r="I316">
        <v>1</v>
      </c>
      <c r="J316">
        <v>0.2</v>
      </c>
      <c r="K316">
        <v>0.16669999999999999</v>
      </c>
      <c r="L316">
        <v>0.47</v>
      </c>
      <c r="M316">
        <v>0.41789999999999999</v>
      </c>
      <c r="N316">
        <v>1</v>
      </c>
      <c r="O316">
        <v>48</v>
      </c>
      <c r="P316">
        <v>49</v>
      </c>
      <c r="Q316" t="s">
        <v>62</v>
      </c>
      <c r="R316" t="s">
        <v>120</v>
      </c>
      <c r="S316" t="s">
        <v>28</v>
      </c>
      <c r="T316" t="s">
        <v>30</v>
      </c>
      <c r="U316" t="s">
        <v>123</v>
      </c>
    </row>
    <row r="317" spans="1:21" x14ac:dyDescent="0.3">
      <c r="A317">
        <v>270</v>
      </c>
      <c r="B317" s="1">
        <v>40555</v>
      </c>
      <c r="C317">
        <v>1</v>
      </c>
      <c r="D317">
        <v>0</v>
      </c>
      <c r="E317">
        <v>1</v>
      </c>
      <c r="F317">
        <v>16</v>
      </c>
      <c r="G317" t="b">
        <v>0</v>
      </c>
      <c r="H317">
        <v>3</v>
      </c>
      <c r="I317">
        <v>1</v>
      </c>
      <c r="J317">
        <v>0.22</v>
      </c>
      <c r="K317">
        <v>0.19700000000000001</v>
      </c>
      <c r="L317">
        <v>0.44</v>
      </c>
      <c r="M317">
        <v>0.32840000000000003</v>
      </c>
      <c r="N317">
        <v>5</v>
      </c>
      <c r="O317">
        <v>63</v>
      </c>
      <c r="P317">
        <v>68</v>
      </c>
      <c r="Q317" t="s">
        <v>62</v>
      </c>
      <c r="R317" t="s">
        <v>120</v>
      </c>
      <c r="S317" t="s">
        <v>28</v>
      </c>
      <c r="T317" t="s">
        <v>30</v>
      </c>
      <c r="U317" t="s">
        <v>123</v>
      </c>
    </row>
    <row r="318" spans="1:21" x14ac:dyDescent="0.3">
      <c r="A318">
        <v>271</v>
      </c>
      <c r="B318" s="1">
        <v>40555</v>
      </c>
      <c r="C318">
        <v>1</v>
      </c>
      <c r="D318">
        <v>0</v>
      </c>
      <c r="E318">
        <v>1</v>
      </c>
      <c r="F318">
        <v>17</v>
      </c>
      <c r="G318" t="b">
        <v>0</v>
      </c>
      <c r="H318">
        <v>3</v>
      </c>
      <c r="I318">
        <v>1</v>
      </c>
      <c r="J318">
        <v>0.2</v>
      </c>
      <c r="K318">
        <v>0.18179999999999999</v>
      </c>
      <c r="L318">
        <v>0.47</v>
      </c>
      <c r="M318">
        <v>0.35820000000000002</v>
      </c>
      <c r="N318">
        <v>0</v>
      </c>
      <c r="O318">
        <v>139</v>
      </c>
      <c r="P318">
        <v>139</v>
      </c>
      <c r="Q318" t="s">
        <v>62</v>
      </c>
      <c r="R318" t="s">
        <v>120</v>
      </c>
      <c r="S318" t="s">
        <v>28</v>
      </c>
      <c r="T318" t="s">
        <v>30</v>
      </c>
      <c r="U318" t="s">
        <v>123</v>
      </c>
    </row>
    <row r="319" spans="1:21" x14ac:dyDescent="0.3">
      <c r="A319">
        <v>272</v>
      </c>
      <c r="B319" s="1">
        <v>40555</v>
      </c>
      <c r="C319">
        <v>1</v>
      </c>
      <c r="D319">
        <v>0</v>
      </c>
      <c r="E319">
        <v>1</v>
      </c>
      <c r="F319">
        <v>18</v>
      </c>
      <c r="G319" t="b">
        <v>0</v>
      </c>
      <c r="H319">
        <v>3</v>
      </c>
      <c r="I319">
        <v>1</v>
      </c>
      <c r="J319">
        <v>0.2</v>
      </c>
      <c r="K319">
        <v>0.1515</v>
      </c>
      <c r="L319">
        <v>0.47</v>
      </c>
      <c r="M319">
        <v>0.52239999999999998</v>
      </c>
      <c r="N319">
        <v>2</v>
      </c>
      <c r="O319">
        <v>135</v>
      </c>
      <c r="P319">
        <v>137</v>
      </c>
      <c r="Q319" t="s">
        <v>62</v>
      </c>
      <c r="R319" t="s">
        <v>120</v>
      </c>
      <c r="S319" t="s">
        <v>28</v>
      </c>
      <c r="T319" t="s">
        <v>30</v>
      </c>
      <c r="U319" t="s">
        <v>123</v>
      </c>
    </row>
    <row r="320" spans="1:21" x14ac:dyDescent="0.3">
      <c r="A320">
        <v>273</v>
      </c>
      <c r="B320" s="1">
        <v>40555</v>
      </c>
      <c r="C320">
        <v>1</v>
      </c>
      <c r="D320">
        <v>0</v>
      </c>
      <c r="E320">
        <v>1</v>
      </c>
      <c r="F320">
        <v>19</v>
      </c>
      <c r="G320" t="b">
        <v>0</v>
      </c>
      <c r="H320">
        <v>3</v>
      </c>
      <c r="I320">
        <v>1</v>
      </c>
      <c r="J320">
        <v>0.18</v>
      </c>
      <c r="K320">
        <v>0.1515</v>
      </c>
      <c r="L320">
        <v>0.47</v>
      </c>
      <c r="M320">
        <v>0.41789999999999999</v>
      </c>
      <c r="N320">
        <v>1</v>
      </c>
      <c r="O320">
        <v>82</v>
      </c>
      <c r="P320">
        <v>83</v>
      </c>
      <c r="Q320" t="s">
        <v>62</v>
      </c>
      <c r="R320" t="s">
        <v>120</v>
      </c>
      <c r="S320" t="s">
        <v>28</v>
      </c>
      <c r="T320" t="s">
        <v>30</v>
      </c>
      <c r="U320" t="s">
        <v>123</v>
      </c>
    </row>
    <row r="321" spans="1:21" x14ac:dyDescent="0.3">
      <c r="A321">
        <v>274</v>
      </c>
      <c r="B321" s="1">
        <v>40555</v>
      </c>
      <c r="C321">
        <v>1</v>
      </c>
      <c r="D321">
        <v>0</v>
      </c>
      <c r="E321">
        <v>1</v>
      </c>
      <c r="F321">
        <v>20</v>
      </c>
      <c r="G321" t="b">
        <v>0</v>
      </c>
      <c r="H321">
        <v>3</v>
      </c>
      <c r="I321">
        <v>1</v>
      </c>
      <c r="J321">
        <v>0.16</v>
      </c>
      <c r="K321">
        <v>0.13639999999999999</v>
      </c>
      <c r="L321">
        <v>0.5</v>
      </c>
      <c r="M321">
        <v>0.32840000000000003</v>
      </c>
      <c r="N321">
        <v>2</v>
      </c>
      <c r="O321">
        <v>54</v>
      </c>
      <c r="P321">
        <v>56</v>
      </c>
      <c r="Q321" t="s">
        <v>62</v>
      </c>
      <c r="R321" t="s">
        <v>120</v>
      </c>
      <c r="S321" t="s">
        <v>28</v>
      </c>
      <c r="T321" t="s">
        <v>30</v>
      </c>
      <c r="U321" t="s">
        <v>123</v>
      </c>
    </row>
    <row r="322" spans="1:21" x14ac:dyDescent="0.3">
      <c r="A322">
        <v>275</v>
      </c>
      <c r="B322" s="1">
        <v>40555</v>
      </c>
      <c r="C322">
        <v>1</v>
      </c>
      <c r="D322">
        <v>0</v>
      </c>
      <c r="E322">
        <v>1</v>
      </c>
      <c r="F322">
        <v>21</v>
      </c>
      <c r="G322" t="b">
        <v>0</v>
      </c>
      <c r="H322">
        <v>3</v>
      </c>
      <c r="I322">
        <v>1</v>
      </c>
      <c r="J322">
        <v>0.16</v>
      </c>
      <c r="K322">
        <v>0.13639999999999999</v>
      </c>
      <c r="L322">
        <v>0.55000000000000004</v>
      </c>
      <c r="M322">
        <v>0.32840000000000003</v>
      </c>
      <c r="N322">
        <v>0</v>
      </c>
      <c r="O322">
        <v>57</v>
      </c>
      <c r="P322">
        <v>57</v>
      </c>
      <c r="Q322" t="s">
        <v>62</v>
      </c>
      <c r="R322" t="s">
        <v>120</v>
      </c>
      <c r="S322" t="s">
        <v>28</v>
      </c>
      <c r="T322" t="s">
        <v>30</v>
      </c>
      <c r="U322" t="s">
        <v>123</v>
      </c>
    </row>
    <row r="323" spans="1:21" x14ac:dyDescent="0.3">
      <c r="A323">
        <v>276</v>
      </c>
      <c r="B323" s="1">
        <v>40555</v>
      </c>
      <c r="C323">
        <v>1</v>
      </c>
      <c r="D323">
        <v>0</v>
      </c>
      <c r="E323">
        <v>1</v>
      </c>
      <c r="F323">
        <v>22</v>
      </c>
      <c r="G323" t="b">
        <v>0</v>
      </c>
      <c r="H323">
        <v>3</v>
      </c>
      <c r="I323">
        <v>1</v>
      </c>
      <c r="J323">
        <v>0.16</v>
      </c>
      <c r="K323">
        <v>0.1212</v>
      </c>
      <c r="L323">
        <v>0.55000000000000004</v>
      </c>
      <c r="M323">
        <v>0.44779999999999998</v>
      </c>
      <c r="N323">
        <v>1</v>
      </c>
      <c r="O323">
        <v>32</v>
      </c>
      <c r="P323">
        <v>33</v>
      </c>
      <c r="Q323" t="s">
        <v>62</v>
      </c>
      <c r="R323" t="s">
        <v>120</v>
      </c>
      <c r="S323" t="s">
        <v>28</v>
      </c>
      <c r="T323" t="s">
        <v>30</v>
      </c>
      <c r="U323" t="s">
        <v>123</v>
      </c>
    </row>
    <row r="324" spans="1:21" x14ac:dyDescent="0.3">
      <c r="A324">
        <v>277</v>
      </c>
      <c r="B324" s="1">
        <v>40555</v>
      </c>
      <c r="C324">
        <v>1</v>
      </c>
      <c r="D324">
        <v>0</v>
      </c>
      <c r="E324">
        <v>1</v>
      </c>
      <c r="F324">
        <v>23</v>
      </c>
      <c r="G324" t="b">
        <v>0</v>
      </c>
      <c r="H324">
        <v>3</v>
      </c>
      <c r="I324">
        <v>1</v>
      </c>
      <c r="J324">
        <v>0.14000000000000001</v>
      </c>
      <c r="K324">
        <v>0.1061</v>
      </c>
      <c r="L324">
        <v>0.59</v>
      </c>
      <c r="M324">
        <v>0.41789999999999999</v>
      </c>
      <c r="N324">
        <v>1</v>
      </c>
      <c r="O324">
        <v>19</v>
      </c>
      <c r="P324">
        <v>20</v>
      </c>
      <c r="Q324" t="s">
        <v>62</v>
      </c>
      <c r="R324" t="s">
        <v>120</v>
      </c>
      <c r="S324" t="s">
        <v>28</v>
      </c>
      <c r="T324" t="s">
        <v>30</v>
      </c>
      <c r="U324" t="s">
        <v>123</v>
      </c>
    </row>
    <row r="325" spans="1:21" x14ac:dyDescent="0.3">
      <c r="A325">
        <v>409</v>
      </c>
      <c r="B325" s="1">
        <v>40562</v>
      </c>
      <c r="C325">
        <v>1</v>
      </c>
      <c r="D325">
        <v>0</v>
      </c>
      <c r="E325">
        <v>1</v>
      </c>
      <c r="F325">
        <v>0</v>
      </c>
      <c r="G325" t="b">
        <v>0</v>
      </c>
      <c r="H325">
        <v>3</v>
      </c>
      <c r="I325">
        <v>2</v>
      </c>
      <c r="J325">
        <v>0.22</v>
      </c>
      <c r="K325">
        <v>0.2727</v>
      </c>
      <c r="L325">
        <v>0.93</v>
      </c>
      <c r="M325">
        <v>0</v>
      </c>
      <c r="N325">
        <v>0</v>
      </c>
      <c r="O325">
        <v>3</v>
      </c>
      <c r="P325">
        <v>3</v>
      </c>
      <c r="Q325" t="s">
        <v>64</v>
      </c>
      <c r="R325" t="s">
        <v>120</v>
      </c>
      <c r="S325" t="s">
        <v>28</v>
      </c>
      <c r="T325" t="s">
        <v>30</v>
      </c>
      <c r="U325" t="s">
        <v>124</v>
      </c>
    </row>
    <row r="326" spans="1:21" x14ac:dyDescent="0.3">
      <c r="A326">
        <v>410</v>
      </c>
      <c r="B326" s="1">
        <v>40562</v>
      </c>
      <c r="C326">
        <v>1</v>
      </c>
      <c r="D326">
        <v>0</v>
      </c>
      <c r="E326">
        <v>1</v>
      </c>
      <c r="F326">
        <v>1</v>
      </c>
      <c r="G326" t="b">
        <v>0</v>
      </c>
      <c r="H326">
        <v>3</v>
      </c>
      <c r="I326">
        <v>3</v>
      </c>
      <c r="J326">
        <v>0.22</v>
      </c>
      <c r="K326">
        <v>0.2273</v>
      </c>
      <c r="L326">
        <v>0.93</v>
      </c>
      <c r="M326">
        <v>0.1343</v>
      </c>
      <c r="N326">
        <v>1</v>
      </c>
      <c r="O326">
        <v>6</v>
      </c>
      <c r="P326">
        <v>7</v>
      </c>
      <c r="Q326" t="s">
        <v>63</v>
      </c>
      <c r="R326" t="s">
        <v>120</v>
      </c>
      <c r="S326" t="s">
        <v>28</v>
      </c>
      <c r="T326" t="s">
        <v>30</v>
      </c>
      <c r="U326" t="s">
        <v>125</v>
      </c>
    </row>
    <row r="327" spans="1:21" x14ac:dyDescent="0.3">
      <c r="A327">
        <v>411</v>
      </c>
      <c r="B327" s="1">
        <v>40562</v>
      </c>
      <c r="C327">
        <v>1</v>
      </c>
      <c r="D327">
        <v>0</v>
      </c>
      <c r="E327">
        <v>1</v>
      </c>
      <c r="F327">
        <v>2</v>
      </c>
      <c r="G327" t="b">
        <v>0</v>
      </c>
      <c r="H327">
        <v>3</v>
      </c>
      <c r="I327">
        <v>3</v>
      </c>
      <c r="J327">
        <v>0.22</v>
      </c>
      <c r="K327">
        <v>0.2273</v>
      </c>
      <c r="L327">
        <v>0.93</v>
      </c>
      <c r="M327">
        <v>0.1343</v>
      </c>
      <c r="N327">
        <v>0</v>
      </c>
      <c r="O327">
        <v>3</v>
      </c>
      <c r="P327">
        <v>3</v>
      </c>
      <c r="Q327" t="s">
        <v>63</v>
      </c>
      <c r="R327" t="s">
        <v>120</v>
      </c>
      <c r="S327" t="s">
        <v>28</v>
      </c>
      <c r="T327" t="s">
        <v>30</v>
      </c>
      <c r="U327" t="s">
        <v>125</v>
      </c>
    </row>
    <row r="328" spans="1:21" x14ac:dyDescent="0.3">
      <c r="A328">
        <v>412</v>
      </c>
      <c r="B328" s="1">
        <v>40562</v>
      </c>
      <c r="C328">
        <v>1</v>
      </c>
      <c r="D328">
        <v>0</v>
      </c>
      <c r="E328">
        <v>1</v>
      </c>
      <c r="F328">
        <v>4</v>
      </c>
      <c r="G328" t="b">
        <v>0</v>
      </c>
      <c r="H328">
        <v>3</v>
      </c>
      <c r="I328">
        <v>3</v>
      </c>
      <c r="J328">
        <v>0.22</v>
      </c>
      <c r="K328">
        <v>0.2273</v>
      </c>
      <c r="L328">
        <v>0.93</v>
      </c>
      <c r="M328">
        <v>0.1343</v>
      </c>
      <c r="N328">
        <v>1</v>
      </c>
      <c r="O328">
        <v>1</v>
      </c>
      <c r="P328">
        <v>2</v>
      </c>
      <c r="Q328" t="s">
        <v>63</v>
      </c>
      <c r="R328" t="s">
        <v>120</v>
      </c>
      <c r="S328" t="s">
        <v>28</v>
      </c>
      <c r="T328" t="s">
        <v>30</v>
      </c>
      <c r="U328" t="s">
        <v>125</v>
      </c>
    </row>
    <row r="329" spans="1:21" x14ac:dyDescent="0.3">
      <c r="A329">
        <v>413</v>
      </c>
      <c r="B329" s="1">
        <v>40562</v>
      </c>
      <c r="C329">
        <v>1</v>
      </c>
      <c r="D329">
        <v>0</v>
      </c>
      <c r="E329">
        <v>1</v>
      </c>
      <c r="F329">
        <v>5</v>
      </c>
      <c r="G329" t="b">
        <v>0</v>
      </c>
      <c r="H329">
        <v>3</v>
      </c>
      <c r="I329">
        <v>2</v>
      </c>
      <c r="J329">
        <v>0.22</v>
      </c>
      <c r="K329">
        <v>0.2576</v>
      </c>
      <c r="L329">
        <v>0.93</v>
      </c>
      <c r="M329">
        <v>8.9599999999999999E-2</v>
      </c>
      <c r="N329">
        <v>0</v>
      </c>
      <c r="O329">
        <v>7</v>
      </c>
      <c r="P329">
        <v>7</v>
      </c>
      <c r="Q329" t="s">
        <v>64</v>
      </c>
      <c r="R329" t="s">
        <v>120</v>
      </c>
      <c r="S329" t="s">
        <v>28</v>
      </c>
      <c r="T329" t="s">
        <v>30</v>
      </c>
      <c r="U329" t="s">
        <v>124</v>
      </c>
    </row>
    <row r="330" spans="1:21" x14ac:dyDescent="0.3">
      <c r="A330">
        <v>414</v>
      </c>
      <c r="B330" s="1">
        <v>40562</v>
      </c>
      <c r="C330">
        <v>1</v>
      </c>
      <c r="D330">
        <v>0</v>
      </c>
      <c r="E330">
        <v>1</v>
      </c>
      <c r="F330">
        <v>6</v>
      </c>
      <c r="G330" t="b">
        <v>0</v>
      </c>
      <c r="H330">
        <v>3</v>
      </c>
      <c r="I330">
        <v>2</v>
      </c>
      <c r="J330">
        <v>0.22</v>
      </c>
      <c r="K330">
        <v>0.2576</v>
      </c>
      <c r="L330">
        <v>0.93</v>
      </c>
      <c r="M330">
        <v>8.9599999999999999E-2</v>
      </c>
      <c r="N330">
        <v>0</v>
      </c>
      <c r="O330">
        <v>32</v>
      </c>
      <c r="P330">
        <v>32</v>
      </c>
      <c r="Q330" t="s">
        <v>64</v>
      </c>
      <c r="R330" t="s">
        <v>120</v>
      </c>
      <c r="S330" t="s">
        <v>28</v>
      </c>
      <c r="T330" t="s">
        <v>30</v>
      </c>
      <c r="U330" t="s">
        <v>124</v>
      </c>
    </row>
    <row r="331" spans="1:21" x14ac:dyDescent="0.3">
      <c r="A331">
        <v>415</v>
      </c>
      <c r="B331" s="1">
        <v>40562</v>
      </c>
      <c r="C331">
        <v>1</v>
      </c>
      <c r="D331">
        <v>0</v>
      </c>
      <c r="E331">
        <v>1</v>
      </c>
      <c r="F331">
        <v>7</v>
      </c>
      <c r="G331" t="b">
        <v>0</v>
      </c>
      <c r="H331">
        <v>3</v>
      </c>
      <c r="I331">
        <v>2</v>
      </c>
      <c r="J331">
        <v>0.24</v>
      </c>
      <c r="K331">
        <v>0.2576</v>
      </c>
      <c r="L331">
        <v>0.92</v>
      </c>
      <c r="M331">
        <v>0.1045</v>
      </c>
      <c r="N331">
        <v>1</v>
      </c>
      <c r="O331">
        <v>89</v>
      </c>
      <c r="P331">
        <v>90</v>
      </c>
      <c r="Q331" t="s">
        <v>64</v>
      </c>
      <c r="R331" t="s">
        <v>120</v>
      </c>
      <c r="S331" t="s">
        <v>28</v>
      </c>
      <c r="T331" t="s">
        <v>30</v>
      </c>
      <c r="U331" t="s">
        <v>124</v>
      </c>
    </row>
    <row r="332" spans="1:21" x14ac:dyDescent="0.3">
      <c r="A332">
        <v>416</v>
      </c>
      <c r="B332" s="1">
        <v>40562</v>
      </c>
      <c r="C332">
        <v>1</v>
      </c>
      <c r="D332">
        <v>0</v>
      </c>
      <c r="E332">
        <v>1</v>
      </c>
      <c r="F332">
        <v>8</v>
      </c>
      <c r="G332" t="b">
        <v>0</v>
      </c>
      <c r="H332">
        <v>3</v>
      </c>
      <c r="I332">
        <v>2</v>
      </c>
      <c r="J332">
        <v>0.24</v>
      </c>
      <c r="K332">
        <v>0.2576</v>
      </c>
      <c r="L332">
        <v>0.93</v>
      </c>
      <c r="M332">
        <v>0.1045</v>
      </c>
      <c r="N332">
        <v>1</v>
      </c>
      <c r="O332">
        <v>196</v>
      </c>
      <c r="P332">
        <v>197</v>
      </c>
      <c r="Q332" t="s">
        <v>64</v>
      </c>
      <c r="R332" t="s">
        <v>120</v>
      </c>
      <c r="S332" t="s">
        <v>28</v>
      </c>
      <c r="T332" t="s">
        <v>30</v>
      </c>
      <c r="U332" t="s">
        <v>124</v>
      </c>
    </row>
    <row r="333" spans="1:21" x14ac:dyDescent="0.3">
      <c r="A333">
        <v>417</v>
      </c>
      <c r="B333" s="1">
        <v>40562</v>
      </c>
      <c r="C333">
        <v>1</v>
      </c>
      <c r="D333">
        <v>0</v>
      </c>
      <c r="E333">
        <v>1</v>
      </c>
      <c r="F333">
        <v>9</v>
      </c>
      <c r="G333" t="b">
        <v>0</v>
      </c>
      <c r="H333">
        <v>3</v>
      </c>
      <c r="I333">
        <v>2</v>
      </c>
      <c r="J333">
        <v>0.24</v>
      </c>
      <c r="K333">
        <v>0.2576</v>
      </c>
      <c r="L333">
        <v>0.93</v>
      </c>
      <c r="M333">
        <v>0.1045</v>
      </c>
      <c r="N333">
        <v>2</v>
      </c>
      <c r="O333">
        <v>107</v>
      </c>
      <c r="P333">
        <v>109</v>
      </c>
      <c r="Q333" t="s">
        <v>64</v>
      </c>
      <c r="R333" t="s">
        <v>120</v>
      </c>
      <c r="S333" t="s">
        <v>28</v>
      </c>
      <c r="T333" t="s">
        <v>30</v>
      </c>
      <c r="U333" t="s">
        <v>124</v>
      </c>
    </row>
    <row r="334" spans="1:21" x14ac:dyDescent="0.3">
      <c r="A334">
        <v>418</v>
      </c>
      <c r="B334" s="1">
        <v>40562</v>
      </c>
      <c r="C334">
        <v>1</v>
      </c>
      <c r="D334">
        <v>0</v>
      </c>
      <c r="E334">
        <v>1</v>
      </c>
      <c r="F334">
        <v>10</v>
      </c>
      <c r="G334" t="b">
        <v>0</v>
      </c>
      <c r="H334">
        <v>3</v>
      </c>
      <c r="I334">
        <v>2</v>
      </c>
      <c r="J334">
        <v>0.26</v>
      </c>
      <c r="K334">
        <v>0.2727</v>
      </c>
      <c r="L334">
        <v>0.93</v>
      </c>
      <c r="M334">
        <v>0.1343</v>
      </c>
      <c r="N334">
        <v>1</v>
      </c>
      <c r="O334">
        <v>46</v>
      </c>
      <c r="P334">
        <v>47</v>
      </c>
      <c r="Q334" t="s">
        <v>64</v>
      </c>
      <c r="R334" t="s">
        <v>120</v>
      </c>
      <c r="S334" t="s">
        <v>28</v>
      </c>
      <c r="T334" t="s">
        <v>30</v>
      </c>
      <c r="U334" t="s">
        <v>124</v>
      </c>
    </row>
    <row r="335" spans="1:21" x14ac:dyDescent="0.3">
      <c r="A335">
        <v>419</v>
      </c>
      <c r="B335" s="1">
        <v>40562</v>
      </c>
      <c r="C335">
        <v>1</v>
      </c>
      <c r="D335">
        <v>0</v>
      </c>
      <c r="E335">
        <v>1</v>
      </c>
      <c r="F335">
        <v>11</v>
      </c>
      <c r="G335" t="b">
        <v>0</v>
      </c>
      <c r="H335">
        <v>3</v>
      </c>
      <c r="I335">
        <v>2</v>
      </c>
      <c r="J335">
        <v>0.28000000000000003</v>
      </c>
      <c r="K335">
        <v>0.30299999999999999</v>
      </c>
      <c r="L335">
        <v>0.87</v>
      </c>
      <c r="M335">
        <v>8.9599999999999999E-2</v>
      </c>
      <c r="N335">
        <v>5</v>
      </c>
      <c r="O335">
        <v>47</v>
      </c>
      <c r="P335">
        <v>52</v>
      </c>
      <c r="Q335" t="s">
        <v>64</v>
      </c>
      <c r="R335" t="s">
        <v>120</v>
      </c>
      <c r="S335" t="s">
        <v>28</v>
      </c>
      <c r="T335" t="s">
        <v>30</v>
      </c>
      <c r="U335" t="s">
        <v>124</v>
      </c>
    </row>
    <row r="336" spans="1:21" x14ac:dyDescent="0.3">
      <c r="A336">
        <v>420</v>
      </c>
      <c r="B336" s="1">
        <v>40562</v>
      </c>
      <c r="C336">
        <v>1</v>
      </c>
      <c r="D336">
        <v>0</v>
      </c>
      <c r="E336">
        <v>1</v>
      </c>
      <c r="F336">
        <v>12</v>
      </c>
      <c r="G336" t="b">
        <v>0</v>
      </c>
      <c r="H336">
        <v>3</v>
      </c>
      <c r="I336">
        <v>2</v>
      </c>
      <c r="J336">
        <v>0.3</v>
      </c>
      <c r="K336">
        <v>0.31819999999999998</v>
      </c>
      <c r="L336">
        <v>0.81</v>
      </c>
      <c r="M336">
        <v>8.9599999999999999E-2</v>
      </c>
      <c r="N336">
        <v>5</v>
      </c>
      <c r="O336">
        <v>65</v>
      </c>
      <c r="P336">
        <v>70</v>
      </c>
      <c r="Q336" t="s">
        <v>64</v>
      </c>
      <c r="R336" t="s">
        <v>120</v>
      </c>
      <c r="S336" t="s">
        <v>28</v>
      </c>
      <c r="T336" t="s">
        <v>30</v>
      </c>
      <c r="U336" t="s">
        <v>124</v>
      </c>
    </row>
    <row r="337" spans="1:21" x14ac:dyDescent="0.3">
      <c r="A337">
        <v>421</v>
      </c>
      <c r="B337" s="1">
        <v>40562</v>
      </c>
      <c r="C337">
        <v>1</v>
      </c>
      <c r="D337">
        <v>0</v>
      </c>
      <c r="E337">
        <v>1</v>
      </c>
      <c r="F337">
        <v>13</v>
      </c>
      <c r="G337" t="b">
        <v>0</v>
      </c>
      <c r="H337">
        <v>3</v>
      </c>
      <c r="I337">
        <v>1</v>
      </c>
      <c r="J337">
        <v>0.4</v>
      </c>
      <c r="K337">
        <v>0.40910000000000002</v>
      </c>
      <c r="L337">
        <v>0.62</v>
      </c>
      <c r="M337">
        <v>0.28360000000000002</v>
      </c>
      <c r="N337">
        <v>11</v>
      </c>
      <c r="O337">
        <v>67</v>
      </c>
      <c r="P337">
        <v>78</v>
      </c>
      <c r="Q337" t="s">
        <v>62</v>
      </c>
      <c r="R337" t="s">
        <v>120</v>
      </c>
      <c r="S337" t="s">
        <v>28</v>
      </c>
      <c r="T337" t="s">
        <v>30</v>
      </c>
      <c r="U337" t="s">
        <v>123</v>
      </c>
    </row>
    <row r="338" spans="1:21" x14ac:dyDescent="0.3">
      <c r="A338">
        <v>422</v>
      </c>
      <c r="B338" s="1">
        <v>40562</v>
      </c>
      <c r="C338">
        <v>1</v>
      </c>
      <c r="D338">
        <v>0</v>
      </c>
      <c r="E338">
        <v>1</v>
      </c>
      <c r="F338">
        <v>14</v>
      </c>
      <c r="G338" t="b">
        <v>0</v>
      </c>
      <c r="H338">
        <v>3</v>
      </c>
      <c r="I338">
        <v>1</v>
      </c>
      <c r="J338">
        <v>0.4</v>
      </c>
      <c r="K338">
        <v>0.40910000000000002</v>
      </c>
      <c r="L338">
        <v>0.57999999999999996</v>
      </c>
      <c r="M338">
        <v>0.25369999999999998</v>
      </c>
      <c r="N338">
        <v>7</v>
      </c>
      <c r="O338">
        <v>68</v>
      </c>
      <c r="P338">
        <v>75</v>
      </c>
      <c r="Q338" t="s">
        <v>62</v>
      </c>
      <c r="R338" t="s">
        <v>120</v>
      </c>
      <c r="S338" t="s">
        <v>28</v>
      </c>
      <c r="T338" t="s">
        <v>30</v>
      </c>
      <c r="U338" t="s">
        <v>123</v>
      </c>
    </row>
    <row r="339" spans="1:21" x14ac:dyDescent="0.3">
      <c r="A339">
        <v>423</v>
      </c>
      <c r="B339" s="1">
        <v>40562</v>
      </c>
      <c r="C339">
        <v>1</v>
      </c>
      <c r="D339">
        <v>0</v>
      </c>
      <c r="E339">
        <v>1</v>
      </c>
      <c r="F339">
        <v>15</v>
      </c>
      <c r="G339" t="b">
        <v>0</v>
      </c>
      <c r="H339">
        <v>3</v>
      </c>
      <c r="I339">
        <v>1</v>
      </c>
      <c r="J339">
        <v>0.4</v>
      </c>
      <c r="K339">
        <v>0.40910000000000002</v>
      </c>
      <c r="L339">
        <v>0.54</v>
      </c>
      <c r="M339">
        <v>0.28360000000000002</v>
      </c>
      <c r="N339">
        <v>4</v>
      </c>
      <c r="O339">
        <v>78</v>
      </c>
      <c r="P339">
        <v>82</v>
      </c>
      <c r="Q339" t="s">
        <v>62</v>
      </c>
      <c r="R339" t="s">
        <v>120</v>
      </c>
      <c r="S339" t="s">
        <v>28</v>
      </c>
      <c r="T339" t="s">
        <v>30</v>
      </c>
      <c r="U339" t="s">
        <v>123</v>
      </c>
    </row>
    <row r="340" spans="1:21" x14ac:dyDescent="0.3">
      <c r="A340">
        <v>424</v>
      </c>
      <c r="B340" s="1">
        <v>40562</v>
      </c>
      <c r="C340">
        <v>1</v>
      </c>
      <c r="D340">
        <v>0</v>
      </c>
      <c r="E340">
        <v>1</v>
      </c>
      <c r="F340">
        <v>16</v>
      </c>
      <c r="G340" t="b">
        <v>0</v>
      </c>
      <c r="H340">
        <v>3</v>
      </c>
      <c r="I340">
        <v>1</v>
      </c>
      <c r="J340">
        <v>0.38</v>
      </c>
      <c r="K340">
        <v>0.39389999999999997</v>
      </c>
      <c r="L340">
        <v>0.57999999999999996</v>
      </c>
      <c r="M340">
        <v>0.3881</v>
      </c>
      <c r="N340">
        <v>10</v>
      </c>
      <c r="O340">
        <v>94</v>
      </c>
      <c r="P340">
        <v>104</v>
      </c>
      <c r="Q340" t="s">
        <v>62</v>
      </c>
      <c r="R340" t="s">
        <v>120</v>
      </c>
      <c r="S340" t="s">
        <v>28</v>
      </c>
      <c r="T340" t="s">
        <v>30</v>
      </c>
      <c r="U340" t="s">
        <v>123</v>
      </c>
    </row>
    <row r="341" spans="1:21" x14ac:dyDescent="0.3">
      <c r="A341">
        <v>425</v>
      </c>
      <c r="B341" s="1">
        <v>40562</v>
      </c>
      <c r="C341">
        <v>1</v>
      </c>
      <c r="D341">
        <v>0</v>
      </c>
      <c r="E341">
        <v>1</v>
      </c>
      <c r="F341">
        <v>17</v>
      </c>
      <c r="G341" t="b">
        <v>0</v>
      </c>
      <c r="H341">
        <v>3</v>
      </c>
      <c r="I341">
        <v>1</v>
      </c>
      <c r="J341">
        <v>0.36</v>
      </c>
      <c r="K341">
        <v>0.33329999999999999</v>
      </c>
      <c r="L341">
        <v>0.56999999999999995</v>
      </c>
      <c r="M341">
        <v>0.32840000000000003</v>
      </c>
      <c r="N341">
        <v>7</v>
      </c>
      <c r="O341">
        <v>190</v>
      </c>
      <c r="P341">
        <v>197</v>
      </c>
      <c r="Q341" t="s">
        <v>62</v>
      </c>
      <c r="R341" t="s">
        <v>120</v>
      </c>
      <c r="S341" t="s">
        <v>28</v>
      </c>
      <c r="T341" t="s">
        <v>30</v>
      </c>
      <c r="U341" t="s">
        <v>123</v>
      </c>
    </row>
    <row r="342" spans="1:21" x14ac:dyDescent="0.3">
      <c r="A342">
        <v>426</v>
      </c>
      <c r="B342" s="1">
        <v>40562</v>
      </c>
      <c r="C342">
        <v>1</v>
      </c>
      <c r="D342">
        <v>0</v>
      </c>
      <c r="E342">
        <v>1</v>
      </c>
      <c r="F342">
        <v>18</v>
      </c>
      <c r="G342" t="b">
        <v>0</v>
      </c>
      <c r="H342">
        <v>3</v>
      </c>
      <c r="I342">
        <v>1</v>
      </c>
      <c r="J342">
        <v>0.34</v>
      </c>
      <c r="K342">
        <v>0.31819999999999998</v>
      </c>
      <c r="L342">
        <v>0.61</v>
      </c>
      <c r="M342">
        <v>0.28360000000000002</v>
      </c>
      <c r="N342">
        <v>5</v>
      </c>
      <c r="O342">
        <v>156</v>
      </c>
      <c r="P342">
        <v>161</v>
      </c>
      <c r="Q342" t="s">
        <v>62</v>
      </c>
      <c r="R342" t="s">
        <v>120</v>
      </c>
      <c r="S342" t="s">
        <v>28</v>
      </c>
      <c r="T342" t="s">
        <v>30</v>
      </c>
      <c r="U342" t="s">
        <v>123</v>
      </c>
    </row>
    <row r="343" spans="1:21" x14ac:dyDescent="0.3">
      <c r="A343">
        <v>427</v>
      </c>
      <c r="B343" s="1">
        <v>40562</v>
      </c>
      <c r="C343">
        <v>1</v>
      </c>
      <c r="D343">
        <v>0</v>
      </c>
      <c r="E343">
        <v>1</v>
      </c>
      <c r="F343">
        <v>19</v>
      </c>
      <c r="G343" t="b">
        <v>0</v>
      </c>
      <c r="H343">
        <v>3</v>
      </c>
      <c r="I343">
        <v>1</v>
      </c>
      <c r="J343">
        <v>0.32</v>
      </c>
      <c r="K343">
        <v>0.28789999999999999</v>
      </c>
      <c r="L343">
        <v>0.56999999999999995</v>
      </c>
      <c r="M343">
        <v>0.41789999999999999</v>
      </c>
      <c r="N343">
        <v>4</v>
      </c>
      <c r="O343">
        <v>108</v>
      </c>
      <c r="P343">
        <v>112</v>
      </c>
      <c r="Q343" t="s">
        <v>62</v>
      </c>
      <c r="R343" t="s">
        <v>120</v>
      </c>
      <c r="S343" t="s">
        <v>28</v>
      </c>
      <c r="T343" t="s">
        <v>30</v>
      </c>
      <c r="U343" t="s">
        <v>123</v>
      </c>
    </row>
    <row r="344" spans="1:21" x14ac:dyDescent="0.3">
      <c r="A344">
        <v>428</v>
      </c>
      <c r="B344" s="1">
        <v>40562</v>
      </c>
      <c r="C344">
        <v>1</v>
      </c>
      <c r="D344">
        <v>0</v>
      </c>
      <c r="E344">
        <v>1</v>
      </c>
      <c r="F344">
        <v>20</v>
      </c>
      <c r="G344" t="b">
        <v>0</v>
      </c>
      <c r="H344">
        <v>3</v>
      </c>
      <c r="I344">
        <v>1</v>
      </c>
      <c r="J344">
        <v>0.32</v>
      </c>
      <c r="K344">
        <v>0.30299999999999999</v>
      </c>
      <c r="L344">
        <v>0.49</v>
      </c>
      <c r="M344">
        <v>0.29849999999999999</v>
      </c>
      <c r="N344">
        <v>2</v>
      </c>
      <c r="O344">
        <v>74</v>
      </c>
      <c r="P344">
        <v>76</v>
      </c>
      <c r="Q344" t="s">
        <v>62</v>
      </c>
      <c r="R344" t="s">
        <v>120</v>
      </c>
      <c r="S344" t="s">
        <v>28</v>
      </c>
      <c r="T344" t="s">
        <v>30</v>
      </c>
      <c r="U344" t="s">
        <v>123</v>
      </c>
    </row>
    <row r="345" spans="1:21" x14ac:dyDescent="0.3">
      <c r="A345">
        <v>429</v>
      </c>
      <c r="B345" s="1">
        <v>40562</v>
      </c>
      <c r="C345">
        <v>1</v>
      </c>
      <c r="D345">
        <v>0</v>
      </c>
      <c r="E345">
        <v>1</v>
      </c>
      <c r="F345">
        <v>21</v>
      </c>
      <c r="G345" t="b">
        <v>0</v>
      </c>
      <c r="H345">
        <v>3</v>
      </c>
      <c r="I345">
        <v>1</v>
      </c>
      <c r="J345">
        <v>0.32</v>
      </c>
      <c r="K345">
        <v>0.28789999999999999</v>
      </c>
      <c r="L345">
        <v>0.49</v>
      </c>
      <c r="M345">
        <v>0.41789999999999999</v>
      </c>
      <c r="N345">
        <v>4</v>
      </c>
      <c r="O345">
        <v>55</v>
      </c>
      <c r="P345">
        <v>59</v>
      </c>
      <c r="Q345" t="s">
        <v>62</v>
      </c>
      <c r="R345" t="s">
        <v>120</v>
      </c>
      <c r="S345" t="s">
        <v>28</v>
      </c>
      <c r="T345" t="s">
        <v>30</v>
      </c>
      <c r="U345" t="s">
        <v>123</v>
      </c>
    </row>
    <row r="346" spans="1:21" x14ac:dyDescent="0.3">
      <c r="A346">
        <v>430</v>
      </c>
      <c r="B346" s="1">
        <v>40562</v>
      </c>
      <c r="C346">
        <v>1</v>
      </c>
      <c r="D346">
        <v>0</v>
      </c>
      <c r="E346">
        <v>1</v>
      </c>
      <c r="F346">
        <v>22</v>
      </c>
      <c r="G346" t="b">
        <v>0</v>
      </c>
      <c r="H346">
        <v>3</v>
      </c>
      <c r="I346">
        <v>1</v>
      </c>
      <c r="J346">
        <v>0.3</v>
      </c>
      <c r="K346">
        <v>0.30299999999999999</v>
      </c>
      <c r="L346">
        <v>0.52</v>
      </c>
      <c r="M346">
        <v>0.16420000000000001</v>
      </c>
      <c r="N346">
        <v>6</v>
      </c>
      <c r="O346">
        <v>53</v>
      </c>
      <c r="P346">
        <v>59</v>
      </c>
      <c r="Q346" t="s">
        <v>62</v>
      </c>
      <c r="R346" t="s">
        <v>120</v>
      </c>
      <c r="S346" t="s">
        <v>28</v>
      </c>
      <c r="T346" t="s">
        <v>30</v>
      </c>
      <c r="U346" t="s">
        <v>123</v>
      </c>
    </row>
    <row r="347" spans="1:21" x14ac:dyDescent="0.3">
      <c r="A347">
        <v>431</v>
      </c>
      <c r="B347" s="1">
        <v>40562</v>
      </c>
      <c r="C347">
        <v>1</v>
      </c>
      <c r="D347">
        <v>0</v>
      </c>
      <c r="E347">
        <v>1</v>
      </c>
      <c r="F347">
        <v>23</v>
      </c>
      <c r="G347" t="b">
        <v>0</v>
      </c>
      <c r="H347">
        <v>3</v>
      </c>
      <c r="I347">
        <v>1</v>
      </c>
      <c r="J347">
        <v>0.3</v>
      </c>
      <c r="K347">
        <v>0.2727</v>
      </c>
      <c r="L347">
        <v>0.52</v>
      </c>
      <c r="M347">
        <v>0.4627</v>
      </c>
      <c r="N347">
        <v>1</v>
      </c>
      <c r="O347">
        <v>27</v>
      </c>
      <c r="P347">
        <v>28</v>
      </c>
      <c r="Q347" t="s">
        <v>62</v>
      </c>
      <c r="R347" t="s">
        <v>120</v>
      </c>
      <c r="S347" t="s">
        <v>28</v>
      </c>
      <c r="T347" t="s">
        <v>30</v>
      </c>
      <c r="U347" t="s">
        <v>123</v>
      </c>
    </row>
    <row r="348" spans="1:21" x14ac:dyDescent="0.3">
      <c r="A348">
        <v>572</v>
      </c>
      <c r="B348" s="1">
        <v>40569</v>
      </c>
      <c r="C348">
        <v>1</v>
      </c>
      <c r="D348">
        <v>0</v>
      </c>
      <c r="E348">
        <v>1</v>
      </c>
      <c r="F348">
        <v>0</v>
      </c>
      <c r="G348" t="b">
        <v>0</v>
      </c>
      <c r="H348">
        <v>3</v>
      </c>
      <c r="I348">
        <v>2</v>
      </c>
      <c r="J348">
        <v>0.22</v>
      </c>
      <c r="K348">
        <v>0.2273</v>
      </c>
      <c r="L348">
        <v>0.69</v>
      </c>
      <c r="M348">
        <v>0.1343</v>
      </c>
      <c r="N348">
        <v>3</v>
      </c>
      <c r="O348">
        <v>14</v>
      </c>
      <c r="P348">
        <v>17</v>
      </c>
      <c r="Q348" t="s">
        <v>64</v>
      </c>
      <c r="R348" t="s">
        <v>120</v>
      </c>
      <c r="S348" t="s">
        <v>28</v>
      </c>
      <c r="T348" t="s">
        <v>30</v>
      </c>
      <c r="U348" t="s">
        <v>124</v>
      </c>
    </row>
    <row r="349" spans="1:21" x14ac:dyDescent="0.3">
      <c r="A349">
        <v>573</v>
      </c>
      <c r="B349" s="1">
        <v>40569</v>
      </c>
      <c r="C349">
        <v>1</v>
      </c>
      <c r="D349">
        <v>0</v>
      </c>
      <c r="E349">
        <v>1</v>
      </c>
      <c r="F349">
        <v>1</v>
      </c>
      <c r="G349" t="b">
        <v>0</v>
      </c>
      <c r="H349">
        <v>3</v>
      </c>
      <c r="I349">
        <v>2</v>
      </c>
      <c r="J349">
        <v>0.24</v>
      </c>
      <c r="K349">
        <v>0.2424</v>
      </c>
      <c r="L349">
        <v>0.65</v>
      </c>
      <c r="M349">
        <v>0.1343</v>
      </c>
      <c r="N349">
        <v>0</v>
      </c>
      <c r="O349">
        <v>5</v>
      </c>
      <c r="P349">
        <v>5</v>
      </c>
      <c r="Q349" t="s">
        <v>64</v>
      </c>
      <c r="R349" t="s">
        <v>120</v>
      </c>
      <c r="S349" t="s">
        <v>28</v>
      </c>
      <c r="T349" t="s">
        <v>30</v>
      </c>
      <c r="U349" t="s">
        <v>124</v>
      </c>
    </row>
    <row r="350" spans="1:21" x14ac:dyDescent="0.3">
      <c r="A350">
        <v>574</v>
      </c>
      <c r="B350" s="1">
        <v>40569</v>
      </c>
      <c r="C350">
        <v>1</v>
      </c>
      <c r="D350">
        <v>0</v>
      </c>
      <c r="E350">
        <v>1</v>
      </c>
      <c r="F350">
        <v>2</v>
      </c>
      <c r="G350" t="b">
        <v>0</v>
      </c>
      <c r="H350">
        <v>3</v>
      </c>
      <c r="I350">
        <v>3</v>
      </c>
      <c r="J350">
        <v>0.22</v>
      </c>
      <c r="K350">
        <v>0.2273</v>
      </c>
      <c r="L350">
        <v>0.69</v>
      </c>
      <c r="M350">
        <v>0.19400000000000001</v>
      </c>
      <c r="N350">
        <v>3</v>
      </c>
      <c r="O350">
        <v>7</v>
      </c>
      <c r="P350">
        <v>10</v>
      </c>
      <c r="Q350" t="s">
        <v>63</v>
      </c>
      <c r="R350" t="s">
        <v>120</v>
      </c>
      <c r="S350" t="s">
        <v>28</v>
      </c>
      <c r="T350" t="s">
        <v>30</v>
      </c>
      <c r="U350" t="s">
        <v>125</v>
      </c>
    </row>
    <row r="351" spans="1:21" x14ac:dyDescent="0.3">
      <c r="A351">
        <v>575</v>
      </c>
      <c r="B351" s="1">
        <v>40569</v>
      </c>
      <c r="C351">
        <v>1</v>
      </c>
      <c r="D351">
        <v>0</v>
      </c>
      <c r="E351">
        <v>1</v>
      </c>
      <c r="F351">
        <v>5</v>
      </c>
      <c r="G351" t="b">
        <v>0</v>
      </c>
      <c r="H351">
        <v>3</v>
      </c>
      <c r="I351">
        <v>3</v>
      </c>
      <c r="J351">
        <v>0.2</v>
      </c>
      <c r="K351">
        <v>0.18179999999999999</v>
      </c>
      <c r="L351">
        <v>0.86</v>
      </c>
      <c r="M351">
        <v>0.28360000000000002</v>
      </c>
      <c r="N351">
        <v>0</v>
      </c>
      <c r="O351">
        <v>1</v>
      </c>
      <c r="P351">
        <v>1</v>
      </c>
      <c r="Q351" t="s">
        <v>63</v>
      </c>
      <c r="R351" t="s">
        <v>120</v>
      </c>
      <c r="S351" t="s">
        <v>28</v>
      </c>
      <c r="T351" t="s">
        <v>30</v>
      </c>
      <c r="U351" t="s">
        <v>125</v>
      </c>
    </row>
    <row r="352" spans="1:21" x14ac:dyDescent="0.3">
      <c r="A352">
        <v>576</v>
      </c>
      <c r="B352" s="1">
        <v>40569</v>
      </c>
      <c r="C352">
        <v>1</v>
      </c>
      <c r="D352">
        <v>0</v>
      </c>
      <c r="E352">
        <v>1</v>
      </c>
      <c r="F352">
        <v>6</v>
      </c>
      <c r="G352" t="b">
        <v>0</v>
      </c>
      <c r="H352">
        <v>3</v>
      </c>
      <c r="I352">
        <v>3</v>
      </c>
      <c r="J352">
        <v>0.2</v>
      </c>
      <c r="K352">
        <v>0.18179999999999999</v>
      </c>
      <c r="L352">
        <v>0.86</v>
      </c>
      <c r="M352">
        <v>0.28360000000000002</v>
      </c>
      <c r="N352">
        <v>0</v>
      </c>
      <c r="O352">
        <v>8</v>
      </c>
      <c r="P352">
        <v>8</v>
      </c>
      <c r="Q352" t="s">
        <v>63</v>
      </c>
      <c r="R352" t="s">
        <v>120</v>
      </c>
      <c r="S352" t="s">
        <v>28</v>
      </c>
      <c r="T352" t="s">
        <v>30</v>
      </c>
      <c r="U352" t="s">
        <v>125</v>
      </c>
    </row>
    <row r="353" spans="1:21" x14ac:dyDescent="0.3">
      <c r="A353">
        <v>577</v>
      </c>
      <c r="B353" s="1">
        <v>40569</v>
      </c>
      <c r="C353">
        <v>1</v>
      </c>
      <c r="D353">
        <v>0</v>
      </c>
      <c r="E353">
        <v>1</v>
      </c>
      <c r="F353">
        <v>7</v>
      </c>
      <c r="G353" t="b">
        <v>0</v>
      </c>
      <c r="H353">
        <v>3</v>
      </c>
      <c r="I353">
        <v>3</v>
      </c>
      <c r="J353">
        <v>0.22</v>
      </c>
      <c r="K353">
        <v>0.21210000000000001</v>
      </c>
      <c r="L353">
        <v>0.87</v>
      </c>
      <c r="M353">
        <v>0.29849999999999999</v>
      </c>
      <c r="N353">
        <v>1</v>
      </c>
      <c r="O353">
        <v>29</v>
      </c>
      <c r="P353">
        <v>30</v>
      </c>
      <c r="Q353" t="s">
        <v>63</v>
      </c>
      <c r="R353" t="s">
        <v>120</v>
      </c>
      <c r="S353" t="s">
        <v>28</v>
      </c>
      <c r="T353" t="s">
        <v>30</v>
      </c>
      <c r="U353" t="s">
        <v>125</v>
      </c>
    </row>
    <row r="354" spans="1:21" x14ac:dyDescent="0.3">
      <c r="A354">
        <v>578</v>
      </c>
      <c r="B354" s="1">
        <v>40569</v>
      </c>
      <c r="C354">
        <v>1</v>
      </c>
      <c r="D354">
        <v>0</v>
      </c>
      <c r="E354">
        <v>1</v>
      </c>
      <c r="F354">
        <v>8</v>
      </c>
      <c r="G354" t="b">
        <v>0</v>
      </c>
      <c r="H354">
        <v>3</v>
      </c>
      <c r="I354">
        <v>3</v>
      </c>
      <c r="J354">
        <v>0.22</v>
      </c>
      <c r="K354">
        <v>0.21210000000000001</v>
      </c>
      <c r="L354">
        <v>0.87</v>
      </c>
      <c r="M354">
        <v>0.29849999999999999</v>
      </c>
      <c r="N354">
        <v>3</v>
      </c>
      <c r="O354">
        <v>69</v>
      </c>
      <c r="P354">
        <v>72</v>
      </c>
      <c r="Q354" t="s">
        <v>63</v>
      </c>
      <c r="R354" t="s">
        <v>120</v>
      </c>
      <c r="S354" t="s">
        <v>28</v>
      </c>
      <c r="T354" t="s">
        <v>30</v>
      </c>
      <c r="U354" t="s">
        <v>125</v>
      </c>
    </row>
    <row r="355" spans="1:21" x14ac:dyDescent="0.3">
      <c r="A355">
        <v>579</v>
      </c>
      <c r="B355" s="1">
        <v>40569</v>
      </c>
      <c r="C355">
        <v>1</v>
      </c>
      <c r="D355">
        <v>0</v>
      </c>
      <c r="E355">
        <v>1</v>
      </c>
      <c r="F355">
        <v>9</v>
      </c>
      <c r="G355" t="b">
        <v>0</v>
      </c>
      <c r="H355">
        <v>3</v>
      </c>
      <c r="I355">
        <v>3</v>
      </c>
      <c r="J355">
        <v>0.22</v>
      </c>
      <c r="K355">
        <v>0.21210000000000001</v>
      </c>
      <c r="L355">
        <v>0.87</v>
      </c>
      <c r="M355">
        <v>0.29849999999999999</v>
      </c>
      <c r="N355">
        <v>3</v>
      </c>
      <c r="O355">
        <v>55</v>
      </c>
      <c r="P355">
        <v>58</v>
      </c>
      <c r="Q355" t="s">
        <v>63</v>
      </c>
      <c r="R355" t="s">
        <v>120</v>
      </c>
      <c r="S355" t="s">
        <v>28</v>
      </c>
      <c r="T355" t="s">
        <v>30</v>
      </c>
      <c r="U355" t="s">
        <v>125</v>
      </c>
    </row>
    <row r="356" spans="1:21" x14ac:dyDescent="0.3">
      <c r="A356">
        <v>580</v>
      </c>
      <c r="B356" s="1">
        <v>40569</v>
      </c>
      <c r="C356">
        <v>1</v>
      </c>
      <c r="D356">
        <v>0</v>
      </c>
      <c r="E356">
        <v>1</v>
      </c>
      <c r="F356">
        <v>10</v>
      </c>
      <c r="G356" t="b">
        <v>0</v>
      </c>
      <c r="H356">
        <v>3</v>
      </c>
      <c r="I356">
        <v>3</v>
      </c>
      <c r="J356">
        <v>0.22</v>
      </c>
      <c r="K356">
        <v>0.21210000000000001</v>
      </c>
      <c r="L356">
        <v>0.93</v>
      </c>
      <c r="M356">
        <v>0.28360000000000002</v>
      </c>
      <c r="N356">
        <v>2</v>
      </c>
      <c r="O356">
        <v>26</v>
      </c>
      <c r="P356">
        <v>28</v>
      </c>
      <c r="Q356" t="s">
        <v>63</v>
      </c>
      <c r="R356" t="s">
        <v>120</v>
      </c>
      <c r="S356" t="s">
        <v>28</v>
      </c>
      <c r="T356" t="s">
        <v>30</v>
      </c>
      <c r="U356" t="s">
        <v>125</v>
      </c>
    </row>
    <row r="357" spans="1:21" x14ac:dyDescent="0.3">
      <c r="A357">
        <v>581</v>
      </c>
      <c r="B357" s="1">
        <v>40569</v>
      </c>
      <c r="C357">
        <v>1</v>
      </c>
      <c r="D357">
        <v>0</v>
      </c>
      <c r="E357">
        <v>1</v>
      </c>
      <c r="F357">
        <v>11</v>
      </c>
      <c r="G357" t="b">
        <v>0</v>
      </c>
      <c r="H357">
        <v>3</v>
      </c>
      <c r="I357">
        <v>3</v>
      </c>
      <c r="J357">
        <v>0.22</v>
      </c>
      <c r="K357">
        <v>0.19700000000000001</v>
      </c>
      <c r="L357">
        <v>0.93</v>
      </c>
      <c r="M357">
        <v>0.32840000000000003</v>
      </c>
      <c r="N357">
        <v>6</v>
      </c>
      <c r="O357">
        <v>35</v>
      </c>
      <c r="P357">
        <v>41</v>
      </c>
      <c r="Q357" t="s">
        <v>63</v>
      </c>
      <c r="R357" t="s">
        <v>120</v>
      </c>
      <c r="S357" t="s">
        <v>28</v>
      </c>
      <c r="T357" t="s">
        <v>30</v>
      </c>
      <c r="U357" t="s">
        <v>125</v>
      </c>
    </row>
    <row r="358" spans="1:21" x14ac:dyDescent="0.3">
      <c r="A358">
        <v>582</v>
      </c>
      <c r="B358" s="1">
        <v>40569</v>
      </c>
      <c r="C358">
        <v>1</v>
      </c>
      <c r="D358">
        <v>0</v>
      </c>
      <c r="E358">
        <v>1</v>
      </c>
      <c r="F358">
        <v>12</v>
      </c>
      <c r="G358" t="b">
        <v>0</v>
      </c>
      <c r="H358">
        <v>3</v>
      </c>
      <c r="I358">
        <v>3</v>
      </c>
      <c r="J358">
        <v>0.22</v>
      </c>
      <c r="K358">
        <v>0.19700000000000001</v>
      </c>
      <c r="L358">
        <v>0.93</v>
      </c>
      <c r="M358">
        <v>0.32840000000000003</v>
      </c>
      <c r="N358">
        <v>7</v>
      </c>
      <c r="O358">
        <v>41</v>
      </c>
      <c r="P358">
        <v>48</v>
      </c>
      <c r="Q358" t="s">
        <v>63</v>
      </c>
      <c r="R358" t="s">
        <v>120</v>
      </c>
      <c r="S358" t="s">
        <v>28</v>
      </c>
      <c r="T358" t="s">
        <v>30</v>
      </c>
      <c r="U358" t="s">
        <v>125</v>
      </c>
    </row>
    <row r="359" spans="1:21" x14ac:dyDescent="0.3">
      <c r="A359">
        <v>583</v>
      </c>
      <c r="B359" s="1">
        <v>40569</v>
      </c>
      <c r="C359">
        <v>1</v>
      </c>
      <c r="D359">
        <v>0</v>
      </c>
      <c r="E359">
        <v>1</v>
      </c>
      <c r="F359">
        <v>13</v>
      </c>
      <c r="G359" t="b">
        <v>0</v>
      </c>
      <c r="H359">
        <v>3</v>
      </c>
      <c r="I359">
        <v>3</v>
      </c>
      <c r="J359">
        <v>0.22</v>
      </c>
      <c r="K359">
        <v>0.19700000000000001</v>
      </c>
      <c r="L359">
        <v>0.93</v>
      </c>
      <c r="M359">
        <v>0.32840000000000003</v>
      </c>
      <c r="N359">
        <v>4</v>
      </c>
      <c r="O359">
        <v>43</v>
      </c>
      <c r="P359">
        <v>47</v>
      </c>
      <c r="Q359" t="s">
        <v>63</v>
      </c>
      <c r="R359" t="s">
        <v>120</v>
      </c>
      <c r="S359" t="s">
        <v>28</v>
      </c>
      <c r="T359" t="s">
        <v>30</v>
      </c>
      <c r="U359" t="s">
        <v>125</v>
      </c>
    </row>
    <row r="360" spans="1:21" x14ac:dyDescent="0.3">
      <c r="A360">
        <v>584</v>
      </c>
      <c r="B360" s="1">
        <v>40569</v>
      </c>
      <c r="C360">
        <v>1</v>
      </c>
      <c r="D360">
        <v>0</v>
      </c>
      <c r="E360">
        <v>1</v>
      </c>
      <c r="F360">
        <v>14</v>
      </c>
      <c r="G360" t="b">
        <v>0</v>
      </c>
      <c r="H360">
        <v>3</v>
      </c>
      <c r="I360">
        <v>3</v>
      </c>
      <c r="J360">
        <v>0.22</v>
      </c>
      <c r="K360">
        <v>0.19700000000000001</v>
      </c>
      <c r="L360">
        <v>0.93</v>
      </c>
      <c r="M360">
        <v>0.35820000000000002</v>
      </c>
      <c r="N360">
        <v>0</v>
      </c>
      <c r="O360">
        <v>36</v>
      </c>
      <c r="P360">
        <v>36</v>
      </c>
      <c r="Q360" t="s">
        <v>63</v>
      </c>
      <c r="R360" t="s">
        <v>120</v>
      </c>
      <c r="S360" t="s">
        <v>28</v>
      </c>
      <c r="T360" t="s">
        <v>30</v>
      </c>
      <c r="U360" t="s">
        <v>125</v>
      </c>
    </row>
    <row r="361" spans="1:21" x14ac:dyDescent="0.3">
      <c r="A361">
        <v>585</v>
      </c>
      <c r="B361" s="1">
        <v>40569</v>
      </c>
      <c r="C361">
        <v>1</v>
      </c>
      <c r="D361">
        <v>0</v>
      </c>
      <c r="E361">
        <v>1</v>
      </c>
      <c r="F361">
        <v>15</v>
      </c>
      <c r="G361" t="b">
        <v>0</v>
      </c>
      <c r="H361">
        <v>3</v>
      </c>
      <c r="I361">
        <v>3</v>
      </c>
      <c r="J361">
        <v>0.22</v>
      </c>
      <c r="K361">
        <v>0.18179999999999999</v>
      </c>
      <c r="L361">
        <v>0.93</v>
      </c>
      <c r="M361">
        <v>0.4627</v>
      </c>
      <c r="N361">
        <v>1</v>
      </c>
      <c r="O361">
        <v>42</v>
      </c>
      <c r="P361">
        <v>43</v>
      </c>
      <c r="Q361" t="s">
        <v>63</v>
      </c>
      <c r="R361" t="s">
        <v>120</v>
      </c>
      <c r="S361" t="s">
        <v>28</v>
      </c>
      <c r="T361" t="s">
        <v>30</v>
      </c>
      <c r="U361" t="s">
        <v>125</v>
      </c>
    </row>
    <row r="362" spans="1:21" x14ac:dyDescent="0.3">
      <c r="A362">
        <v>586</v>
      </c>
      <c r="B362" s="1">
        <v>40569</v>
      </c>
      <c r="C362">
        <v>1</v>
      </c>
      <c r="D362">
        <v>0</v>
      </c>
      <c r="E362">
        <v>1</v>
      </c>
      <c r="F362">
        <v>16</v>
      </c>
      <c r="G362" t="b">
        <v>0</v>
      </c>
      <c r="H362">
        <v>3</v>
      </c>
      <c r="I362">
        <v>4</v>
      </c>
      <c r="J362">
        <v>0.22</v>
      </c>
      <c r="K362">
        <v>0.19700000000000001</v>
      </c>
      <c r="L362">
        <v>0.93</v>
      </c>
      <c r="M362">
        <v>0.32840000000000003</v>
      </c>
      <c r="N362">
        <v>1</v>
      </c>
      <c r="O362">
        <v>35</v>
      </c>
      <c r="P362">
        <v>36</v>
      </c>
      <c r="Q362" t="s">
        <v>65</v>
      </c>
      <c r="R362" t="s">
        <v>120</v>
      </c>
      <c r="S362" t="s">
        <v>28</v>
      </c>
      <c r="T362" t="s">
        <v>30</v>
      </c>
      <c r="U362" t="s">
        <v>126</v>
      </c>
    </row>
    <row r="363" spans="1:21" x14ac:dyDescent="0.3">
      <c r="A363">
        <v>587</v>
      </c>
      <c r="B363" s="1">
        <v>40569</v>
      </c>
      <c r="C363">
        <v>1</v>
      </c>
      <c r="D363">
        <v>0</v>
      </c>
      <c r="E363">
        <v>1</v>
      </c>
      <c r="F363">
        <v>17</v>
      </c>
      <c r="G363" t="b">
        <v>0</v>
      </c>
      <c r="H363">
        <v>3</v>
      </c>
      <c r="I363">
        <v>3</v>
      </c>
      <c r="J363">
        <v>0.2</v>
      </c>
      <c r="K363">
        <v>0.18179999999999999</v>
      </c>
      <c r="L363">
        <v>0.93</v>
      </c>
      <c r="M363">
        <v>0.35820000000000002</v>
      </c>
      <c r="N363">
        <v>0</v>
      </c>
      <c r="O363">
        <v>26</v>
      </c>
      <c r="P363">
        <v>26</v>
      </c>
      <c r="Q363" t="s">
        <v>63</v>
      </c>
      <c r="R363" t="s">
        <v>120</v>
      </c>
      <c r="S363" t="s">
        <v>28</v>
      </c>
      <c r="T363" t="s">
        <v>30</v>
      </c>
      <c r="U363" t="s">
        <v>125</v>
      </c>
    </row>
    <row r="364" spans="1:21" x14ac:dyDescent="0.3">
      <c r="A364">
        <v>712</v>
      </c>
      <c r="B364" s="1">
        <v>40576</v>
      </c>
      <c r="C364">
        <v>1</v>
      </c>
      <c r="D364">
        <v>0</v>
      </c>
      <c r="E364">
        <v>2</v>
      </c>
      <c r="F364">
        <v>0</v>
      </c>
      <c r="G364" t="b">
        <v>0</v>
      </c>
      <c r="H364">
        <v>3</v>
      </c>
      <c r="I364">
        <v>3</v>
      </c>
      <c r="J364">
        <v>0.22</v>
      </c>
      <c r="K364">
        <v>0.2424</v>
      </c>
      <c r="L364">
        <v>0.93</v>
      </c>
      <c r="M364">
        <v>0.1045</v>
      </c>
      <c r="N364">
        <v>0</v>
      </c>
      <c r="O364">
        <v>2</v>
      </c>
      <c r="P364">
        <v>2</v>
      </c>
      <c r="Q364" t="s">
        <v>63</v>
      </c>
      <c r="R364" t="s">
        <v>120</v>
      </c>
      <c r="S364" t="s">
        <v>28</v>
      </c>
      <c r="T364" t="s">
        <v>29</v>
      </c>
      <c r="U364" t="s">
        <v>125</v>
      </c>
    </row>
    <row r="365" spans="1:21" x14ac:dyDescent="0.3">
      <c r="A365">
        <v>713</v>
      </c>
      <c r="B365" s="1">
        <v>40576</v>
      </c>
      <c r="C365">
        <v>1</v>
      </c>
      <c r="D365">
        <v>0</v>
      </c>
      <c r="E365">
        <v>2</v>
      </c>
      <c r="F365">
        <v>1</v>
      </c>
      <c r="G365" t="b">
        <v>0</v>
      </c>
      <c r="H365">
        <v>3</v>
      </c>
      <c r="I365">
        <v>3</v>
      </c>
      <c r="J365">
        <v>0.22</v>
      </c>
      <c r="K365">
        <v>0.2273</v>
      </c>
      <c r="L365">
        <v>0.93</v>
      </c>
      <c r="M365">
        <v>0.19400000000000001</v>
      </c>
      <c r="N365">
        <v>0</v>
      </c>
      <c r="O365">
        <v>3</v>
      </c>
      <c r="P365">
        <v>3</v>
      </c>
      <c r="Q365" t="s">
        <v>63</v>
      </c>
      <c r="R365" t="s">
        <v>120</v>
      </c>
      <c r="S365" t="s">
        <v>28</v>
      </c>
      <c r="T365" t="s">
        <v>29</v>
      </c>
      <c r="U365" t="s">
        <v>125</v>
      </c>
    </row>
    <row r="366" spans="1:21" x14ac:dyDescent="0.3">
      <c r="A366">
        <v>714</v>
      </c>
      <c r="B366" s="1">
        <v>40576</v>
      </c>
      <c r="C366">
        <v>1</v>
      </c>
      <c r="D366">
        <v>0</v>
      </c>
      <c r="E366">
        <v>2</v>
      </c>
      <c r="F366">
        <v>2</v>
      </c>
      <c r="G366" t="b">
        <v>0</v>
      </c>
      <c r="H366">
        <v>3</v>
      </c>
      <c r="I366">
        <v>3</v>
      </c>
      <c r="J366">
        <v>0.22</v>
      </c>
      <c r="K366">
        <v>0.2273</v>
      </c>
      <c r="L366">
        <v>0.93</v>
      </c>
      <c r="M366">
        <v>0.1343</v>
      </c>
      <c r="N366">
        <v>4</v>
      </c>
      <c r="O366">
        <v>0</v>
      </c>
      <c r="P366">
        <v>4</v>
      </c>
      <c r="Q366" t="s">
        <v>63</v>
      </c>
      <c r="R366" t="s">
        <v>120</v>
      </c>
      <c r="S366" t="s">
        <v>28</v>
      </c>
      <c r="T366" t="s">
        <v>29</v>
      </c>
      <c r="U366" t="s">
        <v>125</v>
      </c>
    </row>
    <row r="367" spans="1:21" x14ac:dyDescent="0.3">
      <c r="A367">
        <v>715</v>
      </c>
      <c r="B367" s="1">
        <v>40576</v>
      </c>
      <c r="C367">
        <v>1</v>
      </c>
      <c r="D367">
        <v>0</v>
      </c>
      <c r="E367">
        <v>2</v>
      </c>
      <c r="F367">
        <v>3</v>
      </c>
      <c r="G367" t="b">
        <v>0</v>
      </c>
      <c r="H367">
        <v>3</v>
      </c>
      <c r="I367">
        <v>3</v>
      </c>
      <c r="J367">
        <v>0.22</v>
      </c>
      <c r="K367">
        <v>0.2273</v>
      </c>
      <c r="L367">
        <v>0.93</v>
      </c>
      <c r="M367">
        <v>0.1343</v>
      </c>
      <c r="N367">
        <v>0</v>
      </c>
      <c r="O367">
        <v>1</v>
      </c>
      <c r="P367">
        <v>1</v>
      </c>
      <c r="Q367" t="s">
        <v>63</v>
      </c>
      <c r="R367" t="s">
        <v>120</v>
      </c>
      <c r="S367" t="s">
        <v>28</v>
      </c>
      <c r="T367" t="s">
        <v>29</v>
      </c>
      <c r="U367" t="s">
        <v>125</v>
      </c>
    </row>
    <row r="368" spans="1:21" x14ac:dyDescent="0.3">
      <c r="A368">
        <v>716</v>
      </c>
      <c r="B368" s="1">
        <v>40576</v>
      </c>
      <c r="C368">
        <v>1</v>
      </c>
      <c r="D368">
        <v>0</v>
      </c>
      <c r="E368">
        <v>2</v>
      </c>
      <c r="F368">
        <v>4</v>
      </c>
      <c r="G368" t="b">
        <v>0</v>
      </c>
      <c r="H368">
        <v>3</v>
      </c>
      <c r="I368">
        <v>3</v>
      </c>
      <c r="J368">
        <v>0.22</v>
      </c>
      <c r="K368">
        <v>0.21210000000000001</v>
      </c>
      <c r="L368">
        <v>0.93</v>
      </c>
      <c r="M368">
        <v>0.28360000000000002</v>
      </c>
      <c r="N368">
        <v>0</v>
      </c>
      <c r="O368">
        <v>1</v>
      </c>
      <c r="P368">
        <v>1</v>
      </c>
      <c r="Q368" t="s">
        <v>63</v>
      </c>
      <c r="R368" t="s">
        <v>120</v>
      </c>
      <c r="S368" t="s">
        <v>28</v>
      </c>
      <c r="T368" t="s">
        <v>29</v>
      </c>
      <c r="U368" t="s">
        <v>125</v>
      </c>
    </row>
    <row r="369" spans="1:21" x14ac:dyDescent="0.3">
      <c r="A369">
        <v>717</v>
      </c>
      <c r="B369" s="1">
        <v>40576</v>
      </c>
      <c r="C369">
        <v>1</v>
      </c>
      <c r="D369">
        <v>0</v>
      </c>
      <c r="E369">
        <v>2</v>
      </c>
      <c r="F369">
        <v>5</v>
      </c>
      <c r="G369" t="b">
        <v>0</v>
      </c>
      <c r="H369">
        <v>3</v>
      </c>
      <c r="I369">
        <v>3</v>
      </c>
      <c r="J369">
        <v>0.22</v>
      </c>
      <c r="K369">
        <v>0.2424</v>
      </c>
      <c r="L369">
        <v>0.93</v>
      </c>
      <c r="M369">
        <v>0.1045</v>
      </c>
      <c r="N369">
        <v>0</v>
      </c>
      <c r="O369">
        <v>3</v>
      </c>
      <c r="P369">
        <v>3</v>
      </c>
      <c r="Q369" t="s">
        <v>63</v>
      </c>
      <c r="R369" t="s">
        <v>120</v>
      </c>
      <c r="S369" t="s">
        <v>28</v>
      </c>
      <c r="T369" t="s">
        <v>29</v>
      </c>
      <c r="U369" t="s">
        <v>125</v>
      </c>
    </row>
    <row r="370" spans="1:21" x14ac:dyDescent="0.3">
      <c r="A370">
        <v>718</v>
      </c>
      <c r="B370" s="1">
        <v>40576</v>
      </c>
      <c r="C370">
        <v>1</v>
      </c>
      <c r="D370">
        <v>0</v>
      </c>
      <c r="E370">
        <v>2</v>
      </c>
      <c r="F370">
        <v>6</v>
      </c>
      <c r="G370" t="b">
        <v>0</v>
      </c>
      <c r="H370">
        <v>3</v>
      </c>
      <c r="I370">
        <v>3</v>
      </c>
      <c r="J370">
        <v>0.22</v>
      </c>
      <c r="K370">
        <v>0.2424</v>
      </c>
      <c r="L370">
        <v>0.93</v>
      </c>
      <c r="M370">
        <v>0.1045</v>
      </c>
      <c r="N370">
        <v>1</v>
      </c>
      <c r="O370">
        <v>17</v>
      </c>
      <c r="P370">
        <v>18</v>
      </c>
      <c r="Q370" t="s">
        <v>63</v>
      </c>
      <c r="R370" t="s">
        <v>120</v>
      </c>
      <c r="S370" t="s">
        <v>28</v>
      </c>
      <c r="T370" t="s">
        <v>29</v>
      </c>
      <c r="U370" t="s">
        <v>125</v>
      </c>
    </row>
    <row r="371" spans="1:21" x14ac:dyDescent="0.3">
      <c r="A371">
        <v>719</v>
      </c>
      <c r="B371" s="1">
        <v>40576</v>
      </c>
      <c r="C371">
        <v>1</v>
      </c>
      <c r="D371">
        <v>0</v>
      </c>
      <c r="E371">
        <v>2</v>
      </c>
      <c r="F371">
        <v>7</v>
      </c>
      <c r="G371" t="b">
        <v>0</v>
      </c>
      <c r="H371">
        <v>3</v>
      </c>
      <c r="I371">
        <v>3</v>
      </c>
      <c r="J371">
        <v>0.22</v>
      </c>
      <c r="K371">
        <v>0.21210000000000001</v>
      </c>
      <c r="L371">
        <v>0.93</v>
      </c>
      <c r="M371">
        <v>0.22389999999999999</v>
      </c>
      <c r="N371">
        <v>1</v>
      </c>
      <c r="O371">
        <v>48</v>
      </c>
      <c r="P371">
        <v>49</v>
      </c>
      <c r="Q371" t="s">
        <v>63</v>
      </c>
      <c r="R371" t="s">
        <v>120</v>
      </c>
      <c r="S371" t="s">
        <v>28</v>
      </c>
      <c r="T371" t="s">
        <v>29</v>
      </c>
      <c r="U371" t="s">
        <v>125</v>
      </c>
    </row>
    <row r="372" spans="1:21" x14ac:dyDescent="0.3">
      <c r="A372">
        <v>720</v>
      </c>
      <c r="B372" s="1">
        <v>40576</v>
      </c>
      <c r="C372">
        <v>1</v>
      </c>
      <c r="D372">
        <v>0</v>
      </c>
      <c r="E372">
        <v>2</v>
      </c>
      <c r="F372">
        <v>8</v>
      </c>
      <c r="G372" t="b">
        <v>0</v>
      </c>
      <c r="H372">
        <v>3</v>
      </c>
      <c r="I372">
        <v>3</v>
      </c>
      <c r="J372">
        <v>0.22</v>
      </c>
      <c r="K372">
        <v>0.21210000000000001</v>
      </c>
      <c r="L372">
        <v>0.93</v>
      </c>
      <c r="M372">
        <v>0.22389999999999999</v>
      </c>
      <c r="N372">
        <v>1</v>
      </c>
      <c r="O372">
        <v>154</v>
      </c>
      <c r="P372">
        <v>155</v>
      </c>
      <c r="Q372" t="s">
        <v>63</v>
      </c>
      <c r="R372" t="s">
        <v>120</v>
      </c>
      <c r="S372" t="s">
        <v>28</v>
      </c>
      <c r="T372" t="s">
        <v>29</v>
      </c>
      <c r="U372" t="s">
        <v>125</v>
      </c>
    </row>
    <row r="373" spans="1:21" x14ac:dyDescent="0.3">
      <c r="A373">
        <v>721</v>
      </c>
      <c r="B373" s="1">
        <v>40576</v>
      </c>
      <c r="C373">
        <v>1</v>
      </c>
      <c r="D373">
        <v>0</v>
      </c>
      <c r="E373">
        <v>2</v>
      </c>
      <c r="F373">
        <v>9</v>
      </c>
      <c r="G373" t="b">
        <v>0</v>
      </c>
      <c r="H373">
        <v>3</v>
      </c>
      <c r="I373">
        <v>2</v>
      </c>
      <c r="J373">
        <v>0.24</v>
      </c>
      <c r="K373">
        <v>0.2576</v>
      </c>
      <c r="L373">
        <v>0.93</v>
      </c>
      <c r="M373">
        <v>8.9599999999999999E-2</v>
      </c>
      <c r="N373">
        <v>4</v>
      </c>
      <c r="O373">
        <v>119</v>
      </c>
      <c r="P373">
        <v>123</v>
      </c>
      <c r="Q373" t="s">
        <v>64</v>
      </c>
      <c r="R373" t="s">
        <v>120</v>
      </c>
      <c r="S373" t="s">
        <v>28</v>
      </c>
      <c r="T373" t="s">
        <v>29</v>
      </c>
      <c r="U373" t="s">
        <v>124</v>
      </c>
    </row>
    <row r="374" spans="1:21" x14ac:dyDescent="0.3">
      <c r="A374">
        <v>722</v>
      </c>
      <c r="B374" s="1">
        <v>40576</v>
      </c>
      <c r="C374">
        <v>1</v>
      </c>
      <c r="D374">
        <v>0</v>
      </c>
      <c r="E374">
        <v>2</v>
      </c>
      <c r="F374">
        <v>10</v>
      </c>
      <c r="G374" t="b">
        <v>0</v>
      </c>
      <c r="H374">
        <v>3</v>
      </c>
      <c r="I374">
        <v>2</v>
      </c>
      <c r="J374">
        <v>0.22</v>
      </c>
      <c r="K374">
        <v>0.2727</v>
      </c>
      <c r="L374">
        <v>1</v>
      </c>
      <c r="M374">
        <v>0</v>
      </c>
      <c r="N374">
        <v>2</v>
      </c>
      <c r="O374">
        <v>59</v>
      </c>
      <c r="P374">
        <v>61</v>
      </c>
      <c r="Q374" t="s">
        <v>64</v>
      </c>
      <c r="R374" t="s">
        <v>120</v>
      </c>
      <c r="S374" t="s">
        <v>28</v>
      </c>
      <c r="T374" t="s">
        <v>29</v>
      </c>
      <c r="U374" t="s">
        <v>124</v>
      </c>
    </row>
    <row r="375" spans="1:21" x14ac:dyDescent="0.3">
      <c r="A375">
        <v>723</v>
      </c>
      <c r="B375" s="1">
        <v>40576</v>
      </c>
      <c r="C375">
        <v>1</v>
      </c>
      <c r="D375">
        <v>0</v>
      </c>
      <c r="E375">
        <v>2</v>
      </c>
      <c r="F375">
        <v>11</v>
      </c>
      <c r="G375" t="b">
        <v>0</v>
      </c>
      <c r="H375">
        <v>3</v>
      </c>
      <c r="I375">
        <v>2</v>
      </c>
      <c r="J375">
        <v>0.24</v>
      </c>
      <c r="K375">
        <v>0.2273</v>
      </c>
      <c r="L375">
        <v>0.93</v>
      </c>
      <c r="M375">
        <v>0.19400000000000001</v>
      </c>
      <c r="N375">
        <v>5</v>
      </c>
      <c r="O375">
        <v>47</v>
      </c>
      <c r="P375">
        <v>52</v>
      </c>
      <c r="Q375" t="s">
        <v>64</v>
      </c>
      <c r="R375" t="s">
        <v>120</v>
      </c>
      <c r="S375" t="s">
        <v>28</v>
      </c>
      <c r="T375" t="s">
        <v>29</v>
      </c>
      <c r="U375" t="s">
        <v>124</v>
      </c>
    </row>
    <row r="376" spans="1:21" x14ac:dyDescent="0.3">
      <c r="A376">
        <v>724</v>
      </c>
      <c r="B376" s="1">
        <v>40576</v>
      </c>
      <c r="C376">
        <v>1</v>
      </c>
      <c r="D376">
        <v>0</v>
      </c>
      <c r="E376">
        <v>2</v>
      </c>
      <c r="F376">
        <v>12</v>
      </c>
      <c r="G376" t="b">
        <v>0</v>
      </c>
      <c r="H376">
        <v>3</v>
      </c>
      <c r="I376">
        <v>2</v>
      </c>
      <c r="J376">
        <v>0.24</v>
      </c>
      <c r="K376">
        <v>0.2273</v>
      </c>
      <c r="L376">
        <v>0.93</v>
      </c>
      <c r="M376">
        <v>0.22389999999999999</v>
      </c>
      <c r="N376">
        <v>3</v>
      </c>
      <c r="O376">
        <v>61</v>
      </c>
      <c r="P376">
        <v>64</v>
      </c>
      <c r="Q376" t="s">
        <v>64</v>
      </c>
      <c r="R376" t="s">
        <v>120</v>
      </c>
      <c r="S376" t="s">
        <v>28</v>
      </c>
      <c r="T376" t="s">
        <v>29</v>
      </c>
      <c r="U376" t="s">
        <v>124</v>
      </c>
    </row>
    <row r="377" spans="1:21" x14ac:dyDescent="0.3">
      <c r="A377">
        <v>725</v>
      </c>
      <c r="B377" s="1">
        <v>40576</v>
      </c>
      <c r="C377">
        <v>1</v>
      </c>
      <c r="D377">
        <v>0</v>
      </c>
      <c r="E377">
        <v>2</v>
      </c>
      <c r="F377">
        <v>13</v>
      </c>
      <c r="G377" t="b">
        <v>0</v>
      </c>
      <c r="H377">
        <v>3</v>
      </c>
      <c r="I377">
        <v>1</v>
      </c>
      <c r="J377">
        <v>0.34</v>
      </c>
      <c r="K377">
        <v>0.33329999999999999</v>
      </c>
      <c r="L377">
        <v>0.93</v>
      </c>
      <c r="M377">
        <v>0.16420000000000001</v>
      </c>
      <c r="N377">
        <v>1</v>
      </c>
      <c r="O377">
        <v>74</v>
      </c>
      <c r="P377">
        <v>75</v>
      </c>
      <c r="Q377" t="s">
        <v>62</v>
      </c>
      <c r="R377" t="s">
        <v>120</v>
      </c>
      <c r="S377" t="s">
        <v>28</v>
      </c>
      <c r="T377" t="s">
        <v>29</v>
      </c>
      <c r="U377" t="s">
        <v>123</v>
      </c>
    </row>
    <row r="378" spans="1:21" x14ac:dyDescent="0.3">
      <c r="A378">
        <v>726</v>
      </c>
      <c r="B378" s="1">
        <v>40576</v>
      </c>
      <c r="C378">
        <v>1</v>
      </c>
      <c r="D378">
        <v>0</v>
      </c>
      <c r="E378">
        <v>2</v>
      </c>
      <c r="F378">
        <v>14</v>
      </c>
      <c r="G378" t="b">
        <v>0</v>
      </c>
      <c r="H378">
        <v>3</v>
      </c>
      <c r="I378">
        <v>1</v>
      </c>
      <c r="J378">
        <v>0.38</v>
      </c>
      <c r="K378">
        <v>0.39389999999999997</v>
      </c>
      <c r="L378">
        <v>0.82</v>
      </c>
      <c r="M378">
        <v>0.3881</v>
      </c>
      <c r="N378">
        <v>2</v>
      </c>
      <c r="O378">
        <v>61</v>
      </c>
      <c r="P378">
        <v>63</v>
      </c>
      <c r="Q378" t="s">
        <v>62</v>
      </c>
      <c r="R378" t="s">
        <v>120</v>
      </c>
      <c r="S378" t="s">
        <v>28</v>
      </c>
      <c r="T378" t="s">
        <v>29</v>
      </c>
      <c r="U378" t="s">
        <v>123</v>
      </c>
    </row>
    <row r="379" spans="1:21" x14ac:dyDescent="0.3">
      <c r="A379">
        <v>727</v>
      </c>
      <c r="B379" s="1">
        <v>40576</v>
      </c>
      <c r="C379">
        <v>1</v>
      </c>
      <c r="D379">
        <v>0</v>
      </c>
      <c r="E379">
        <v>2</v>
      </c>
      <c r="F379">
        <v>15</v>
      </c>
      <c r="G379" t="b">
        <v>0</v>
      </c>
      <c r="H379">
        <v>3</v>
      </c>
      <c r="I379">
        <v>1</v>
      </c>
      <c r="J379">
        <v>0.38</v>
      </c>
      <c r="K379">
        <v>0.39389999999999997</v>
      </c>
      <c r="L379">
        <v>0.76</v>
      </c>
      <c r="M379">
        <v>0.32840000000000003</v>
      </c>
      <c r="N379">
        <v>10</v>
      </c>
      <c r="O379">
        <v>66</v>
      </c>
      <c r="P379">
        <v>76</v>
      </c>
      <c r="Q379" t="s">
        <v>62</v>
      </c>
      <c r="R379" t="s">
        <v>120</v>
      </c>
      <c r="S379" t="s">
        <v>28</v>
      </c>
      <c r="T379" t="s">
        <v>29</v>
      </c>
      <c r="U379" t="s">
        <v>123</v>
      </c>
    </row>
    <row r="380" spans="1:21" x14ac:dyDescent="0.3">
      <c r="A380">
        <v>728</v>
      </c>
      <c r="B380" s="1">
        <v>40576</v>
      </c>
      <c r="C380">
        <v>1</v>
      </c>
      <c r="D380">
        <v>0</v>
      </c>
      <c r="E380">
        <v>2</v>
      </c>
      <c r="F380">
        <v>16</v>
      </c>
      <c r="G380" t="b">
        <v>0</v>
      </c>
      <c r="H380">
        <v>3</v>
      </c>
      <c r="I380">
        <v>1</v>
      </c>
      <c r="J380">
        <v>0.36</v>
      </c>
      <c r="K380">
        <v>0.33329999999999999</v>
      </c>
      <c r="L380">
        <v>0.71</v>
      </c>
      <c r="M380">
        <v>0.29849999999999999</v>
      </c>
      <c r="N380">
        <v>8</v>
      </c>
      <c r="O380">
        <v>95</v>
      </c>
      <c r="P380">
        <v>103</v>
      </c>
      <c r="Q380" t="s">
        <v>62</v>
      </c>
      <c r="R380" t="s">
        <v>120</v>
      </c>
      <c r="S380" t="s">
        <v>28</v>
      </c>
      <c r="T380" t="s">
        <v>29</v>
      </c>
      <c r="U380" t="s">
        <v>123</v>
      </c>
    </row>
    <row r="381" spans="1:21" x14ac:dyDescent="0.3">
      <c r="A381">
        <v>729</v>
      </c>
      <c r="B381" s="1">
        <v>40576</v>
      </c>
      <c r="C381">
        <v>1</v>
      </c>
      <c r="D381">
        <v>0</v>
      </c>
      <c r="E381">
        <v>2</v>
      </c>
      <c r="F381">
        <v>17</v>
      </c>
      <c r="G381" t="b">
        <v>0</v>
      </c>
      <c r="H381">
        <v>3</v>
      </c>
      <c r="I381">
        <v>1</v>
      </c>
      <c r="J381">
        <v>0.36</v>
      </c>
      <c r="K381">
        <v>0.31819999999999998</v>
      </c>
      <c r="L381">
        <v>0.53</v>
      </c>
      <c r="M381">
        <v>0.52239999999999998</v>
      </c>
      <c r="N381">
        <v>7</v>
      </c>
      <c r="O381">
        <v>183</v>
      </c>
      <c r="P381">
        <v>190</v>
      </c>
      <c r="Q381" t="s">
        <v>62</v>
      </c>
      <c r="R381" t="s">
        <v>120</v>
      </c>
      <c r="S381" t="s">
        <v>28</v>
      </c>
      <c r="T381" t="s">
        <v>29</v>
      </c>
      <c r="U381" t="s">
        <v>123</v>
      </c>
    </row>
    <row r="382" spans="1:21" x14ac:dyDescent="0.3">
      <c r="A382">
        <v>730</v>
      </c>
      <c r="B382" s="1">
        <v>40576</v>
      </c>
      <c r="C382">
        <v>1</v>
      </c>
      <c r="D382">
        <v>0</v>
      </c>
      <c r="E382">
        <v>2</v>
      </c>
      <c r="F382">
        <v>18</v>
      </c>
      <c r="G382" t="b">
        <v>0</v>
      </c>
      <c r="H382">
        <v>3</v>
      </c>
      <c r="I382">
        <v>1</v>
      </c>
      <c r="J382">
        <v>0.34</v>
      </c>
      <c r="K382">
        <v>0.28789999999999999</v>
      </c>
      <c r="L382">
        <v>0.42</v>
      </c>
      <c r="M382">
        <v>0.55220000000000002</v>
      </c>
      <c r="N382">
        <v>7</v>
      </c>
      <c r="O382">
        <v>175</v>
      </c>
      <c r="P382">
        <v>182</v>
      </c>
      <c r="Q382" t="s">
        <v>62</v>
      </c>
      <c r="R382" t="s">
        <v>120</v>
      </c>
      <c r="S382" t="s">
        <v>28</v>
      </c>
      <c r="T382" t="s">
        <v>29</v>
      </c>
      <c r="U382" t="s">
        <v>123</v>
      </c>
    </row>
    <row r="383" spans="1:21" x14ac:dyDescent="0.3">
      <c r="A383">
        <v>731</v>
      </c>
      <c r="B383" s="1">
        <v>40576</v>
      </c>
      <c r="C383">
        <v>1</v>
      </c>
      <c r="D383">
        <v>0</v>
      </c>
      <c r="E383">
        <v>2</v>
      </c>
      <c r="F383">
        <v>19</v>
      </c>
      <c r="G383" t="b">
        <v>0</v>
      </c>
      <c r="H383">
        <v>3</v>
      </c>
      <c r="I383">
        <v>1</v>
      </c>
      <c r="J383">
        <v>0.28000000000000003</v>
      </c>
      <c r="K383">
        <v>0.2424</v>
      </c>
      <c r="L383">
        <v>0.45</v>
      </c>
      <c r="M383">
        <v>0.49249999999999999</v>
      </c>
      <c r="N383">
        <v>3</v>
      </c>
      <c r="O383">
        <v>88</v>
      </c>
      <c r="P383">
        <v>91</v>
      </c>
      <c r="Q383" t="s">
        <v>62</v>
      </c>
      <c r="R383" t="s">
        <v>120</v>
      </c>
      <c r="S383" t="s">
        <v>28</v>
      </c>
      <c r="T383" t="s">
        <v>29</v>
      </c>
      <c r="U383" t="s">
        <v>123</v>
      </c>
    </row>
    <row r="384" spans="1:21" x14ac:dyDescent="0.3">
      <c r="A384">
        <v>732</v>
      </c>
      <c r="B384" s="1">
        <v>40576</v>
      </c>
      <c r="C384">
        <v>1</v>
      </c>
      <c r="D384">
        <v>0</v>
      </c>
      <c r="E384">
        <v>2</v>
      </c>
      <c r="F384">
        <v>20</v>
      </c>
      <c r="G384" t="b">
        <v>0</v>
      </c>
      <c r="H384">
        <v>3</v>
      </c>
      <c r="I384">
        <v>1</v>
      </c>
      <c r="J384">
        <v>0.24</v>
      </c>
      <c r="K384">
        <v>0.19700000000000001</v>
      </c>
      <c r="L384">
        <v>0.48</v>
      </c>
      <c r="M384">
        <v>0.55220000000000002</v>
      </c>
      <c r="N384">
        <v>4</v>
      </c>
      <c r="O384">
        <v>71</v>
      </c>
      <c r="P384">
        <v>75</v>
      </c>
      <c r="Q384" t="s">
        <v>62</v>
      </c>
      <c r="R384" t="s">
        <v>120</v>
      </c>
      <c r="S384" t="s">
        <v>28</v>
      </c>
      <c r="T384" t="s">
        <v>29</v>
      </c>
      <c r="U384" t="s">
        <v>123</v>
      </c>
    </row>
    <row r="385" spans="1:21" x14ac:dyDescent="0.3">
      <c r="A385">
        <v>733</v>
      </c>
      <c r="B385" s="1">
        <v>40576</v>
      </c>
      <c r="C385">
        <v>1</v>
      </c>
      <c r="D385">
        <v>0</v>
      </c>
      <c r="E385">
        <v>2</v>
      </c>
      <c r="F385">
        <v>21</v>
      </c>
      <c r="G385" t="b">
        <v>0</v>
      </c>
      <c r="H385">
        <v>3</v>
      </c>
      <c r="I385">
        <v>1</v>
      </c>
      <c r="J385">
        <v>0.22</v>
      </c>
      <c r="K385">
        <v>0.19700000000000001</v>
      </c>
      <c r="L385">
        <v>0.47</v>
      </c>
      <c r="M385">
        <v>0.32840000000000003</v>
      </c>
      <c r="N385">
        <v>1</v>
      </c>
      <c r="O385">
        <v>62</v>
      </c>
      <c r="P385">
        <v>63</v>
      </c>
      <c r="Q385" t="s">
        <v>62</v>
      </c>
      <c r="R385" t="s">
        <v>120</v>
      </c>
      <c r="S385" t="s">
        <v>28</v>
      </c>
      <c r="T385" t="s">
        <v>29</v>
      </c>
      <c r="U385" t="s">
        <v>123</v>
      </c>
    </row>
    <row r="386" spans="1:21" x14ac:dyDescent="0.3">
      <c r="A386">
        <v>734</v>
      </c>
      <c r="B386" s="1">
        <v>40576</v>
      </c>
      <c r="C386">
        <v>1</v>
      </c>
      <c r="D386">
        <v>0</v>
      </c>
      <c r="E386">
        <v>2</v>
      </c>
      <c r="F386">
        <v>22</v>
      </c>
      <c r="G386" t="b">
        <v>0</v>
      </c>
      <c r="H386">
        <v>3</v>
      </c>
      <c r="I386">
        <v>1</v>
      </c>
      <c r="J386">
        <v>0.22</v>
      </c>
      <c r="K386">
        <v>0.21210000000000001</v>
      </c>
      <c r="L386">
        <v>0.44</v>
      </c>
      <c r="M386">
        <v>0.25369999999999998</v>
      </c>
      <c r="N386">
        <v>5</v>
      </c>
      <c r="O386">
        <v>35</v>
      </c>
      <c r="P386">
        <v>40</v>
      </c>
      <c r="Q386" t="s">
        <v>62</v>
      </c>
      <c r="R386" t="s">
        <v>120</v>
      </c>
      <c r="S386" t="s">
        <v>28</v>
      </c>
      <c r="T386" t="s">
        <v>29</v>
      </c>
      <c r="U386" t="s">
        <v>123</v>
      </c>
    </row>
    <row r="387" spans="1:21" x14ac:dyDescent="0.3">
      <c r="A387">
        <v>735</v>
      </c>
      <c r="B387" s="1">
        <v>40576</v>
      </c>
      <c r="C387">
        <v>1</v>
      </c>
      <c r="D387">
        <v>0</v>
      </c>
      <c r="E387">
        <v>2</v>
      </c>
      <c r="F387">
        <v>23</v>
      </c>
      <c r="G387" t="b">
        <v>0</v>
      </c>
      <c r="H387">
        <v>3</v>
      </c>
      <c r="I387">
        <v>1</v>
      </c>
      <c r="J387">
        <v>0.2</v>
      </c>
      <c r="K387">
        <v>0.16669999999999999</v>
      </c>
      <c r="L387">
        <v>0.44</v>
      </c>
      <c r="M387">
        <v>0.44779999999999998</v>
      </c>
      <c r="N387">
        <v>3</v>
      </c>
      <c r="O387">
        <v>29</v>
      </c>
      <c r="P387">
        <v>32</v>
      </c>
      <c r="Q387" t="s">
        <v>62</v>
      </c>
      <c r="R387" t="s">
        <v>120</v>
      </c>
      <c r="S387" t="s">
        <v>28</v>
      </c>
      <c r="T387" t="s">
        <v>29</v>
      </c>
      <c r="U387" t="s">
        <v>123</v>
      </c>
    </row>
    <row r="388" spans="1:21" x14ac:dyDescent="0.3">
      <c r="A388">
        <v>878</v>
      </c>
      <c r="B388" s="1">
        <v>40583</v>
      </c>
      <c r="C388">
        <v>1</v>
      </c>
      <c r="D388">
        <v>0</v>
      </c>
      <c r="E388">
        <v>2</v>
      </c>
      <c r="F388">
        <v>0</v>
      </c>
      <c r="G388" t="b">
        <v>0</v>
      </c>
      <c r="H388">
        <v>3</v>
      </c>
      <c r="I388">
        <v>1</v>
      </c>
      <c r="J388">
        <v>0.1</v>
      </c>
      <c r="K388">
        <v>7.5800000000000006E-2</v>
      </c>
      <c r="L388">
        <v>0.36</v>
      </c>
      <c r="M388">
        <v>0.35820000000000002</v>
      </c>
      <c r="N388">
        <v>0</v>
      </c>
      <c r="O388">
        <v>17</v>
      </c>
      <c r="P388">
        <v>17</v>
      </c>
      <c r="Q388" t="s">
        <v>62</v>
      </c>
      <c r="R388" t="s">
        <v>120</v>
      </c>
      <c r="S388" t="s">
        <v>28</v>
      </c>
      <c r="T388" t="s">
        <v>29</v>
      </c>
      <c r="U388" t="s">
        <v>123</v>
      </c>
    </row>
    <row r="389" spans="1:21" x14ac:dyDescent="0.3">
      <c r="A389">
        <v>879</v>
      </c>
      <c r="B389" s="1">
        <v>40583</v>
      </c>
      <c r="C389">
        <v>1</v>
      </c>
      <c r="D389">
        <v>0</v>
      </c>
      <c r="E389">
        <v>2</v>
      </c>
      <c r="F389">
        <v>1</v>
      </c>
      <c r="G389" t="b">
        <v>0</v>
      </c>
      <c r="H389">
        <v>3</v>
      </c>
      <c r="I389">
        <v>1</v>
      </c>
      <c r="J389">
        <v>0.1</v>
      </c>
      <c r="K389">
        <v>0.1061</v>
      </c>
      <c r="L389">
        <v>0.36</v>
      </c>
      <c r="M389">
        <v>0.22389999999999999</v>
      </c>
      <c r="N389">
        <v>0</v>
      </c>
      <c r="O389">
        <v>7</v>
      </c>
      <c r="P389">
        <v>7</v>
      </c>
      <c r="Q389" t="s">
        <v>62</v>
      </c>
      <c r="R389" t="s">
        <v>120</v>
      </c>
      <c r="S389" t="s">
        <v>28</v>
      </c>
      <c r="T389" t="s">
        <v>29</v>
      </c>
      <c r="U389" t="s">
        <v>123</v>
      </c>
    </row>
    <row r="390" spans="1:21" x14ac:dyDescent="0.3">
      <c r="A390">
        <v>880</v>
      </c>
      <c r="B390" s="1">
        <v>40583</v>
      </c>
      <c r="C390">
        <v>1</v>
      </c>
      <c r="D390">
        <v>0</v>
      </c>
      <c r="E390">
        <v>2</v>
      </c>
      <c r="F390">
        <v>2</v>
      </c>
      <c r="G390" t="b">
        <v>0</v>
      </c>
      <c r="H390">
        <v>3</v>
      </c>
      <c r="I390">
        <v>1</v>
      </c>
      <c r="J390">
        <v>0.08</v>
      </c>
      <c r="K390">
        <v>7.5800000000000006E-2</v>
      </c>
      <c r="L390">
        <v>0.38</v>
      </c>
      <c r="M390">
        <v>0.28360000000000002</v>
      </c>
      <c r="N390">
        <v>1</v>
      </c>
      <c r="O390">
        <v>2</v>
      </c>
      <c r="P390">
        <v>3</v>
      </c>
      <c r="Q390" t="s">
        <v>62</v>
      </c>
      <c r="R390" t="s">
        <v>120</v>
      </c>
      <c r="S390" t="s">
        <v>28</v>
      </c>
      <c r="T390" t="s">
        <v>29</v>
      </c>
      <c r="U390" t="s">
        <v>123</v>
      </c>
    </row>
    <row r="391" spans="1:21" x14ac:dyDescent="0.3">
      <c r="A391">
        <v>881</v>
      </c>
      <c r="B391" s="1">
        <v>40583</v>
      </c>
      <c r="C391">
        <v>1</v>
      </c>
      <c r="D391">
        <v>0</v>
      </c>
      <c r="E391">
        <v>2</v>
      </c>
      <c r="F391">
        <v>3</v>
      </c>
      <c r="G391" t="b">
        <v>0</v>
      </c>
      <c r="H391">
        <v>3</v>
      </c>
      <c r="I391">
        <v>1</v>
      </c>
      <c r="J391">
        <v>0.06</v>
      </c>
      <c r="K391">
        <v>7.5800000000000006E-2</v>
      </c>
      <c r="L391">
        <v>0.45</v>
      </c>
      <c r="M391">
        <v>0.1343</v>
      </c>
      <c r="N391">
        <v>0</v>
      </c>
      <c r="O391">
        <v>2</v>
      </c>
      <c r="P391">
        <v>2</v>
      </c>
      <c r="Q391" t="s">
        <v>62</v>
      </c>
      <c r="R391" t="s">
        <v>120</v>
      </c>
      <c r="S391" t="s">
        <v>28</v>
      </c>
      <c r="T391" t="s">
        <v>29</v>
      </c>
      <c r="U391" t="s">
        <v>123</v>
      </c>
    </row>
    <row r="392" spans="1:21" x14ac:dyDescent="0.3">
      <c r="A392">
        <v>882</v>
      </c>
      <c r="B392" s="1">
        <v>40583</v>
      </c>
      <c r="C392">
        <v>1</v>
      </c>
      <c r="D392">
        <v>0</v>
      </c>
      <c r="E392">
        <v>2</v>
      </c>
      <c r="F392">
        <v>5</v>
      </c>
      <c r="G392" t="b">
        <v>0</v>
      </c>
      <c r="H392">
        <v>3</v>
      </c>
      <c r="I392">
        <v>1</v>
      </c>
      <c r="J392">
        <v>0.06</v>
      </c>
      <c r="K392">
        <v>0.1061</v>
      </c>
      <c r="L392">
        <v>0.45</v>
      </c>
      <c r="M392">
        <v>0.1045</v>
      </c>
      <c r="N392">
        <v>0</v>
      </c>
      <c r="O392">
        <v>7</v>
      </c>
      <c r="P392">
        <v>7</v>
      </c>
      <c r="Q392" t="s">
        <v>62</v>
      </c>
      <c r="R392" t="s">
        <v>120</v>
      </c>
      <c r="S392" t="s">
        <v>28</v>
      </c>
      <c r="T392" t="s">
        <v>29</v>
      </c>
      <c r="U392" t="s">
        <v>123</v>
      </c>
    </row>
    <row r="393" spans="1:21" x14ac:dyDescent="0.3">
      <c r="A393">
        <v>883</v>
      </c>
      <c r="B393" s="1">
        <v>40583</v>
      </c>
      <c r="C393">
        <v>1</v>
      </c>
      <c r="D393">
        <v>0</v>
      </c>
      <c r="E393">
        <v>2</v>
      </c>
      <c r="F393">
        <v>6</v>
      </c>
      <c r="G393" t="b">
        <v>0</v>
      </c>
      <c r="H393">
        <v>3</v>
      </c>
      <c r="I393">
        <v>1</v>
      </c>
      <c r="J393">
        <v>0.06</v>
      </c>
      <c r="K393">
        <v>0.1515</v>
      </c>
      <c r="L393">
        <v>0.45</v>
      </c>
      <c r="M393">
        <v>0</v>
      </c>
      <c r="N393">
        <v>0</v>
      </c>
      <c r="O393">
        <v>43</v>
      </c>
      <c r="P393">
        <v>43</v>
      </c>
      <c r="Q393" t="s">
        <v>62</v>
      </c>
      <c r="R393" t="s">
        <v>120</v>
      </c>
      <c r="S393" t="s">
        <v>28</v>
      </c>
      <c r="T393" t="s">
        <v>29</v>
      </c>
      <c r="U393" t="s">
        <v>123</v>
      </c>
    </row>
    <row r="394" spans="1:21" x14ac:dyDescent="0.3">
      <c r="A394">
        <v>884</v>
      </c>
      <c r="B394" s="1">
        <v>40583</v>
      </c>
      <c r="C394">
        <v>1</v>
      </c>
      <c r="D394">
        <v>0</v>
      </c>
      <c r="E394">
        <v>2</v>
      </c>
      <c r="F394">
        <v>7</v>
      </c>
      <c r="G394" t="b">
        <v>0</v>
      </c>
      <c r="H394">
        <v>3</v>
      </c>
      <c r="I394">
        <v>1</v>
      </c>
      <c r="J394">
        <v>0.06</v>
      </c>
      <c r="K394">
        <v>0.1061</v>
      </c>
      <c r="L394">
        <v>0.49</v>
      </c>
      <c r="M394">
        <v>0.1045</v>
      </c>
      <c r="N394">
        <v>4</v>
      </c>
      <c r="O394">
        <v>95</v>
      </c>
      <c r="P394">
        <v>99</v>
      </c>
      <c r="Q394" t="s">
        <v>62</v>
      </c>
      <c r="R394" t="s">
        <v>120</v>
      </c>
      <c r="S394" t="s">
        <v>28</v>
      </c>
      <c r="T394" t="s">
        <v>29</v>
      </c>
      <c r="U394" t="s">
        <v>123</v>
      </c>
    </row>
    <row r="395" spans="1:21" x14ac:dyDescent="0.3">
      <c r="A395">
        <v>885</v>
      </c>
      <c r="B395" s="1">
        <v>40583</v>
      </c>
      <c r="C395">
        <v>1</v>
      </c>
      <c r="D395">
        <v>0</v>
      </c>
      <c r="E395">
        <v>2</v>
      </c>
      <c r="F395">
        <v>8</v>
      </c>
      <c r="G395" t="b">
        <v>0</v>
      </c>
      <c r="H395">
        <v>3</v>
      </c>
      <c r="I395">
        <v>1</v>
      </c>
      <c r="J395">
        <v>0.1</v>
      </c>
      <c r="K395">
        <v>0.13639999999999999</v>
      </c>
      <c r="L395">
        <v>0.42</v>
      </c>
      <c r="M395">
        <v>0</v>
      </c>
      <c r="N395">
        <v>1</v>
      </c>
      <c r="O395">
        <v>198</v>
      </c>
      <c r="P395">
        <v>199</v>
      </c>
      <c r="Q395" t="s">
        <v>62</v>
      </c>
      <c r="R395" t="s">
        <v>120</v>
      </c>
      <c r="S395" t="s">
        <v>28</v>
      </c>
      <c r="T395" t="s">
        <v>29</v>
      </c>
      <c r="U395" t="s">
        <v>123</v>
      </c>
    </row>
    <row r="396" spans="1:21" x14ac:dyDescent="0.3">
      <c r="A396">
        <v>886</v>
      </c>
      <c r="B396" s="1">
        <v>40583</v>
      </c>
      <c r="C396">
        <v>1</v>
      </c>
      <c r="D396">
        <v>0</v>
      </c>
      <c r="E396">
        <v>2</v>
      </c>
      <c r="F396">
        <v>9</v>
      </c>
      <c r="G396" t="b">
        <v>0</v>
      </c>
      <c r="H396">
        <v>3</v>
      </c>
      <c r="I396">
        <v>1</v>
      </c>
      <c r="J396">
        <v>0.12</v>
      </c>
      <c r="K396">
        <v>0.13639999999999999</v>
      </c>
      <c r="L396">
        <v>0.39</v>
      </c>
      <c r="M396">
        <v>0.16420000000000001</v>
      </c>
      <c r="N396">
        <v>4</v>
      </c>
      <c r="O396">
        <v>119</v>
      </c>
      <c r="P396">
        <v>123</v>
      </c>
      <c r="Q396" t="s">
        <v>62</v>
      </c>
      <c r="R396" t="s">
        <v>120</v>
      </c>
      <c r="S396" t="s">
        <v>28</v>
      </c>
      <c r="T396" t="s">
        <v>29</v>
      </c>
      <c r="U396" t="s">
        <v>123</v>
      </c>
    </row>
    <row r="397" spans="1:21" x14ac:dyDescent="0.3">
      <c r="A397">
        <v>887</v>
      </c>
      <c r="B397" s="1">
        <v>40583</v>
      </c>
      <c r="C397">
        <v>1</v>
      </c>
      <c r="D397">
        <v>0</v>
      </c>
      <c r="E397">
        <v>2</v>
      </c>
      <c r="F397">
        <v>10</v>
      </c>
      <c r="G397" t="b">
        <v>0</v>
      </c>
      <c r="H397">
        <v>3</v>
      </c>
      <c r="I397">
        <v>1</v>
      </c>
      <c r="J397">
        <v>0.14000000000000001</v>
      </c>
      <c r="K397">
        <v>0.18179999999999999</v>
      </c>
      <c r="L397">
        <v>0.36</v>
      </c>
      <c r="M397">
        <v>0</v>
      </c>
      <c r="N397">
        <v>8</v>
      </c>
      <c r="O397">
        <v>51</v>
      </c>
      <c r="P397">
        <v>59</v>
      </c>
      <c r="Q397" t="s">
        <v>62</v>
      </c>
      <c r="R397" t="s">
        <v>120</v>
      </c>
      <c r="S397" t="s">
        <v>28</v>
      </c>
      <c r="T397" t="s">
        <v>29</v>
      </c>
      <c r="U397" t="s">
        <v>123</v>
      </c>
    </row>
    <row r="398" spans="1:21" x14ac:dyDescent="0.3">
      <c r="A398">
        <v>888</v>
      </c>
      <c r="B398" s="1">
        <v>40583</v>
      </c>
      <c r="C398">
        <v>1</v>
      </c>
      <c r="D398">
        <v>0</v>
      </c>
      <c r="E398">
        <v>2</v>
      </c>
      <c r="F398">
        <v>11</v>
      </c>
      <c r="G398" t="b">
        <v>0</v>
      </c>
      <c r="H398">
        <v>3</v>
      </c>
      <c r="I398">
        <v>2</v>
      </c>
      <c r="J398">
        <v>0.14000000000000001</v>
      </c>
      <c r="K398">
        <v>0.1515</v>
      </c>
      <c r="L398">
        <v>0.43</v>
      </c>
      <c r="M398">
        <v>0.16420000000000001</v>
      </c>
      <c r="N398">
        <v>1</v>
      </c>
      <c r="O398">
        <v>40</v>
      </c>
      <c r="P398">
        <v>41</v>
      </c>
      <c r="Q398" t="s">
        <v>64</v>
      </c>
      <c r="R398" t="s">
        <v>120</v>
      </c>
      <c r="S398" t="s">
        <v>28</v>
      </c>
      <c r="T398" t="s">
        <v>29</v>
      </c>
      <c r="U398" t="s">
        <v>124</v>
      </c>
    </row>
    <row r="399" spans="1:21" x14ac:dyDescent="0.3">
      <c r="A399">
        <v>889</v>
      </c>
      <c r="B399" s="1">
        <v>40583</v>
      </c>
      <c r="C399">
        <v>1</v>
      </c>
      <c r="D399">
        <v>0</v>
      </c>
      <c r="E399">
        <v>2</v>
      </c>
      <c r="F399">
        <v>12</v>
      </c>
      <c r="G399" t="b">
        <v>0</v>
      </c>
      <c r="H399">
        <v>3</v>
      </c>
      <c r="I399">
        <v>2</v>
      </c>
      <c r="J399">
        <v>0.18</v>
      </c>
      <c r="K399">
        <v>0.18179999999999999</v>
      </c>
      <c r="L399">
        <v>0.4</v>
      </c>
      <c r="M399">
        <v>0.22389999999999999</v>
      </c>
      <c r="N399">
        <v>4</v>
      </c>
      <c r="O399">
        <v>57</v>
      </c>
      <c r="P399">
        <v>61</v>
      </c>
      <c r="Q399" t="s">
        <v>64</v>
      </c>
      <c r="R399" t="s">
        <v>120</v>
      </c>
      <c r="S399" t="s">
        <v>28</v>
      </c>
      <c r="T399" t="s">
        <v>29</v>
      </c>
      <c r="U399" t="s">
        <v>124</v>
      </c>
    </row>
    <row r="400" spans="1:21" x14ac:dyDescent="0.3">
      <c r="A400">
        <v>890</v>
      </c>
      <c r="B400" s="1">
        <v>40583</v>
      </c>
      <c r="C400">
        <v>1</v>
      </c>
      <c r="D400">
        <v>0</v>
      </c>
      <c r="E400">
        <v>2</v>
      </c>
      <c r="F400">
        <v>13</v>
      </c>
      <c r="G400" t="b">
        <v>0</v>
      </c>
      <c r="H400">
        <v>3</v>
      </c>
      <c r="I400">
        <v>1</v>
      </c>
      <c r="J400">
        <v>0.18</v>
      </c>
      <c r="K400">
        <v>0.16669999999999999</v>
      </c>
      <c r="L400">
        <v>0.4</v>
      </c>
      <c r="M400">
        <v>0.25369999999999998</v>
      </c>
      <c r="N400">
        <v>2</v>
      </c>
      <c r="O400">
        <v>67</v>
      </c>
      <c r="P400">
        <v>69</v>
      </c>
      <c r="Q400" t="s">
        <v>62</v>
      </c>
      <c r="R400" t="s">
        <v>120</v>
      </c>
      <c r="S400" t="s">
        <v>28</v>
      </c>
      <c r="T400" t="s">
        <v>29</v>
      </c>
      <c r="U400" t="s">
        <v>123</v>
      </c>
    </row>
    <row r="401" spans="1:21" x14ac:dyDescent="0.3">
      <c r="A401">
        <v>891</v>
      </c>
      <c r="B401" s="1">
        <v>40583</v>
      </c>
      <c r="C401">
        <v>1</v>
      </c>
      <c r="D401">
        <v>0</v>
      </c>
      <c r="E401">
        <v>2</v>
      </c>
      <c r="F401">
        <v>14</v>
      </c>
      <c r="G401" t="b">
        <v>0</v>
      </c>
      <c r="H401">
        <v>3</v>
      </c>
      <c r="I401">
        <v>1</v>
      </c>
      <c r="J401">
        <v>0.2</v>
      </c>
      <c r="K401">
        <v>0.18179999999999999</v>
      </c>
      <c r="L401">
        <v>0.34</v>
      </c>
      <c r="M401">
        <v>0.29849999999999999</v>
      </c>
      <c r="N401">
        <v>2</v>
      </c>
      <c r="O401">
        <v>56</v>
      </c>
      <c r="P401">
        <v>58</v>
      </c>
      <c r="Q401" t="s">
        <v>62</v>
      </c>
      <c r="R401" t="s">
        <v>120</v>
      </c>
      <c r="S401" t="s">
        <v>28</v>
      </c>
      <c r="T401" t="s">
        <v>29</v>
      </c>
      <c r="U401" t="s">
        <v>123</v>
      </c>
    </row>
    <row r="402" spans="1:21" x14ac:dyDescent="0.3">
      <c r="A402">
        <v>892</v>
      </c>
      <c r="B402" s="1">
        <v>40583</v>
      </c>
      <c r="C402">
        <v>1</v>
      </c>
      <c r="D402">
        <v>0</v>
      </c>
      <c r="E402">
        <v>2</v>
      </c>
      <c r="F402">
        <v>15</v>
      </c>
      <c r="G402" t="b">
        <v>0</v>
      </c>
      <c r="H402">
        <v>3</v>
      </c>
      <c r="I402">
        <v>2</v>
      </c>
      <c r="J402">
        <v>0.2</v>
      </c>
      <c r="K402">
        <v>0.18179999999999999</v>
      </c>
      <c r="L402">
        <v>0.34</v>
      </c>
      <c r="M402">
        <v>0.28360000000000002</v>
      </c>
      <c r="N402">
        <v>3</v>
      </c>
      <c r="O402">
        <v>61</v>
      </c>
      <c r="P402">
        <v>64</v>
      </c>
      <c r="Q402" t="s">
        <v>64</v>
      </c>
      <c r="R402" t="s">
        <v>120</v>
      </c>
      <c r="S402" t="s">
        <v>28</v>
      </c>
      <c r="T402" t="s">
        <v>29</v>
      </c>
      <c r="U402" t="s">
        <v>124</v>
      </c>
    </row>
    <row r="403" spans="1:21" x14ac:dyDescent="0.3">
      <c r="A403">
        <v>893</v>
      </c>
      <c r="B403" s="1">
        <v>40583</v>
      </c>
      <c r="C403">
        <v>1</v>
      </c>
      <c r="D403">
        <v>0</v>
      </c>
      <c r="E403">
        <v>2</v>
      </c>
      <c r="F403">
        <v>16</v>
      </c>
      <c r="G403" t="b">
        <v>0</v>
      </c>
      <c r="H403">
        <v>3</v>
      </c>
      <c r="I403">
        <v>2</v>
      </c>
      <c r="J403">
        <v>0.2</v>
      </c>
      <c r="K403">
        <v>0.19700000000000001</v>
      </c>
      <c r="L403">
        <v>0.37</v>
      </c>
      <c r="M403">
        <v>0.25369999999999998</v>
      </c>
      <c r="N403">
        <v>7</v>
      </c>
      <c r="O403">
        <v>72</v>
      </c>
      <c r="P403">
        <v>79</v>
      </c>
      <c r="Q403" t="s">
        <v>64</v>
      </c>
      <c r="R403" t="s">
        <v>120</v>
      </c>
      <c r="S403" t="s">
        <v>28</v>
      </c>
      <c r="T403" t="s">
        <v>29</v>
      </c>
      <c r="U403" t="s">
        <v>124</v>
      </c>
    </row>
    <row r="404" spans="1:21" x14ac:dyDescent="0.3">
      <c r="A404">
        <v>894</v>
      </c>
      <c r="B404" s="1">
        <v>40583</v>
      </c>
      <c r="C404">
        <v>1</v>
      </c>
      <c r="D404">
        <v>0</v>
      </c>
      <c r="E404">
        <v>2</v>
      </c>
      <c r="F404">
        <v>17</v>
      </c>
      <c r="G404" t="b">
        <v>0</v>
      </c>
      <c r="H404">
        <v>3</v>
      </c>
      <c r="I404">
        <v>2</v>
      </c>
      <c r="J404">
        <v>0.2</v>
      </c>
      <c r="K404">
        <v>0.19700000000000001</v>
      </c>
      <c r="L404">
        <v>0.34</v>
      </c>
      <c r="M404">
        <v>0.25369999999999998</v>
      </c>
      <c r="N404">
        <v>9</v>
      </c>
      <c r="O404">
        <v>157</v>
      </c>
      <c r="P404">
        <v>166</v>
      </c>
      <c r="Q404" t="s">
        <v>64</v>
      </c>
      <c r="R404" t="s">
        <v>120</v>
      </c>
      <c r="S404" t="s">
        <v>28</v>
      </c>
      <c r="T404" t="s">
        <v>29</v>
      </c>
      <c r="U404" t="s">
        <v>124</v>
      </c>
    </row>
    <row r="405" spans="1:21" x14ac:dyDescent="0.3">
      <c r="A405">
        <v>895</v>
      </c>
      <c r="B405" s="1">
        <v>40583</v>
      </c>
      <c r="C405">
        <v>1</v>
      </c>
      <c r="D405">
        <v>0</v>
      </c>
      <c r="E405">
        <v>2</v>
      </c>
      <c r="F405">
        <v>18</v>
      </c>
      <c r="G405" t="b">
        <v>0</v>
      </c>
      <c r="H405">
        <v>3</v>
      </c>
      <c r="I405">
        <v>2</v>
      </c>
      <c r="J405">
        <v>0.18</v>
      </c>
      <c r="K405">
        <v>0.16669999999999999</v>
      </c>
      <c r="L405">
        <v>0.47</v>
      </c>
      <c r="M405">
        <v>0.29849999999999999</v>
      </c>
      <c r="N405">
        <v>2</v>
      </c>
      <c r="O405">
        <v>168</v>
      </c>
      <c r="P405">
        <v>170</v>
      </c>
      <c r="Q405" t="s">
        <v>64</v>
      </c>
      <c r="R405" t="s">
        <v>120</v>
      </c>
      <c r="S405" t="s">
        <v>28</v>
      </c>
      <c r="T405" t="s">
        <v>29</v>
      </c>
      <c r="U405" t="s">
        <v>124</v>
      </c>
    </row>
    <row r="406" spans="1:21" x14ac:dyDescent="0.3">
      <c r="A406">
        <v>896</v>
      </c>
      <c r="B406" s="1">
        <v>40583</v>
      </c>
      <c r="C406">
        <v>1</v>
      </c>
      <c r="D406">
        <v>0</v>
      </c>
      <c r="E406">
        <v>2</v>
      </c>
      <c r="F406">
        <v>19</v>
      </c>
      <c r="G406" t="b">
        <v>0</v>
      </c>
      <c r="H406">
        <v>3</v>
      </c>
      <c r="I406">
        <v>3</v>
      </c>
      <c r="J406">
        <v>0.14000000000000001</v>
      </c>
      <c r="K406">
        <v>0.1212</v>
      </c>
      <c r="L406">
        <v>0.86</v>
      </c>
      <c r="M406">
        <v>0.25369999999999998</v>
      </c>
      <c r="N406">
        <v>1</v>
      </c>
      <c r="O406">
        <v>87</v>
      </c>
      <c r="P406">
        <v>88</v>
      </c>
      <c r="Q406" t="s">
        <v>63</v>
      </c>
      <c r="R406" t="s">
        <v>120</v>
      </c>
      <c r="S406" t="s">
        <v>28</v>
      </c>
      <c r="T406" t="s">
        <v>29</v>
      </c>
      <c r="U406" t="s">
        <v>125</v>
      </c>
    </row>
    <row r="407" spans="1:21" x14ac:dyDescent="0.3">
      <c r="A407">
        <v>897</v>
      </c>
      <c r="B407" s="1">
        <v>40583</v>
      </c>
      <c r="C407">
        <v>1</v>
      </c>
      <c r="D407">
        <v>0</v>
      </c>
      <c r="E407">
        <v>2</v>
      </c>
      <c r="F407">
        <v>20</v>
      </c>
      <c r="G407" t="b">
        <v>0</v>
      </c>
      <c r="H407">
        <v>3</v>
      </c>
      <c r="I407">
        <v>3</v>
      </c>
      <c r="J407">
        <v>0.14000000000000001</v>
      </c>
      <c r="K407">
        <v>0.1515</v>
      </c>
      <c r="L407">
        <v>0.86</v>
      </c>
      <c r="M407">
        <v>0.16420000000000001</v>
      </c>
      <c r="N407">
        <v>0</v>
      </c>
      <c r="O407">
        <v>84</v>
      </c>
      <c r="P407">
        <v>84</v>
      </c>
      <c r="Q407" t="s">
        <v>63</v>
      </c>
      <c r="R407" t="s">
        <v>120</v>
      </c>
      <c r="S407" t="s">
        <v>28</v>
      </c>
      <c r="T407" t="s">
        <v>29</v>
      </c>
      <c r="U407" t="s">
        <v>125</v>
      </c>
    </row>
    <row r="408" spans="1:21" x14ac:dyDescent="0.3">
      <c r="A408">
        <v>898</v>
      </c>
      <c r="B408" s="1">
        <v>40583</v>
      </c>
      <c r="C408">
        <v>1</v>
      </c>
      <c r="D408">
        <v>0</v>
      </c>
      <c r="E408">
        <v>2</v>
      </c>
      <c r="F408">
        <v>21</v>
      </c>
      <c r="G408" t="b">
        <v>0</v>
      </c>
      <c r="H408">
        <v>3</v>
      </c>
      <c r="I408">
        <v>2</v>
      </c>
      <c r="J408">
        <v>0.14000000000000001</v>
      </c>
      <c r="K408">
        <v>0.1515</v>
      </c>
      <c r="L408">
        <v>0.86</v>
      </c>
      <c r="M408">
        <v>0.16420000000000001</v>
      </c>
      <c r="N408">
        <v>0</v>
      </c>
      <c r="O408">
        <v>83</v>
      </c>
      <c r="P408">
        <v>83</v>
      </c>
      <c r="Q408" t="s">
        <v>64</v>
      </c>
      <c r="R408" t="s">
        <v>120</v>
      </c>
      <c r="S408" t="s">
        <v>28</v>
      </c>
      <c r="T408" t="s">
        <v>29</v>
      </c>
      <c r="U408" t="s">
        <v>124</v>
      </c>
    </row>
    <row r="409" spans="1:21" x14ac:dyDescent="0.3">
      <c r="A409">
        <v>899</v>
      </c>
      <c r="B409" s="1">
        <v>40583</v>
      </c>
      <c r="C409">
        <v>1</v>
      </c>
      <c r="D409">
        <v>0</v>
      </c>
      <c r="E409">
        <v>2</v>
      </c>
      <c r="F409">
        <v>22</v>
      </c>
      <c r="G409" t="b">
        <v>0</v>
      </c>
      <c r="H409">
        <v>3</v>
      </c>
      <c r="I409">
        <v>3</v>
      </c>
      <c r="J409">
        <v>0.16</v>
      </c>
      <c r="K409">
        <v>0.16669999999999999</v>
      </c>
      <c r="L409">
        <v>0.8</v>
      </c>
      <c r="M409">
        <v>0.16420000000000001</v>
      </c>
      <c r="N409">
        <v>4</v>
      </c>
      <c r="O409">
        <v>42</v>
      </c>
      <c r="P409">
        <v>46</v>
      </c>
      <c r="Q409" t="s">
        <v>63</v>
      </c>
      <c r="R409" t="s">
        <v>120</v>
      </c>
      <c r="S409" t="s">
        <v>28</v>
      </c>
      <c r="T409" t="s">
        <v>29</v>
      </c>
      <c r="U409" t="s">
        <v>125</v>
      </c>
    </row>
    <row r="410" spans="1:21" x14ac:dyDescent="0.3">
      <c r="A410">
        <v>900</v>
      </c>
      <c r="B410" s="1">
        <v>40583</v>
      </c>
      <c r="C410">
        <v>1</v>
      </c>
      <c r="D410">
        <v>0</v>
      </c>
      <c r="E410">
        <v>2</v>
      </c>
      <c r="F410">
        <v>23</v>
      </c>
      <c r="G410" t="b">
        <v>0</v>
      </c>
      <c r="H410">
        <v>3</v>
      </c>
      <c r="I410">
        <v>3</v>
      </c>
      <c r="J410">
        <v>0.16</v>
      </c>
      <c r="K410">
        <v>0.1515</v>
      </c>
      <c r="L410">
        <v>0.8</v>
      </c>
      <c r="M410">
        <v>0.19400000000000001</v>
      </c>
      <c r="N410">
        <v>0</v>
      </c>
      <c r="O410">
        <v>37</v>
      </c>
      <c r="P410">
        <v>37</v>
      </c>
      <c r="Q410" t="s">
        <v>63</v>
      </c>
      <c r="R410" t="s">
        <v>120</v>
      </c>
      <c r="S410" t="s">
        <v>28</v>
      </c>
      <c r="T410" t="s">
        <v>29</v>
      </c>
      <c r="U410" t="s">
        <v>125</v>
      </c>
    </row>
    <row r="411" spans="1:21" x14ac:dyDescent="0.3">
      <c r="A411">
        <v>116</v>
      </c>
      <c r="B411" s="1">
        <v>40549</v>
      </c>
      <c r="C411">
        <v>1</v>
      </c>
      <c r="D411">
        <v>0</v>
      </c>
      <c r="E411">
        <v>1</v>
      </c>
      <c r="F411">
        <v>0</v>
      </c>
      <c r="G411" t="b">
        <v>0</v>
      </c>
      <c r="H411">
        <v>4</v>
      </c>
      <c r="I411">
        <v>1</v>
      </c>
      <c r="J411">
        <v>0.18</v>
      </c>
      <c r="K411">
        <v>0.2424</v>
      </c>
      <c r="L411">
        <v>0.55000000000000004</v>
      </c>
      <c r="M411">
        <v>0</v>
      </c>
      <c r="N411">
        <v>0</v>
      </c>
      <c r="O411">
        <v>11</v>
      </c>
      <c r="P411">
        <v>11</v>
      </c>
      <c r="Q411" t="s">
        <v>62</v>
      </c>
      <c r="R411" t="s">
        <v>120</v>
      </c>
      <c r="S411" t="s">
        <v>26</v>
      </c>
      <c r="T411" t="s">
        <v>30</v>
      </c>
      <c r="U411" t="s">
        <v>123</v>
      </c>
    </row>
    <row r="412" spans="1:21" x14ac:dyDescent="0.3">
      <c r="A412">
        <v>117</v>
      </c>
      <c r="B412" s="1">
        <v>40549</v>
      </c>
      <c r="C412">
        <v>1</v>
      </c>
      <c r="D412">
        <v>0</v>
      </c>
      <c r="E412">
        <v>1</v>
      </c>
      <c r="F412">
        <v>1</v>
      </c>
      <c r="G412" t="b">
        <v>0</v>
      </c>
      <c r="H412">
        <v>4</v>
      </c>
      <c r="I412">
        <v>1</v>
      </c>
      <c r="J412">
        <v>0.16</v>
      </c>
      <c r="K412">
        <v>0.2273</v>
      </c>
      <c r="L412">
        <v>0.64</v>
      </c>
      <c r="M412">
        <v>0</v>
      </c>
      <c r="N412">
        <v>0</v>
      </c>
      <c r="O412">
        <v>4</v>
      </c>
      <c r="P412">
        <v>4</v>
      </c>
      <c r="Q412" t="s">
        <v>62</v>
      </c>
      <c r="R412" t="s">
        <v>120</v>
      </c>
      <c r="S412" t="s">
        <v>26</v>
      </c>
      <c r="T412" t="s">
        <v>30</v>
      </c>
      <c r="U412" t="s">
        <v>123</v>
      </c>
    </row>
    <row r="413" spans="1:21" x14ac:dyDescent="0.3">
      <c r="A413">
        <v>118</v>
      </c>
      <c r="B413" s="1">
        <v>40549</v>
      </c>
      <c r="C413">
        <v>1</v>
      </c>
      <c r="D413">
        <v>0</v>
      </c>
      <c r="E413">
        <v>1</v>
      </c>
      <c r="F413">
        <v>2</v>
      </c>
      <c r="G413" t="b">
        <v>0</v>
      </c>
      <c r="H413">
        <v>4</v>
      </c>
      <c r="I413">
        <v>1</v>
      </c>
      <c r="J413">
        <v>0.16</v>
      </c>
      <c r="K413">
        <v>0.2273</v>
      </c>
      <c r="L413">
        <v>0.64</v>
      </c>
      <c r="M413">
        <v>0</v>
      </c>
      <c r="N413">
        <v>0</v>
      </c>
      <c r="O413">
        <v>2</v>
      </c>
      <c r="P413">
        <v>2</v>
      </c>
      <c r="Q413" t="s">
        <v>62</v>
      </c>
      <c r="R413" t="s">
        <v>120</v>
      </c>
      <c r="S413" t="s">
        <v>26</v>
      </c>
      <c r="T413" t="s">
        <v>30</v>
      </c>
      <c r="U413" t="s">
        <v>123</v>
      </c>
    </row>
    <row r="414" spans="1:21" x14ac:dyDescent="0.3">
      <c r="A414">
        <v>119</v>
      </c>
      <c r="B414" s="1">
        <v>40549</v>
      </c>
      <c r="C414">
        <v>1</v>
      </c>
      <c r="D414">
        <v>0</v>
      </c>
      <c r="E414">
        <v>1</v>
      </c>
      <c r="F414">
        <v>4</v>
      </c>
      <c r="G414" t="b">
        <v>0</v>
      </c>
      <c r="H414">
        <v>4</v>
      </c>
      <c r="I414">
        <v>2</v>
      </c>
      <c r="J414">
        <v>0.16</v>
      </c>
      <c r="K414">
        <v>0.19700000000000001</v>
      </c>
      <c r="L414">
        <v>0.64</v>
      </c>
      <c r="M414">
        <v>8.9599999999999999E-2</v>
      </c>
      <c r="N414">
        <v>0</v>
      </c>
      <c r="O414">
        <v>1</v>
      </c>
      <c r="P414">
        <v>1</v>
      </c>
      <c r="Q414" t="s">
        <v>64</v>
      </c>
      <c r="R414" t="s">
        <v>120</v>
      </c>
      <c r="S414" t="s">
        <v>26</v>
      </c>
      <c r="T414" t="s">
        <v>30</v>
      </c>
      <c r="U414" t="s">
        <v>124</v>
      </c>
    </row>
    <row r="415" spans="1:21" x14ac:dyDescent="0.3">
      <c r="A415">
        <v>120</v>
      </c>
      <c r="B415" s="1">
        <v>40549</v>
      </c>
      <c r="C415">
        <v>1</v>
      </c>
      <c r="D415">
        <v>0</v>
      </c>
      <c r="E415">
        <v>1</v>
      </c>
      <c r="F415">
        <v>5</v>
      </c>
      <c r="G415" t="b">
        <v>0</v>
      </c>
      <c r="H415">
        <v>4</v>
      </c>
      <c r="I415">
        <v>2</v>
      </c>
      <c r="J415">
        <v>0.14000000000000001</v>
      </c>
      <c r="K415">
        <v>0.18179999999999999</v>
      </c>
      <c r="L415">
        <v>0.69</v>
      </c>
      <c r="M415">
        <v>8.9599999999999999E-2</v>
      </c>
      <c r="N415">
        <v>0</v>
      </c>
      <c r="O415">
        <v>4</v>
      </c>
      <c r="P415">
        <v>4</v>
      </c>
      <c r="Q415" t="s">
        <v>64</v>
      </c>
      <c r="R415" t="s">
        <v>120</v>
      </c>
      <c r="S415" t="s">
        <v>26</v>
      </c>
      <c r="T415" t="s">
        <v>30</v>
      </c>
      <c r="U415" t="s">
        <v>124</v>
      </c>
    </row>
    <row r="416" spans="1:21" x14ac:dyDescent="0.3">
      <c r="A416">
        <v>121</v>
      </c>
      <c r="B416" s="1">
        <v>40549</v>
      </c>
      <c r="C416">
        <v>1</v>
      </c>
      <c r="D416">
        <v>0</v>
      </c>
      <c r="E416">
        <v>1</v>
      </c>
      <c r="F416">
        <v>6</v>
      </c>
      <c r="G416" t="b">
        <v>0</v>
      </c>
      <c r="H416">
        <v>4</v>
      </c>
      <c r="I416">
        <v>2</v>
      </c>
      <c r="J416">
        <v>0.14000000000000001</v>
      </c>
      <c r="K416">
        <v>0.16669999999999999</v>
      </c>
      <c r="L416">
        <v>0.63</v>
      </c>
      <c r="M416">
        <v>0.1045</v>
      </c>
      <c r="N416">
        <v>0</v>
      </c>
      <c r="O416">
        <v>36</v>
      </c>
      <c r="P416">
        <v>36</v>
      </c>
      <c r="Q416" t="s">
        <v>64</v>
      </c>
      <c r="R416" t="s">
        <v>120</v>
      </c>
      <c r="S416" t="s">
        <v>26</v>
      </c>
      <c r="T416" t="s">
        <v>30</v>
      </c>
      <c r="U416" t="s">
        <v>124</v>
      </c>
    </row>
    <row r="417" spans="1:21" x14ac:dyDescent="0.3">
      <c r="A417">
        <v>122</v>
      </c>
      <c r="B417" s="1">
        <v>40549</v>
      </c>
      <c r="C417">
        <v>1</v>
      </c>
      <c r="D417">
        <v>0</v>
      </c>
      <c r="E417">
        <v>1</v>
      </c>
      <c r="F417">
        <v>7</v>
      </c>
      <c r="G417" t="b">
        <v>0</v>
      </c>
      <c r="H417">
        <v>4</v>
      </c>
      <c r="I417">
        <v>2</v>
      </c>
      <c r="J417">
        <v>0.16</v>
      </c>
      <c r="K417">
        <v>0.2273</v>
      </c>
      <c r="L417">
        <v>0.59</v>
      </c>
      <c r="M417">
        <v>0</v>
      </c>
      <c r="N417">
        <v>0</v>
      </c>
      <c r="O417">
        <v>95</v>
      </c>
      <c r="P417">
        <v>95</v>
      </c>
      <c r="Q417" t="s">
        <v>64</v>
      </c>
      <c r="R417" t="s">
        <v>120</v>
      </c>
      <c r="S417" t="s">
        <v>26</v>
      </c>
      <c r="T417" t="s">
        <v>30</v>
      </c>
      <c r="U417" t="s">
        <v>124</v>
      </c>
    </row>
    <row r="418" spans="1:21" x14ac:dyDescent="0.3">
      <c r="A418">
        <v>123</v>
      </c>
      <c r="B418" s="1">
        <v>40549</v>
      </c>
      <c r="C418">
        <v>1</v>
      </c>
      <c r="D418">
        <v>0</v>
      </c>
      <c r="E418">
        <v>1</v>
      </c>
      <c r="F418">
        <v>8</v>
      </c>
      <c r="G418" t="b">
        <v>0</v>
      </c>
      <c r="H418">
        <v>4</v>
      </c>
      <c r="I418">
        <v>1</v>
      </c>
      <c r="J418">
        <v>0.16</v>
      </c>
      <c r="K418">
        <v>0.2273</v>
      </c>
      <c r="L418">
        <v>0.59</v>
      </c>
      <c r="M418">
        <v>0</v>
      </c>
      <c r="N418">
        <v>3</v>
      </c>
      <c r="O418">
        <v>216</v>
      </c>
      <c r="P418">
        <v>219</v>
      </c>
      <c r="Q418" t="s">
        <v>62</v>
      </c>
      <c r="R418" t="s">
        <v>120</v>
      </c>
      <c r="S418" t="s">
        <v>26</v>
      </c>
      <c r="T418" t="s">
        <v>30</v>
      </c>
      <c r="U418" t="s">
        <v>123</v>
      </c>
    </row>
    <row r="419" spans="1:21" x14ac:dyDescent="0.3">
      <c r="A419">
        <v>124</v>
      </c>
      <c r="B419" s="1">
        <v>40549</v>
      </c>
      <c r="C419">
        <v>1</v>
      </c>
      <c r="D419">
        <v>0</v>
      </c>
      <c r="E419">
        <v>1</v>
      </c>
      <c r="F419">
        <v>9</v>
      </c>
      <c r="G419" t="b">
        <v>0</v>
      </c>
      <c r="H419">
        <v>4</v>
      </c>
      <c r="I419">
        <v>2</v>
      </c>
      <c r="J419">
        <v>0.18</v>
      </c>
      <c r="K419">
        <v>0.2424</v>
      </c>
      <c r="L419">
        <v>0.51</v>
      </c>
      <c r="M419">
        <v>0</v>
      </c>
      <c r="N419">
        <v>6</v>
      </c>
      <c r="O419">
        <v>116</v>
      </c>
      <c r="P419">
        <v>122</v>
      </c>
      <c r="Q419" t="s">
        <v>64</v>
      </c>
      <c r="R419" t="s">
        <v>120</v>
      </c>
      <c r="S419" t="s">
        <v>26</v>
      </c>
      <c r="T419" t="s">
        <v>30</v>
      </c>
      <c r="U419" t="s">
        <v>124</v>
      </c>
    </row>
    <row r="420" spans="1:21" x14ac:dyDescent="0.3">
      <c r="A420">
        <v>125</v>
      </c>
      <c r="B420" s="1">
        <v>40549</v>
      </c>
      <c r="C420">
        <v>1</v>
      </c>
      <c r="D420">
        <v>0</v>
      </c>
      <c r="E420">
        <v>1</v>
      </c>
      <c r="F420">
        <v>10</v>
      </c>
      <c r="G420" t="b">
        <v>0</v>
      </c>
      <c r="H420">
        <v>4</v>
      </c>
      <c r="I420">
        <v>1</v>
      </c>
      <c r="J420">
        <v>0.2</v>
      </c>
      <c r="K420">
        <v>0.2576</v>
      </c>
      <c r="L420">
        <v>0.47</v>
      </c>
      <c r="M420">
        <v>0</v>
      </c>
      <c r="N420">
        <v>3</v>
      </c>
      <c r="O420">
        <v>42</v>
      </c>
      <c r="P420">
        <v>45</v>
      </c>
      <c r="Q420" t="s">
        <v>62</v>
      </c>
      <c r="R420" t="s">
        <v>120</v>
      </c>
      <c r="S420" t="s">
        <v>26</v>
      </c>
      <c r="T420" t="s">
        <v>30</v>
      </c>
      <c r="U420" t="s">
        <v>123</v>
      </c>
    </row>
    <row r="421" spans="1:21" x14ac:dyDescent="0.3">
      <c r="A421">
        <v>126</v>
      </c>
      <c r="B421" s="1">
        <v>40549</v>
      </c>
      <c r="C421">
        <v>1</v>
      </c>
      <c r="D421">
        <v>0</v>
      </c>
      <c r="E421">
        <v>1</v>
      </c>
      <c r="F421">
        <v>11</v>
      </c>
      <c r="G421" t="b">
        <v>0</v>
      </c>
      <c r="H421">
        <v>4</v>
      </c>
      <c r="I421">
        <v>1</v>
      </c>
      <c r="J421">
        <v>0.22</v>
      </c>
      <c r="K421">
        <v>0.2576</v>
      </c>
      <c r="L421">
        <v>0.44</v>
      </c>
      <c r="M421">
        <v>8.9599999999999999E-2</v>
      </c>
      <c r="N421">
        <v>2</v>
      </c>
      <c r="O421">
        <v>57</v>
      </c>
      <c r="P421">
        <v>59</v>
      </c>
      <c r="Q421" t="s">
        <v>62</v>
      </c>
      <c r="R421" t="s">
        <v>120</v>
      </c>
      <c r="S421" t="s">
        <v>26</v>
      </c>
      <c r="T421" t="s">
        <v>30</v>
      </c>
      <c r="U421" t="s">
        <v>123</v>
      </c>
    </row>
    <row r="422" spans="1:21" x14ac:dyDescent="0.3">
      <c r="A422">
        <v>127</v>
      </c>
      <c r="B422" s="1">
        <v>40549</v>
      </c>
      <c r="C422">
        <v>1</v>
      </c>
      <c r="D422">
        <v>0</v>
      </c>
      <c r="E422">
        <v>1</v>
      </c>
      <c r="F422">
        <v>12</v>
      </c>
      <c r="G422" t="b">
        <v>0</v>
      </c>
      <c r="H422">
        <v>4</v>
      </c>
      <c r="I422">
        <v>1</v>
      </c>
      <c r="J422">
        <v>0.26</v>
      </c>
      <c r="K422">
        <v>0.28789999999999999</v>
      </c>
      <c r="L422">
        <v>0.35</v>
      </c>
      <c r="M422">
        <v>0</v>
      </c>
      <c r="N422">
        <v>6</v>
      </c>
      <c r="O422">
        <v>78</v>
      </c>
      <c r="P422">
        <v>84</v>
      </c>
      <c r="Q422" t="s">
        <v>62</v>
      </c>
      <c r="R422" t="s">
        <v>120</v>
      </c>
      <c r="S422" t="s">
        <v>26</v>
      </c>
      <c r="T422" t="s">
        <v>30</v>
      </c>
      <c r="U422" t="s">
        <v>123</v>
      </c>
    </row>
    <row r="423" spans="1:21" x14ac:dyDescent="0.3">
      <c r="A423">
        <v>128</v>
      </c>
      <c r="B423" s="1">
        <v>40549</v>
      </c>
      <c r="C423">
        <v>1</v>
      </c>
      <c r="D423">
        <v>0</v>
      </c>
      <c r="E423">
        <v>1</v>
      </c>
      <c r="F423">
        <v>13</v>
      </c>
      <c r="G423" t="b">
        <v>0</v>
      </c>
      <c r="H423">
        <v>4</v>
      </c>
      <c r="I423">
        <v>1</v>
      </c>
      <c r="J423">
        <v>0.26</v>
      </c>
      <c r="K423">
        <v>0.2727</v>
      </c>
      <c r="L423">
        <v>0.35</v>
      </c>
      <c r="M423">
        <v>0.1045</v>
      </c>
      <c r="N423">
        <v>12</v>
      </c>
      <c r="O423">
        <v>55</v>
      </c>
      <c r="P423">
        <v>67</v>
      </c>
      <c r="Q423" t="s">
        <v>62</v>
      </c>
      <c r="R423" t="s">
        <v>120</v>
      </c>
      <c r="S423" t="s">
        <v>26</v>
      </c>
      <c r="T423" t="s">
        <v>30</v>
      </c>
      <c r="U423" t="s">
        <v>123</v>
      </c>
    </row>
    <row r="424" spans="1:21" x14ac:dyDescent="0.3">
      <c r="A424">
        <v>129</v>
      </c>
      <c r="B424" s="1">
        <v>40549</v>
      </c>
      <c r="C424">
        <v>1</v>
      </c>
      <c r="D424">
        <v>0</v>
      </c>
      <c r="E424">
        <v>1</v>
      </c>
      <c r="F424">
        <v>14</v>
      </c>
      <c r="G424" t="b">
        <v>0</v>
      </c>
      <c r="H424">
        <v>4</v>
      </c>
      <c r="I424">
        <v>1</v>
      </c>
      <c r="J424">
        <v>0.28000000000000003</v>
      </c>
      <c r="K424">
        <v>0.2727</v>
      </c>
      <c r="L424">
        <v>0.36</v>
      </c>
      <c r="M424">
        <v>0.16420000000000001</v>
      </c>
      <c r="N424">
        <v>11</v>
      </c>
      <c r="O424">
        <v>59</v>
      </c>
      <c r="P424">
        <v>70</v>
      </c>
      <c r="Q424" t="s">
        <v>62</v>
      </c>
      <c r="R424" t="s">
        <v>120</v>
      </c>
      <c r="S424" t="s">
        <v>26</v>
      </c>
      <c r="T424" t="s">
        <v>30</v>
      </c>
      <c r="U424" t="s">
        <v>123</v>
      </c>
    </row>
    <row r="425" spans="1:21" x14ac:dyDescent="0.3">
      <c r="A425">
        <v>130</v>
      </c>
      <c r="B425" s="1">
        <v>40549</v>
      </c>
      <c r="C425">
        <v>1</v>
      </c>
      <c r="D425">
        <v>0</v>
      </c>
      <c r="E425">
        <v>1</v>
      </c>
      <c r="F425">
        <v>15</v>
      </c>
      <c r="G425" t="b">
        <v>0</v>
      </c>
      <c r="H425">
        <v>4</v>
      </c>
      <c r="I425">
        <v>1</v>
      </c>
      <c r="J425">
        <v>0.28000000000000003</v>
      </c>
      <c r="K425">
        <v>0.2727</v>
      </c>
      <c r="L425">
        <v>0.36</v>
      </c>
      <c r="M425">
        <v>0</v>
      </c>
      <c r="N425">
        <v>8</v>
      </c>
      <c r="O425">
        <v>54</v>
      </c>
      <c r="P425">
        <v>62</v>
      </c>
      <c r="Q425" t="s">
        <v>62</v>
      </c>
      <c r="R425" t="s">
        <v>120</v>
      </c>
      <c r="S425" t="s">
        <v>26</v>
      </c>
      <c r="T425" t="s">
        <v>30</v>
      </c>
      <c r="U425" t="s">
        <v>123</v>
      </c>
    </row>
    <row r="426" spans="1:21" x14ac:dyDescent="0.3">
      <c r="A426">
        <v>131</v>
      </c>
      <c r="B426" s="1">
        <v>40549</v>
      </c>
      <c r="C426">
        <v>1</v>
      </c>
      <c r="D426">
        <v>0</v>
      </c>
      <c r="E426">
        <v>1</v>
      </c>
      <c r="F426">
        <v>16</v>
      </c>
      <c r="G426" t="b">
        <v>0</v>
      </c>
      <c r="H426">
        <v>4</v>
      </c>
      <c r="I426">
        <v>1</v>
      </c>
      <c r="J426">
        <v>0.26</v>
      </c>
      <c r="K426">
        <v>0.2576</v>
      </c>
      <c r="L426">
        <v>0.38</v>
      </c>
      <c r="M426">
        <v>0.16420000000000001</v>
      </c>
      <c r="N426">
        <v>12</v>
      </c>
      <c r="O426">
        <v>74</v>
      </c>
      <c r="P426">
        <v>86</v>
      </c>
      <c r="Q426" t="s">
        <v>62</v>
      </c>
      <c r="R426" t="s">
        <v>120</v>
      </c>
      <c r="S426" t="s">
        <v>26</v>
      </c>
      <c r="T426" t="s">
        <v>30</v>
      </c>
      <c r="U426" t="s">
        <v>123</v>
      </c>
    </row>
    <row r="427" spans="1:21" x14ac:dyDescent="0.3">
      <c r="A427">
        <v>132</v>
      </c>
      <c r="B427" s="1">
        <v>40549</v>
      </c>
      <c r="C427">
        <v>1</v>
      </c>
      <c r="D427">
        <v>0</v>
      </c>
      <c r="E427">
        <v>1</v>
      </c>
      <c r="F427">
        <v>17</v>
      </c>
      <c r="G427" t="b">
        <v>0</v>
      </c>
      <c r="H427">
        <v>4</v>
      </c>
      <c r="I427">
        <v>1</v>
      </c>
      <c r="J427">
        <v>0.22</v>
      </c>
      <c r="K427">
        <v>0.2273</v>
      </c>
      <c r="L427">
        <v>0.51</v>
      </c>
      <c r="M427">
        <v>0.16420000000000001</v>
      </c>
      <c r="N427">
        <v>9</v>
      </c>
      <c r="O427">
        <v>163</v>
      </c>
      <c r="P427">
        <v>172</v>
      </c>
      <c r="Q427" t="s">
        <v>62</v>
      </c>
      <c r="R427" t="s">
        <v>120</v>
      </c>
      <c r="S427" t="s">
        <v>26</v>
      </c>
      <c r="T427" t="s">
        <v>30</v>
      </c>
      <c r="U427" t="s">
        <v>123</v>
      </c>
    </row>
    <row r="428" spans="1:21" x14ac:dyDescent="0.3">
      <c r="A428">
        <v>133</v>
      </c>
      <c r="B428" s="1">
        <v>40549</v>
      </c>
      <c r="C428">
        <v>1</v>
      </c>
      <c r="D428">
        <v>0</v>
      </c>
      <c r="E428">
        <v>1</v>
      </c>
      <c r="F428">
        <v>18</v>
      </c>
      <c r="G428" t="b">
        <v>0</v>
      </c>
      <c r="H428">
        <v>4</v>
      </c>
      <c r="I428">
        <v>1</v>
      </c>
      <c r="J428">
        <v>0.22</v>
      </c>
      <c r="K428">
        <v>0.2273</v>
      </c>
      <c r="L428">
        <v>0.51</v>
      </c>
      <c r="M428">
        <v>0.1343</v>
      </c>
      <c r="N428">
        <v>5</v>
      </c>
      <c r="O428">
        <v>158</v>
      </c>
      <c r="P428">
        <v>163</v>
      </c>
      <c r="Q428" t="s">
        <v>62</v>
      </c>
      <c r="R428" t="s">
        <v>120</v>
      </c>
      <c r="S428" t="s">
        <v>26</v>
      </c>
      <c r="T428" t="s">
        <v>30</v>
      </c>
      <c r="U428" t="s">
        <v>123</v>
      </c>
    </row>
    <row r="429" spans="1:21" x14ac:dyDescent="0.3">
      <c r="A429">
        <v>134</v>
      </c>
      <c r="B429" s="1">
        <v>40549</v>
      </c>
      <c r="C429">
        <v>1</v>
      </c>
      <c r="D429">
        <v>0</v>
      </c>
      <c r="E429">
        <v>1</v>
      </c>
      <c r="F429">
        <v>19</v>
      </c>
      <c r="G429" t="b">
        <v>0</v>
      </c>
      <c r="H429">
        <v>4</v>
      </c>
      <c r="I429">
        <v>1</v>
      </c>
      <c r="J429">
        <v>0.22</v>
      </c>
      <c r="K429">
        <v>0.2576</v>
      </c>
      <c r="L429">
        <v>0.55000000000000004</v>
      </c>
      <c r="M429">
        <v>8.9599999999999999E-2</v>
      </c>
      <c r="N429">
        <v>3</v>
      </c>
      <c r="O429">
        <v>109</v>
      </c>
      <c r="P429">
        <v>112</v>
      </c>
      <c r="Q429" t="s">
        <v>62</v>
      </c>
      <c r="R429" t="s">
        <v>120</v>
      </c>
      <c r="S429" t="s">
        <v>26</v>
      </c>
      <c r="T429" t="s">
        <v>30</v>
      </c>
      <c r="U429" t="s">
        <v>123</v>
      </c>
    </row>
    <row r="430" spans="1:21" x14ac:dyDescent="0.3">
      <c r="A430">
        <v>135</v>
      </c>
      <c r="B430" s="1">
        <v>40549</v>
      </c>
      <c r="C430">
        <v>1</v>
      </c>
      <c r="D430">
        <v>0</v>
      </c>
      <c r="E430">
        <v>1</v>
      </c>
      <c r="F430">
        <v>20</v>
      </c>
      <c r="G430" t="b">
        <v>0</v>
      </c>
      <c r="H430">
        <v>4</v>
      </c>
      <c r="I430">
        <v>1</v>
      </c>
      <c r="J430">
        <v>0.2</v>
      </c>
      <c r="K430">
        <v>0.21210000000000001</v>
      </c>
      <c r="L430">
        <v>0.51</v>
      </c>
      <c r="M430">
        <v>0.16420000000000001</v>
      </c>
      <c r="N430">
        <v>3</v>
      </c>
      <c r="O430">
        <v>66</v>
      </c>
      <c r="P430">
        <v>69</v>
      </c>
      <c r="Q430" t="s">
        <v>62</v>
      </c>
      <c r="R430" t="s">
        <v>120</v>
      </c>
      <c r="S430" t="s">
        <v>26</v>
      </c>
      <c r="T430" t="s">
        <v>30</v>
      </c>
      <c r="U430" t="s">
        <v>123</v>
      </c>
    </row>
    <row r="431" spans="1:21" x14ac:dyDescent="0.3">
      <c r="A431">
        <v>136</v>
      </c>
      <c r="B431" s="1">
        <v>40549</v>
      </c>
      <c r="C431">
        <v>1</v>
      </c>
      <c r="D431">
        <v>0</v>
      </c>
      <c r="E431">
        <v>1</v>
      </c>
      <c r="F431">
        <v>21</v>
      </c>
      <c r="G431" t="b">
        <v>0</v>
      </c>
      <c r="H431">
        <v>4</v>
      </c>
      <c r="I431">
        <v>2</v>
      </c>
      <c r="J431">
        <v>0.22</v>
      </c>
      <c r="K431">
        <v>0.21210000000000001</v>
      </c>
      <c r="L431">
        <v>0.55000000000000004</v>
      </c>
      <c r="M431">
        <v>0.22389999999999999</v>
      </c>
      <c r="N431">
        <v>0</v>
      </c>
      <c r="O431">
        <v>48</v>
      </c>
      <c r="P431">
        <v>48</v>
      </c>
      <c r="Q431" t="s">
        <v>64</v>
      </c>
      <c r="R431" t="s">
        <v>120</v>
      </c>
      <c r="S431" t="s">
        <v>26</v>
      </c>
      <c r="T431" t="s">
        <v>30</v>
      </c>
      <c r="U431" t="s">
        <v>124</v>
      </c>
    </row>
    <row r="432" spans="1:21" x14ac:dyDescent="0.3">
      <c r="A432">
        <v>137</v>
      </c>
      <c r="B432" s="1">
        <v>40549</v>
      </c>
      <c r="C432">
        <v>1</v>
      </c>
      <c r="D432">
        <v>0</v>
      </c>
      <c r="E432">
        <v>1</v>
      </c>
      <c r="F432">
        <v>22</v>
      </c>
      <c r="G432" t="b">
        <v>0</v>
      </c>
      <c r="H432">
        <v>4</v>
      </c>
      <c r="I432">
        <v>2</v>
      </c>
      <c r="J432">
        <v>0.22</v>
      </c>
      <c r="K432">
        <v>0.21210000000000001</v>
      </c>
      <c r="L432">
        <v>0.51</v>
      </c>
      <c r="M432">
        <v>0.28360000000000002</v>
      </c>
      <c r="N432">
        <v>1</v>
      </c>
      <c r="O432">
        <v>51</v>
      </c>
      <c r="P432">
        <v>52</v>
      </c>
      <c r="Q432" t="s">
        <v>64</v>
      </c>
      <c r="R432" t="s">
        <v>120</v>
      </c>
      <c r="S432" t="s">
        <v>26</v>
      </c>
      <c r="T432" t="s">
        <v>30</v>
      </c>
      <c r="U432" t="s">
        <v>124</v>
      </c>
    </row>
    <row r="433" spans="1:21" x14ac:dyDescent="0.3">
      <c r="A433">
        <v>138</v>
      </c>
      <c r="B433" s="1">
        <v>40549</v>
      </c>
      <c r="C433">
        <v>1</v>
      </c>
      <c r="D433">
        <v>0</v>
      </c>
      <c r="E433">
        <v>1</v>
      </c>
      <c r="F433">
        <v>23</v>
      </c>
      <c r="G433" t="b">
        <v>0</v>
      </c>
      <c r="H433">
        <v>4</v>
      </c>
      <c r="I433">
        <v>2</v>
      </c>
      <c r="J433">
        <v>0.2</v>
      </c>
      <c r="K433">
        <v>0.19700000000000001</v>
      </c>
      <c r="L433">
        <v>0.59</v>
      </c>
      <c r="M433">
        <v>0.19400000000000001</v>
      </c>
      <c r="N433">
        <v>4</v>
      </c>
      <c r="O433">
        <v>19</v>
      </c>
      <c r="P433">
        <v>23</v>
      </c>
      <c r="Q433" t="s">
        <v>64</v>
      </c>
      <c r="R433" t="s">
        <v>120</v>
      </c>
      <c r="S433" t="s">
        <v>26</v>
      </c>
      <c r="T433" t="s">
        <v>30</v>
      </c>
      <c r="U433" t="s">
        <v>124</v>
      </c>
    </row>
    <row r="434" spans="1:21" x14ac:dyDescent="0.3">
      <c r="A434">
        <v>278</v>
      </c>
      <c r="B434" s="1">
        <v>40556</v>
      </c>
      <c r="C434">
        <v>1</v>
      </c>
      <c r="D434">
        <v>0</v>
      </c>
      <c r="E434">
        <v>1</v>
      </c>
      <c r="F434">
        <v>0</v>
      </c>
      <c r="G434" t="b">
        <v>0</v>
      </c>
      <c r="H434">
        <v>4</v>
      </c>
      <c r="I434">
        <v>1</v>
      </c>
      <c r="J434">
        <v>0.14000000000000001</v>
      </c>
      <c r="K434">
        <v>0.1212</v>
      </c>
      <c r="L434">
        <v>0.59</v>
      </c>
      <c r="M434">
        <v>0.28360000000000002</v>
      </c>
      <c r="N434">
        <v>1</v>
      </c>
      <c r="O434">
        <v>6</v>
      </c>
      <c r="P434">
        <v>7</v>
      </c>
      <c r="Q434" t="s">
        <v>62</v>
      </c>
      <c r="R434" t="s">
        <v>120</v>
      </c>
      <c r="S434" t="s">
        <v>26</v>
      </c>
      <c r="T434" t="s">
        <v>30</v>
      </c>
      <c r="U434" t="s">
        <v>123</v>
      </c>
    </row>
    <row r="435" spans="1:21" x14ac:dyDescent="0.3">
      <c r="A435">
        <v>279</v>
      </c>
      <c r="B435" s="1">
        <v>40556</v>
      </c>
      <c r="C435">
        <v>1</v>
      </c>
      <c r="D435">
        <v>0</v>
      </c>
      <c r="E435">
        <v>1</v>
      </c>
      <c r="F435">
        <v>1</v>
      </c>
      <c r="G435" t="b">
        <v>0</v>
      </c>
      <c r="H435">
        <v>4</v>
      </c>
      <c r="I435">
        <v>1</v>
      </c>
      <c r="J435">
        <v>0.14000000000000001</v>
      </c>
      <c r="K435">
        <v>0.1212</v>
      </c>
      <c r="L435">
        <v>0.5</v>
      </c>
      <c r="M435">
        <v>0.28360000000000002</v>
      </c>
      <c r="N435">
        <v>0</v>
      </c>
      <c r="O435">
        <v>2</v>
      </c>
      <c r="P435">
        <v>2</v>
      </c>
      <c r="Q435" t="s">
        <v>62</v>
      </c>
      <c r="R435" t="s">
        <v>120</v>
      </c>
      <c r="S435" t="s">
        <v>26</v>
      </c>
      <c r="T435" t="s">
        <v>30</v>
      </c>
      <c r="U435" t="s">
        <v>123</v>
      </c>
    </row>
    <row r="436" spans="1:21" x14ac:dyDescent="0.3">
      <c r="A436">
        <v>280</v>
      </c>
      <c r="B436" s="1">
        <v>40556</v>
      </c>
      <c r="C436">
        <v>1</v>
      </c>
      <c r="D436">
        <v>0</v>
      </c>
      <c r="E436">
        <v>1</v>
      </c>
      <c r="F436">
        <v>2</v>
      </c>
      <c r="G436" t="b">
        <v>0</v>
      </c>
      <c r="H436">
        <v>4</v>
      </c>
      <c r="I436">
        <v>1</v>
      </c>
      <c r="J436">
        <v>0.14000000000000001</v>
      </c>
      <c r="K436">
        <v>0.1212</v>
      </c>
      <c r="L436">
        <v>0.5</v>
      </c>
      <c r="M436">
        <v>0.35820000000000002</v>
      </c>
      <c r="N436">
        <v>0</v>
      </c>
      <c r="O436">
        <v>2</v>
      </c>
      <c r="P436">
        <v>2</v>
      </c>
      <c r="Q436" t="s">
        <v>62</v>
      </c>
      <c r="R436" t="s">
        <v>120</v>
      </c>
      <c r="S436" t="s">
        <v>26</v>
      </c>
      <c r="T436" t="s">
        <v>30</v>
      </c>
      <c r="U436" t="s">
        <v>123</v>
      </c>
    </row>
    <row r="437" spans="1:21" x14ac:dyDescent="0.3">
      <c r="A437">
        <v>281</v>
      </c>
      <c r="B437" s="1">
        <v>40556</v>
      </c>
      <c r="C437">
        <v>1</v>
      </c>
      <c r="D437">
        <v>0</v>
      </c>
      <c r="E437">
        <v>1</v>
      </c>
      <c r="F437">
        <v>3</v>
      </c>
      <c r="G437" t="b">
        <v>0</v>
      </c>
      <c r="H437">
        <v>4</v>
      </c>
      <c r="I437">
        <v>1</v>
      </c>
      <c r="J437">
        <v>0.14000000000000001</v>
      </c>
      <c r="K437">
        <v>0.1212</v>
      </c>
      <c r="L437">
        <v>0.5</v>
      </c>
      <c r="M437">
        <v>0.32840000000000003</v>
      </c>
      <c r="N437">
        <v>0</v>
      </c>
      <c r="O437">
        <v>3</v>
      </c>
      <c r="P437">
        <v>3</v>
      </c>
      <c r="Q437" t="s">
        <v>62</v>
      </c>
      <c r="R437" t="s">
        <v>120</v>
      </c>
      <c r="S437" t="s">
        <v>26</v>
      </c>
      <c r="T437" t="s">
        <v>30</v>
      </c>
      <c r="U437" t="s">
        <v>123</v>
      </c>
    </row>
    <row r="438" spans="1:21" x14ac:dyDescent="0.3">
      <c r="A438">
        <v>282</v>
      </c>
      <c r="B438" s="1">
        <v>40556</v>
      </c>
      <c r="C438">
        <v>1</v>
      </c>
      <c r="D438">
        <v>0</v>
      </c>
      <c r="E438">
        <v>1</v>
      </c>
      <c r="F438">
        <v>4</v>
      </c>
      <c r="G438" t="b">
        <v>0</v>
      </c>
      <c r="H438">
        <v>4</v>
      </c>
      <c r="I438">
        <v>1</v>
      </c>
      <c r="J438">
        <v>0.14000000000000001</v>
      </c>
      <c r="K438">
        <v>0.1212</v>
      </c>
      <c r="L438">
        <v>0.5</v>
      </c>
      <c r="M438">
        <v>0.25369999999999998</v>
      </c>
      <c r="N438">
        <v>0</v>
      </c>
      <c r="O438">
        <v>4</v>
      </c>
      <c r="P438">
        <v>4</v>
      </c>
      <c r="Q438" t="s">
        <v>62</v>
      </c>
      <c r="R438" t="s">
        <v>120</v>
      </c>
      <c r="S438" t="s">
        <v>26</v>
      </c>
      <c r="T438" t="s">
        <v>30</v>
      </c>
      <c r="U438" t="s">
        <v>123</v>
      </c>
    </row>
    <row r="439" spans="1:21" x14ac:dyDescent="0.3">
      <c r="A439">
        <v>283</v>
      </c>
      <c r="B439" s="1">
        <v>40556</v>
      </c>
      <c r="C439">
        <v>1</v>
      </c>
      <c r="D439">
        <v>0</v>
      </c>
      <c r="E439">
        <v>1</v>
      </c>
      <c r="F439">
        <v>5</v>
      </c>
      <c r="G439" t="b">
        <v>0</v>
      </c>
      <c r="H439">
        <v>4</v>
      </c>
      <c r="I439">
        <v>1</v>
      </c>
      <c r="J439">
        <v>0.14000000000000001</v>
      </c>
      <c r="K439">
        <v>0.1212</v>
      </c>
      <c r="L439">
        <v>0.5</v>
      </c>
      <c r="M439">
        <v>0.29849999999999999</v>
      </c>
      <c r="N439">
        <v>0</v>
      </c>
      <c r="O439">
        <v>3</v>
      </c>
      <c r="P439">
        <v>3</v>
      </c>
      <c r="Q439" t="s">
        <v>62</v>
      </c>
      <c r="R439" t="s">
        <v>120</v>
      </c>
      <c r="S439" t="s">
        <v>26</v>
      </c>
      <c r="T439" t="s">
        <v>30</v>
      </c>
      <c r="U439" t="s">
        <v>123</v>
      </c>
    </row>
    <row r="440" spans="1:21" x14ac:dyDescent="0.3">
      <c r="A440">
        <v>284</v>
      </c>
      <c r="B440" s="1">
        <v>40556</v>
      </c>
      <c r="C440">
        <v>1</v>
      </c>
      <c r="D440">
        <v>0</v>
      </c>
      <c r="E440">
        <v>1</v>
      </c>
      <c r="F440">
        <v>6</v>
      </c>
      <c r="G440" t="b">
        <v>0</v>
      </c>
      <c r="H440">
        <v>4</v>
      </c>
      <c r="I440">
        <v>1</v>
      </c>
      <c r="J440">
        <v>0.12</v>
      </c>
      <c r="K440">
        <v>0.1515</v>
      </c>
      <c r="L440">
        <v>0.54</v>
      </c>
      <c r="M440">
        <v>0.1343</v>
      </c>
      <c r="N440">
        <v>0</v>
      </c>
      <c r="O440">
        <v>28</v>
      </c>
      <c r="P440">
        <v>28</v>
      </c>
      <c r="Q440" t="s">
        <v>62</v>
      </c>
      <c r="R440" t="s">
        <v>120</v>
      </c>
      <c r="S440" t="s">
        <v>26</v>
      </c>
      <c r="T440" t="s">
        <v>30</v>
      </c>
      <c r="U440" t="s">
        <v>123</v>
      </c>
    </row>
    <row r="441" spans="1:21" x14ac:dyDescent="0.3">
      <c r="A441">
        <v>285</v>
      </c>
      <c r="B441" s="1">
        <v>40556</v>
      </c>
      <c r="C441">
        <v>1</v>
      </c>
      <c r="D441">
        <v>0</v>
      </c>
      <c r="E441">
        <v>1</v>
      </c>
      <c r="F441">
        <v>7</v>
      </c>
      <c r="G441" t="b">
        <v>0</v>
      </c>
      <c r="H441">
        <v>4</v>
      </c>
      <c r="I441">
        <v>1</v>
      </c>
      <c r="J441">
        <v>0.12</v>
      </c>
      <c r="K441">
        <v>0.1515</v>
      </c>
      <c r="L441">
        <v>0.54</v>
      </c>
      <c r="M441">
        <v>0.1343</v>
      </c>
      <c r="N441">
        <v>0</v>
      </c>
      <c r="O441">
        <v>72</v>
      </c>
      <c r="P441">
        <v>72</v>
      </c>
      <c r="Q441" t="s">
        <v>62</v>
      </c>
      <c r="R441" t="s">
        <v>120</v>
      </c>
      <c r="S441" t="s">
        <v>26</v>
      </c>
      <c r="T441" t="s">
        <v>30</v>
      </c>
      <c r="U441" t="s">
        <v>123</v>
      </c>
    </row>
    <row r="442" spans="1:21" x14ac:dyDescent="0.3">
      <c r="A442">
        <v>286</v>
      </c>
      <c r="B442" s="1">
        <v>40556</v>
      </c>
      <c r="C442">
        <v>1</v>
      </c>
      <c r="D442">
        <v>0</v>
      </c>
      <c r="E442">
        <v>1</v>
      </c>
      <c r="F442">
        <v>8</v>
      </c>
      <c r="G442" t="b">
        <v>0</v>
      </c>
      <c r="H442">
        <v>4</v>
      </c>
      <c r="I442">
        <v>1</v>
      </c>
      <c r="J442">
        <v>0.14000000000000001</v>
      </c>
      <c r="K442">
        <v>0.13639999999999999</v>
      </c>
      <c r="L442">
        <v>0.5</v>
      </c>
      <c r="M442">
        <v>0.19400000000000001</v>
      </c>
      <c r="N442">
        <v>5</v>
      </c>
      <c r="O442">
        <v>197</v>
      </c>
      <c r="P442">
        <v>202</v>
      </c>
      <c r="Q442" t="s">
        <v>62</v>
      </c>
      <c r="R442" t="s">
        <v>120</v>
      </c>
      <c r="S442" t="s">
        <v>26</v>
      </c>
      <c r="T442" t="s">
        <v>30</v>
      </c>
      <c r="U442" t="s">
        <v>123</v>
      </c>
    </row>
    <row r="443" spans="1:21" x14ac:dyDescent="0.3">
      <c r="A443">
        <v>287</v>
      </c>
      <c r="B443" s="1">
        <v>40556</v>
      </c>
      <c r="C443">
        <v>1</v>
      </c>
      <c r="D443">
        <v>0</v>
      </c>
      <c r="E443">
        <v>1</v>
      </c>
      <c r="F443">
        <v>9</v>
      </c>
      <c r="G443" t="b">
        <v>0</v>
      </c>
      <c r="H443">
        <v>4</v>
      </c>
      <c r="I443">
        <v>1</v>
      </c>
      <c r="J443">
        <v>0.14000000000000001</v>
      </c>
      <c r="K443">
        <v>0.1212</v>
      </c>
      <c r="L443">
        <v>0.5</v>
      </c>
      <c r="M443">
        <v>0.32840000000000003</v>
      </c>
      <c r="N443">
        <v>2</v>
      </c>
      <c r="O443">
        <v>137</v>
      </c>
      <c r="P443">
        <v>139</v>
      </c>
      <c r="Q443" t="s">
        <v>62</v>
      </c>
      <c r="R443" t="s">
        <v>120</v>
      </c>
      <c r="S443" t="s">
        <v>26</v>
      </c>
      <c r="T443" t="s">
        <v>30</v>
      </c>
      <c r="U443" t="s">
        <v>123</v>
      </c>
    </row>
    <row r="444" spans="1:21" x14ac:dyDescent="0.3">
      <c r="A444">
        <v>288</v>
      </c>
      <c r="B444" s="1">
        <v>40556</v>
      </c>
      <c r="C444">
        <v>1</v>
      </c>
      <c r="D444">
        <v>0</v>
      </c>
      <c r="E444">
        <v>1</v>
      </c>
      <c r="F444">
        <v>10</v>
      </c>
      <c r="G444" t="b">
        <v>0</v>
      </c>
      <c r="H444">
        <v>4</v>
      </c>
      <c r="I444">
        <v>2</v>
      </c>
      <c r="J444">
        <v>0.16</v>
      </c>
      <c r="K444">
        <v>0.13639999999999999</v>
      </c>
      <c r="L444">
        <v>0.5</v>
      </c>
      <c r="M444">
        <v>0.35820000000000002</v>
      </c>
      <c r="N444">
        <v>2</v>
      </c>
      <c r="O444">
        <v>36</v>
      </c>
      <c r="P444">
        <v>38</v>
      </c>
      <c r="Q444" t="s">
        <v>64</v>
      </c>
      <c r="R444" t="s">
        <v>120</v>
      </c>
      <c r="S444" t="s">
        <v>26</v>
      </c>
      <c r="T444" t="s">
        <v>30</v>
      </c>
      <c r="U444" t="s">
        <v>124</v>
      </c>
    </row>
    <row r="445" spans="1:21" x14ac:dyDescent="0.3">
      <c r="A445">
        <v>289</v>
      </c>
      <c r="B445" s="1">
        <v>40556</v>
      </c>
      <c r="C445">
        <v>1</v>
      </c>
      <c r="D445">
        <v>0</v>
      </c>
      <c r="E445">
        <v>1</v>
      </c>
      <c r="F445">
        <v>11</v>
      </c>
      <c r="G445" t="b">
        <v>0</v>
      </c>
      <c r="H445">
        <v>4</v>
      </c>
      <c r="I445">
        <v>2</v>
      </c>
      <c r="J445">
        <v>0.2</v>
      </c>
      <c r="K445">
        <v>0.16669999999999999</v>
      </c>
      <c r="L445">
        <v>0.44</v>
      </c>
      <c r="M445">
        <v>0.44779999999999998</v>
      </c>
      <c r="N445">
        <v>4</v>
      </c>
      <c r="O445">
        <v>33</v>
      </c>
      <c r="P445">
        <v>37</v>
      </c>
      <c r="Q445" t="s">
        <v>64</v>
      </c>
      <c r="R445" t="s">
        <v>120</v>
      </c>
      <c r="S445" t="s">
        <v>26</v>
      </c>
      <c r="T445" t="s">
        <v>30</v>
      </c>
      <c r="U445" t="s">
        <v>124</v>
      </c>
    </row>
    <row r="446" spans="1:21" x14ac:dyDescent="0.3">
      <c r="A446">
        <v>290</v>
      </c>
      <c r="B446" s="1">
        <v>40556</v>
      </c>
      <c r="C446">
        <v>1</v>
      </c>
      <c r="D446">
        <v>0</v>
      </c>
      <c r="E446">
        <v>1</v>
      </c>
      <c r="F446">
        <v>12</v>
      </c>
      <c r="G446" t="b">
        <v>0</v>
      </c>
      <c r="H446">
        <v>4</v>
      </c>
      <c r="I446">
        <v>1</v>
      </c>
      <c r="J446">
        <v>0.2</v>
      </c>
      <c r="K446">
        <v>0.16669999999999999</v>
      </c>
      <c r="L446">
        <v>0.44</v>
      </c>
      <c r="M446">
        <v>0.41789999999999999</v>
      </c>
      <c r="N446">
        <v>3</v>
      </c>
      <c r="O446">
        <v>49</v>
      </c>
      <c r="P446">
        <v>52</v>
      </c>
      <c r="Q446" t="s">
        <v>62</v>
      </c>
      <c r="R446" t="s">
        <v>120</v>
      </c>
      <c r="S446" t="s">
        <v>26</v>
      </c>
      <c r="T446" t="s">
        <v>30</v>
      </c>
      <c r="U446" t="s">
        <v>123</v>
      </c>
    </row>
    <row r="447" spans="1:21" x14ac:dyDescent="0.3">
      <c r="A447">
        <v>291</v>
      </c>
      <c r="B447" s="1">
        <v>40556</v>
      </c>
      <c r="C447">
        <v>1</v>
      </c>
      <c r="D447">
        <v>0</v>
      </c>
      <c r="E447">
        <v>1</v>
      </c>
      <c r="F447">
        <v>13</v>
      </c>
      <c r="G447" t="b">
        <v>0</v>
      </c>
      <c r="H447">
        <v>4</v>
      </c>
      <c r="I447">
        <v>1</v>
      </c>
      <c r="J447">
        <v>0.22</v>
      </c>
      <c r="K447">
        <v>0.19700000000000001</v>
      </c>
      <c r="L447">
        <v>0.41</v>
      </c>
      <c r="M447">
        <v>0.44779999999999998</v>
      </c>
      <c r="N447">
        <v>2</v>
      </c>
      <c r="O447">
        <v>81</v>
      </c>
      <c r="P447">
        <v>83</v>
      </c>
      <c r="Q447" t="s">
        <v>62</v>
      </c>
      <c r="R447" t="s">
        <v>120</v>
      </c>
      <c r="S447" t="s">
        <v>26</v>
      </c>
      <c r="T447" t="s">
        <v>30</v>
      </c>
      <c r="U447" t="s">
        <v>123</v>
      </c>
    </row>
    <row r="448" spans="1:21" x14ac:dyDescent="0.3">
      <c r="A448">
        <v>292</v>
      </c>
      <c r="B448" s="1">
        <v>40556</v>
      </c>
      <c r="C448">
        <v>1</v>
      </c>
      <c r="D448">
        <v>0</v>
      </c>
      <c r="E448">
        <v>1</v>
      </c>
      <c r="F448">
        <v>14</v>
      </c>
      <c r="G448" t="b">
        <v>0</v>
      </c>
      <c r="H448">
        <v>4</v>
      </c>
      <c r="I448">
        <v>1</v>
      </c>
      <c r="J448">
        <v>0.22</v>
      </c>
      <c r="K448">
        <v>0.19700000000000001</v>
      </c>
      <c r="L448">
        <v>0.41</v>
      </c>
      <c r="M448">
        <v>0.3881</v>
      </c>
      <c r="N448">
        <v>3</v>
      </c>
      <c r="O448">
        <v>39</v>
      </c>
      <c r="P448">
        <v>42</v>
      </c>
      <c r="Q448" t="s">
        <v>62</v>
      </c>
      <c r="R448" t="s">
        <v>120</v>
      </c>
      <c r="S448" t="s">
        <v>26</v>
      </c>
      <c r="T448" t="s">
        <v>30</v>
      </c>
      <c r="U448" t="s">
        <v>123</v>
      </c>
    </row>
    <row r="449" spans="1:21" x14ac:dyDescent="0.3">
      <c r="A449">
        <v>293</v>
      </c>
      <c r="B449" s="1">
        <v>40556</v>
      </c>
      <c r="C449">
        <v>1</v>
      </c>
      <c r="D449">
        <v>0</v>
      </c>
      <c r="E449">
        <v>1</v>
      </c>
      <c r="F449">
        <v>15</v>
      </c>
      <c r="G449" t="b">
        <v>0</v>
      </c>
      <c r="H449">
        <v>4</v>
      </c>
      <c r="I449">
        <v>1</v>
      </c>
      <c r="J449">
        <v>0.24</v>
      </c>
      <c r="K449">
        <v>0.21210000000000001</v>
      </c>
      <c r="L449">
        <v>0.38</v>
      </c>
      <c r="M449">
        <v>0.29849999999999999</v>
      </c>
      <c r="N449">
        <v>5</v>
      </c>
      <c r="O449">
        <v>55</v>
      </c>
      <c r="P449">
        <v>60</v>
      </c>
      <c r="Q449" t="s">
        <v>62</v>
      </c>
      <c r="R449" t="s">
        <v>120</v>
      </c>
      <c r="S449" t="s">
        <v>26</v>
      </c>
      <c r="T449" t="s">
        <v>30</v>
      </c>
      <c r="U449" t="s">
        <v>123</v>
      </c>
    </row>
    <row r="450" spans="1:21" x14ac:dyDescent="0.3">
      <c r="A450">
        <v>294</v>
      </c>
      <c r="B450" s="1">
        <v>40556</v>
      </c>
      <c r="C450">
        <v>1</v>
      </c>
      <c r="D450">
        <v>0</v>
      </c>
      <c r="E450">
        <v>1</v>
      </c>
      <c r="F450">
        <v>16</v>
      </c>
      <c r="G450" t="b">
        <v>0</v>
      </c>
      <c r="H450">
        <v>4</v>
      </c>
      <c r="I450">
        <v>1</v>
      </c>
      <c r="J450">
        <v>0.24</v>
      </c>
      <c r="K450">
        <v>0.21210000000000001</v>
      </c>
      <c r="L450">
        <v>0.38</v>
      </c>
      <c r="M450">
        <v>0.35820000000000002</v>
      </c>
      <c r="N450">
        <v>2</v>
      </c>
      <c r="O450">
        <v>76</v>
      </c>
      <c r="P450">
        <v>78</v>
      </c>
      <c r="Q450" t="s">
        <v>62</v>
      </c>
      <c r="R450" t="s">
        <v>120</v>
      </c>
      <c r="S450" t="s">
        <v>26</v>
      </c>
      <c r="T450" t="s">
        <v>30</v>
      </c>
      <c r="U450" t="s">
        <v>123</v>
      </c>
    </row>
    <row r="451" spans="1:21" x14ac:dyDescent="0.3">
      <c r="A451">
        <v>295</v>
      </c>
      <c r="B451" s="1">
        <v>40556</v>
      </c>
      <c r="C451">
        <v>1</v>
      </c>
      <c r="D451">
        <v>0</v>
      </c>
      <c r="E451">
        <v>1</v>
      </c>
      <c r="F451">
        <v>17</v>
      </c>
      <c r="G451" t="b">
        <v>0</v>
      </c>
      <c r="H451">
        <v>4</v>
      </c>
      <c r="I451">
        <v>1</v>
      </c>
      <c r="J451">
        <v>0.2</v>
      </c>
      <c r="K451">
        <v>0.18179999999999999</v>
      </c>
      <c r="L451">
        <v>0.4</v>
      </c>
      <c r="M451">
        <v>0.28360000000000002</v>
      </c>
      <c r="N451">
        <v>4</v>
      </c>
      <c r="O451">
        <v>158</v>
      </c>
      <c r="P451">
        <v>162</v>
      </c>
      <c r="Q451" t="s">
        <v>62</v>
      </c>
      <c r="R451" t="s">
        <v>120</v>
      </c>
      <c r="S451" t="s">
        <v>26</v>
      </c>
      <c r="T451" t="s">
        <v>30</v>
      </c>
      <c r="U451" t="s">
        <v>123</v>
      </c>
    </row>
    <row r="452" spans="1:21" x14ac:dyDescent="0.3">
      <c r="A452">
        <v>296</v>
      </c>
      <c r="B452" s="1">
        <v>40556</v>
      </c>
      <c r="C452">
        <v>1</v>
      </c>
      <c r="D452">
        <v>0</v>
      </c>
      <c r="E452">
        <v>1</v>
      </c>
      <c r="F452">
        <v>18</v>
      </c>
      <c r="G452" t="b">
        <v>0</v>
      </c>
      <c r="H452">
        <v>4</v>
      </c>
      <c r="I452">
        <v>1</v>
      </c>
      <c r="J452">
        <v>0.2</v>
      </c>
      <c r="K452">
        <v>0.18179999999999999</v>
      </c>
      <c r="L452">
        <v>0.4</v>
      </c>
      <c r="M452">
        <v>0.32840000000000003</v>
      </c>
      <c r="N452">
        <v>3</v>
      </c>
      <c r="O452">
        <v>141</v>
      </c>
      <c r="P452">
        <v>144</v>
      </c>
      <c r="Q452" t="s">
        <v>62</v>
      </c>
      <c r="R452" t="s">
        <v>120</v>
      </c>
      <c r="S452" t="s">
        <v>26</v>
      </c>
      <c r="T452" t="s">
        <v>30</v>
      </c>
      <c r="U452" t="s">
        <v>123</v>
      </c>
    </row>
    <row r="453" spans="1:21" x14ac:dyDescent="0.3">
      <c r="A453">
        <v>297</v>
      </c>
      <c r="B453" s="1">
        <v>40556</v>
      </c>
      <c r="C453">
        <v>1</v>
      </c>
      <c r="D453">
        <v>0</v>
      </c>
      <c r="E453">
        <v>1</v>
      </c>
      <c r="F453">
        <v>19</v>
      </c>
      <c r="G453" t="b">
        <v>0</v>
      </c>
      <c r="H453">
        <v>4</v>
      </c>
      <c r="I453">
        <v>1</v>
      </c>
      <c r="J453">
        <v>0.16</v>
      </c>
      <c r="K453">
        <v>0.1515</v>
      </c>
      <c r="L453">
        <v>0.47</v>
      </c>
      <c r="M453">
        <v>0.25369999999999998</v>
      </c>
      <c r="N453">
        <v>1</v>
      </c>
      <c r="O453">
        <v>98</v>
      </c>
      <c r="P453">
        <v>99</v>
      </c>
      <c r="Q453" t="s">
        <v>62</v>
      </c>
      <c r="R453" t="s">
        <v>120</v>
      </c>
      <c r="S453" t="s">
        <v>26</v>
      </c>
      <c r="T453" t="s">
        <v>30</v>
      </c>
      <c r="U453" t="s">
        <v>123</v>
      </c>
    </row>
    <row r="454" spans="1:21" x14ac:dyDescent="0.3">
      <c r="A454">
        <v>298</v>
      </c>
      <c r="B454" s="1">
        <v>40556</v>
      </c>
      <c r="C454">
        <v>1</v>
      </c>
      <c r="D454">
        <v>0</v>
      </c>
      <c r="E454">
        <v>1</v>
      </c>
      <c r="F454">
        <v>20</v>
      </c>
      <c r="G454" t="b">
        <v>0</v>
      </c>
      <c r="H454">
        <v>4</v>
      </c>
      <c r="I454">
        <v>1</v>
      </c>
      <c r="J454">
        <v>0.16</v>
      </c>
      <c r="K454">
        <v>0.1515</v>
      </c>
      <c r="L454">
        <v>0.47</v>
      </c>
      <c r="M454">
        <v>0.22389999999999999</v>
      </c>
      <c r="N454">
        <v>0</v>
      </c>
      <c r="O454">
        <v>64</v>
      </c>
      <c r="P454">
        <v>64</v>
      </c>
      <c r="Q454" t="s">
        <v>62</v>
      </c>
      <c r="R454" t="s">
        <v>120</v>
      </c>
      <c r="S454" t="s">
        <v>26</v>
      </c>
      <c r="T454" t="s">
        <v>30</v>
      </c>
      <c r="U454" t="s">
        <v>123</v>
      </c>
    </row>
    <row r="455" spans="1:21" x14ac:dyDescent="0.3">
      <c r="A455">
        <v>299</v>
      </c>
      <c r="B455" s="1">
        <v>40556</v>
      </c>
      <c r="C455">
        <v>1</v>
      </c>
      <c r="D455">
        <v>0</v>
      </c>
      <c r="E455">
        <v>1</v>
      </c>
      <c r="F455">
        <v>21</v>
      </c>
      <c r="G455" t="b">
        <v>0</v>
      </c>
      <c r="H455">
        <v>4</v>
      </c>
      <c r="I455">
        <v>1</v>
      </c>
      <c r="J455">
        <v>0.14000000000000001</v>
      </c>
      <c r="K455">
        <v>0.1212</v>
      </c>
      <c r="L455">
        <v>0.46</v>
      </c>
      <c r="M455">
        <v>0.29849999999999999</v>
      </c>
      <c r="N455">
        <v>0</v>
      </c>
      <c r="O455">
        <v>40</v>
      </c>
      <c r="P455">
        <v>40</v>
      </c>
      <c r="Q455" t="s">
        <v>62</v>
      </c>
      <c r="R455" t="s">
        <v>120</v>
      </c>
      <c r="S455" t="s">
        <v>26</v>
      </c>
      <c r="T455" t="s">
        <v>30</v>
      </c>
      <c r="U455" t="s">
        <v>123</v>
      </c>
    </row>
    <row r="456" spans="1:21" x14ac:dyDescent="0.3">
      <c r="A456">
        <v>300</v>
      </c>
      <c r="B456" s="1">
        <v>40556</v>
      </c>
      <c r="C456">
        <v>1</v>
      </c>
      <c r="D456">
        <v>0</v>
      </c>
      <c r="E456">
        <v>1</v>
      </c>
      <c r="F456">
        <v>22</v>
      </c>
      <c r="G456" t="b">
        <v>0</v>
      </c>
      <c r="H456">
        <v>4</v>
      </c>
      <c r="I456">
        <v>1</v>
      </c>
      <c r="J456">
        <v>0.14000000000000001</v>
      </c>
      <c r="K456">
        <v>0.1212</v>
      </c>
      <c r="L456">
        <v>0.46</v>
      </c>
      <c r="M456">
        <v>0.32840000000000003</v>
      </c>
      <c r="N456">
        <v>0</v>
      </c>
      <c r="O456">
        <v>30</v>
      </c>
      <c r="P456">
        <v>30</v>
      </c>
      <c r="Q456" t="s">
        <v>62</v>
      </c>
      <c r="R456" t="s">
        <v>120</v>
      </c>
      <c r="S456" t="s">
        <v>26</v>
      </c>
      <c r="T456" t="s">
        <v>30</v>
      </c>
      <c r="U456" t="s">
        <v>123</v>
      </c>
    </row>
    <row r="457" spans="1:21" x14ac:dyDescent="0.3">
      <c r="A457">
        <v>301</v>
      </c>
      <c r="B457" s="1">
        <v>40556</v>
      </c>
      <c r="C457">
        <v>1</v>
      </c>
      <c r="D457">
        <v>0</v>
      </c>
      <c r="E457">
        <v>1</v>
      </c>
      <c r="F457">
        <v>23</v>
      </c>
      <c r="G457" t="b">
        <v>0</v>
      </c>
      <c r="H457">
        <v>4</v>
      </c>
      <c r="I457">
        <v>1</v>
      </c>
      <c r="J457">
        <v>0.12</v>
      </c>
      <c r="K457">
        <v>0.13639999999999999</v>
      </c>
      <c r="L457">
        <v>0.5</v>
      </c>
      <c r="M457">
        <v>0.19400000000000001</v>
      </c>
      <c r="N457">
        <v>1</v>
      </c>
      <c r="O457">
        <v>14</v>
      </c>
      <c r="P457">
        <v>15</v>
      </c>
      <c r="Q457" t="s">
        <v>62</v>
      </c>
      <c r="R457" t="s">
        <v>120</v>
      </c>
      <c r="S457" t="s">
        <v>26</v>
      </c>
      <c r="T457" t="s">
        <v>30</v>
      </c>
      <c r="U457" t="s">
        <v>123</v>
      </c>
    </row>
    <row r="458" spans="1:21" x14ac:dyDescent="0.3">
      <c r="A458">
        <v>432</v>
      </c>
      <c r="B458" s="1">
        <v>40563</v>
      </c>
      <c r="C458">
        <v>1</v>
      </c>
      <c r="D458">
        <v>0</v>
      </c>
      <c r="E458">
        <v>1</v>
      </c>
      <c r="F458">
        <v>0</v>
      </c>
      <c r="G458" t="b">
        <v>0</v>
      </c>
      <c r="H458">
        <v>4</v>
      </c>
      <c r="I458">
        <v>1</v>
      </c>
      <c r="J458">
        <v>0.26</v>
      </c>
      <c r="K458">
        <v>0.2273</v>
      </c>
      <c r="L458">
        <v>0.56000000000000005</v>
      </c>
      <c r="M458">
        <v>0.3881</v>
      </c>
      <c r="N458">
        <v>5</v>
      </c>
      <c r="O458">
        <v>8</v>
      </c>
      <c r="P458">
        <v>13</v>
      </c>
      <c r="Q458" t="s">
        <v>62</v>
      </c>
      <c r="R458" t="s">
        <v>120</v>
      </c>
      <c r="S458" t="s">
        <v>26</v>
      </c>
      <c r="T458" t="s">
        <v>30</v>
      </c>
      <c r="U458" t="s">
        <v>123</v>
      </c>
    </row>
    <row r="459" spans="1:21" x14ac:dyDescent="0.3">
      <c r="A459">
        <v>433</v>
      </c>
      <c r="B459" s="1">
        <v>40563</v>
      </c>
      <c r="C459">
        <v>1</v>
      </c>
      <c r="D459">
        <v>0</v>
      </c>
      <c r="E459">
        <v>1</v>
      </c>
      <c r="F459">
        <v>1</v>
      </c>
      <c r="G459" t="b">
        <v>0</v>
      </c>
      <c r="H459">
        <v>4</v>
      </c>
      <c r="I459">
        <v>1</v>
      </c>
      <c r="J459">
        <v>0.26</v>
      </c>
      <c r="K459">
        <v>0.2727</v>
      </c>
      <c r="L459">
        <v>0.56000000000000005</v>
      </c>
      <c r="M459">
        <v>0</v>
      </c>
      <c r="N459">
        <v>2</v>
      </c>
      <c r="O459">
        <v>3</v>
      </c>
      <c r="P459">
        <v>5</v>
      </c>
      <c r="Q459" t="s">
        <v>62</v>
      </c>
      <c r="R459" t="s">
        <v>120</v>
      </c>
      <c r="S459" t="s">
        <v>26</v>
      </c>
      <c r="T459" t="s">
        <v>30</v>
      </c>
      <c r="U459" t="s">
        <v>123</v>
      </c>
    </row>
    <row r="460" spans="1:21" x14ac:dyDescent="0.3">
      <c r="A460">
        <v>434</v>
      </c>
      <c r="B460" s="1">
        <v>40563</v>
      </c>
      <c r="C460">
        <v>1</v>
      </c>
      <c r="D460">
        <v>0</v>
      </c>
      <c r="E460">
        <v>1</v>
      </c>
      <c r="F460">
        <v>2</v>
      </c>
      <c r="G460" t="b">
        <v>0</v>
      </c>
      <c r="H460">
        <v>4</v>
      </c>
      <c r="I460">
        <v>1</v>
      </c>
      <c r="J460">
        <v>0.26</v>
      </c>
      <c r="K460">
        <v>0.2727</v>
      </c>
      <c r="L460">
        <v>0.56000000000000005</v>
      </c>
      <c r="M460">
        <v>0</v>
      </c>
      <c r="N460">
        <v>0</v>
      </c>
      <c r="O460">
        <v>2</v>
      </c>
      <c r="P460">
        <v>2</v>
      </c>
      <c r="Q460" t="s">
        <v>62</v>
      </c>
      <c r="R460" t="s">
        <v>120</v>
      </c>
      <c r="S460" t="s">
        <v>26</v>
      </c>
      <c r="T460" t="s">
        <v>30</v>
      </c>
      <c r="U460" t="s">
        <v>123</v>
      </c>
    </row>
    <row r="461" spans="1:21" x14ac:dyDescent="0.3">
      <c r="A461">
        <v>435</v>
      </c>
      <c r="B461" s="1">
        <v>40563</v>
      </c>
      <c r="C461">
        <v>1</v>
      </c>
      <c r="D461">
        <v>0</v>
      </c>
      <c r="E461">
        <v>1</v>
      </c>
      <c r="F461">
        <v>3</v>
      </c>
      <c r="G461" t="b">
        <v>0</v>
      </c>
      <c r="H461">
        <v>4</v>
      </c>
      <c r="I461">
        <v>1</v>
      </c>
      <c r="J461">
        <v>0.26</v>
      </c>
      <c r="K461">
        <v>0.2576</v>
      </c>
      <c r="L461">
        <v>0.56000000000000005</v>
      </c>
      <c r="M461">
        <v>0.16420000000000001</v>
      </c>
      <c r="N461">
        <v>0</v>
      </c>
      <c r="O461">
        <v>1</v>
      </c>
      <c r="P461">
        <v>1</v>
      </c>
      <c r="Q461" t="s">
        <v>62</v>
      </c>
      <c r="R461" t="s">
        <v>120</v>
      </c>
      <c r="S461" t="s">
        <v>26</v>
      </c>
      <c r="T461" t="s">
        <v>30</v>
      </c>
      <c r="U461" t="s">
        <v>123</v>
      </c>
    </row>
    <row r="462" spans="1:21" x14ac:dyDescent="0.3">
      <c r="A462">
        <v>436</v>
      </c>
      <c r="B462" s="1">
        <v>40563</v>
      </c>
      <c r="C462">
        <v>1</v>
      </c>
      <c r="D462">
        <v>0</v>
      </c>
      <c r="E462">
        <v>1</v>
      </c>
      <c r="F462">
        <v>4</v>
      </c>
      <c r="G462" t="b">
        <v>0</v>
      </c>
      <c r="H462">
        <v>4</v>
      </c>
      <c r="I462">
        <v>1</v>
      </c>
      <c r="J462">
        <v>0.26</v>
      </c>
      <c r="K462">
        <v>0.2576</v>
      </c>
      <c r="L462">
        <v>0.56000000000000005</v>
      </c>
      <c r="M462">
        <v>0.16420000000000001</v>
      </c>
      <c r="N462">
        <v>0</v>
      </c>
      <c r="O462">
        <v>1</v>
      </c>
      <c r="P462">
        <v>1</v>
      </c>
      <c r="Q462" t="s">
        <v>62</v>
      </c>
      <c r="R462" t="s">
        <v>120</v>
      </c>
      <c r="S462" t="s">
        <v>26</v>
      </c>
      <c r="T462" t="s">
        <v>30</v>
      </c>
      <c r="U462" t="s">
        <v>123</v>
      </c>
    </row>
    <row r="463" spans="1:21" x14ac:dyDescent="0.3">
      <c r="A463">
        <v>437</v>
      </c>
      <c r="B463" s="1">
        <v>40563</v>
      </c>
      <c r="C463">
        <v>1</v>
      </c>
      <c r="D463">
        <v>0</v>
      </c>
      <c r="E463">
        <v>1</v>
      </c>
      <c r="F463">
        <v>5</v>
      </c>
      <c r="G463" t="b">
        <v>0</v>
      </c>
      <c r="H463">
        <v>4</v>
      </c>
      <c r="I463">
        <v>1</v>
      </c>
      <c r="J463">
        <v>0.24</v>
      </c>
      <c r="K463">
        <v>0.2273</v>
      </c>
      <c r="L463">
        <v>0.6</v>
      </c>
      <c r="M463">
        <v>0.22389999999999999</v>
      </c>
      <c r="N463">
        <v>0</v>
      </c>
      <c r="O463">
        <v>6</v>
      </c>
      <c r="P463">
        <v>6</v>
      </c>
      <c r="Q463" t="s">
        <v>62</v>
      </c>
      <c r="R463" t="s">
        <v>120</v>
      </c>
      <c r="S463" t="s">
        <v>26</v>
      </c>
      <c r="T463" t="s">
        <v>30</v>
      </c>
      <c r="U463" t="s">
        <v>123</v>
      </c>
    </row>
    <row r="464" spans="1:21" x14ac:dyDescent="0.3">
      <c r="A464">
        <v>438</v>
      </c>
      <c r="B464" s="1">
        <v>40563</v>
      </c>
      <c r="C464">
        <v>1</v>
      </c>
      <c r="D464">
        <v>0</v>
      </c>
      <c r="E464">
        <v>1</v>
      </c>
      <c r="F464">
        <v>6</v>
      </c>
      <c r="G464" t="b">
        <v>0</v>
      </c>
      <c r="H464">
        <v>4</v>
      </c>
      <c r="I464">
        <v>1</v>
      </c>
      <c r="J464">
        <v>0.22</v>
      </c>
      <c r="K464">
        <v>0.21210000000000001</v>
      </c>
      <c r="L464">
        <v>0.6</v>
      </c>
      <c r="M464">
        <v>0.22389999999999999</v>
      </c>
      <c r="N464">
        <v>0</v>
      </c>
      <c r="O464">
        <v>35</v>
      </c>
      <c r="P464">
        <v>35</v>
      </c>
      <c r="Q464" t="s">
        <v>62</v>
      </c>
      <c r="R464" t="s">
        <v>120</v>
      </c>
      <c r="S464" t="s">
        <v>26</v>
      </c>
      <c r="T464" t="s">
        <v>30</v>
      </c>
      <c r="U464" t="s">
        <v>123</v>
      </c>
    </row>
    <row r="465" spans="1:21" x14ac:dyDescent="0.3">
      <c r="A465">
        <v>439</v>
      </c>
      <c r="B465" s="1">
        <v>40563</v>
      </c>
      <c r="C465">
        <v>1</v>
      </c>
      <c r="D465">
        <v>0</v>
      </c>
      <c r="E465">
        <v>1</v>
      </c>
      <c r="F465">
        <v>7</v>
      </c>
      <c r="G465" t="b">
        <v>0</v>
      </c>
      <c r="H465">
        <v>4</v>
      </c>
      <c r="I465">
        <v>1</v>
      </c>
      <c r="J465">
        <v>0.22</v>
      </c>
      <c r="K465">
        <v>0.21210000000000001</v>
      </c>
      <c r="L465">
        <v>0.55000000000000004</v>
      </c>
      <c r="M465">
        <v>0.22389999999999999</v>
      </c>
      <c r="N465">
        <v>1</v>
      </c>
      <c r="O465">
        <v>100</v>
      </c>
      <c r="P465">
        <v>101</v>
      </c>
      <c r="Q465" t="s">
        <v>62</v>
      </c>
      <c r="R465" t="s">
        <v>120</v>
      </c>
      <c r="S465" t="s">
        <v>26</v>
      </c>
      <c r="T465" t="s">
        <v>30</v>
      </c>
      <c r="U465" t="s">
        <v>123</v>
      </c>
    </row>
    <row r="466" spans="1:21" x14ac:dyDescent="0.3">
      <c r="A466">
        <v>440</v>
      </c>
      <c r="B466" s="1">
        <v>40563</v>
      </c>
      <c r="C466">
        <v>1</v>
      </c>
      <c r="D466">
        <v>0</v>
      </c>
      <c r="E466">
        <v>1</v>
      </c>
      <c r="F466">
        <v>8</v>
      </c>
      <c r="G466" t="b">
        <v>0</v>
      </c>
      <c r="H466">
        <v>4</v>
      </c>
      <c r="I466">
        <v>1</v>
      </c>
      <c r="J466">
        <v>0.22</v>
      </c>
      <c r="K466">
        <v>0.21210000000000001</v>
      </c>
      <c r="L466">
        <v>0.55000000000000004</v>
      </c>
      <c r="M466">
        <v>0.28360000000000002</v>
      </c>
      <c r="N466">
        <v>2</v>
      </c>
      <c r="O466">
        <v>247</v>
      </c>
      <c r="P466">
        <v>249</v>
      </c>
      <c r="Q466" t="s">
        <v>62</v>
      </c>
      <c r="R466" t="s">
        <v>120</v>
      </c>
      <c r="S466" t="s">
        <v>26</v>
      </c>
      <c r="T466" t="s">
        <v>30</v>
      </c>
      <c r="U466" t="s">
        <v>123</v>
      </c>
    </row>
    <row r="467" spans="1:21" x14ac:dyDescent="0.3">
      <c r="A467">
        <v>441</v>
      </c>
      <c r="B467" s="1">
        <v>40563</v>
      </c>
      <c r="C467">
        <v>1</v>
      </c>
      <c r="D467">
        <v>0</v>
      </c>
      <c r="E467">
        <v>1</v>
      </c>
      <c r="F467">
        <v>9</v>
      </c>
      <c r="G467" t="b">
        <v>0</v>
      </c>
      <c r="H467">
        <v>4</v>
      </c>
      <c r="I467">
        <v>2</v>
      </c>
      <c r="J467">
        <v>0.24</v>
      </c>
      <c r="K467">
        <v>0.2273</v>
      </c>
      <c r="L467">
        <v>0.52</v>
      </c>
      <c r="M467">
        <v>0.22389999999999999</v>
      </c>
      <c r="N467">
        <v>3</v>
      </c>
      <c r="O467">
        <v>140</v>
      </c>
      <c r="P467">
        <v>143</v>
      </c>
      <c r="Q467" t="s">
        <v>64</v>
      </c>
      <c r="R467" t="s">
        <v>120</v>
      </c>
      <c r="S467" t="s">
        <v>26</v>
      </c>
      <c r="T467" t="s">
        <v>30</v>
      </c>
      <c r="U467" t="s">
        <v>124</v>
      </c>
    </row>
    <row r="468" spans="1:21" x14ac:dyDescent="0.3">
      <c r="A468">
        <v>442</v>
      </c>
      <c r="B468" s="1">
        <v>40563</v>
      </c>
      <c r="C468">
        <v>1</v>
      </c>
      <c r="D468">
        <v>0</v>
      </c>
      <c r="E468">
        <v>1</v>
      </c>
      <c r="F468">
        <v>10</v>
      </c>
      <c r="G468" t="b">
        <v>0</v>
      </c>
      <c r="H468">
        <v>4</v>
      </c>
      <c r="I468">
        <v>1</v>
      </c>
      <c r="J468">
        <v>0.26</v>
      </c>
      <c r="K468">
        <v>0.2273</v>
      </c>
      <c r="L468">
        <v>0.48</v>
      </c>
      <c r="M468">
        <v>0.29849999999999999</v>
      </c>
      <c r="N468">
        <v>1</v>
      </c>
      <c r="O468">
        <v>56</v>
      </c>
      <c r="P468">
        <v>57</v>
      </c>
      <c r="Q468" t="s">
        <v>62</v>
      </c>
      <c r="R468" t="s">
        <v>120</v>
      </c>
      <c r="S468" t="s">
        <v>26</v>
      </c>
      <c r="T468" t="s">
        <v>30</v>
      </c>
      <c r="U468" t="s">
        <v>123</v>
      </c>
    </row>
    <row r="469" spans="1:21" x14ac:dyDescent="0.3">
      <c r="A469">
        <v>443</v>
      </c>
      <c r="B469" s="1">
        <v>40563</v>
      </c>
      <c r="C469">
        <v>1</v>
      </c>
      <c r="D469">
        <v>0</v>
      </c>
      <c r="E469">
        <v>1</v>
      </c>
      <c r="F469">
        <v>11</v>
      </c>
      <c r="G469" t="b">
        <v>0</v>
      </c>
      <c r="H469">
        <v>4</v>
      </c>
      <c r="I469">
        <v>2</v>
      </c>
      <c r="J469">
        <v>0.28000000000000003</v>
      </c>
      <c r="K469">
        <v>0.2727</v>
      </c>
      <c r="L469">
        <v>0.45</v>
      </c>
      <c r="M469">
        <v>0.16420000000000001</v>
      </c>
      <c r="N469">
        <v>5</v>
      </c>
      <c r="O469">
        <v>63</v>
      </c>
      <c r="P469">
        <v>68</v>
      </c>
      <c r="Q469" t="s">
        <v>64</v>
      </c>
      <c r="R469" t="s">
        <v>120</v>
      </c>
      <c r="S469" t="s">
        <v>26</v>
      </c>
      <c r="T469" t="s">
        <v>30</v>
      </c>
      <c r="U469" t="s">
        <v>124</v>
      </c>
    </row>
    <row r="470" spans="1:21" x14ac:dyDescent="0.3">
      <c r="A470">
        <v>444</v>
      </c>
      <c r="B470" s="1">
        <v>40563</v>
      </c>
      <c r="C470">
        <v>1</v>
      </c>
      <c r="D470">
        <v>0</v>
      </c>
      <c r="E470">
        <v>1</v>
      </c>
      <c r="F470">
        <v>12</v>
      </c>
      <c r="G470" t="b">
        <v>0</v>
      </c>
      <c r="H470">
        <v>4</v>
      </c>
      <c r="I470">
        <v>2</v>
      </c>
      <c r="J470">
        <v>0.3</v>
      </c>
      <c r="K470">
        <v>0.33329999999999999</v>
      </c>
      <c r="L470">
        <v>0.42</v>
      </c>
      <c r="M470">
        <v>0</v>
      </c>
      <c r="N470">
        <v>7</v>
      </c>
      <c r="O470">
        <v>77</v>
      </c>
      <c r="P470">
        <v>84</v>
      </c>
      <c r="Q470" t="s">
        <v>64</v>
      </c>
      <c r="R470" t="s">
        <v>120</v>
      </c>
      <c r="S470" t="s">
        <v>26</v>
      </c>
      <c r="T470" t="s">
        <v>30</v>
      </c>
      <c r="U470" t="s">
        <v>124</v>
      </c>
    </row>
    <row r="471" spans="1:21" x14ac:dyDescent="0.3">
      <c r="A471">
        <v>445</v>
      </c>
      <c r="B471" s="1">
        <v>40563</v>
      </c>
      <c r="C471">
        <v>1</v>
      </c>
      <c r="D471">
        <v>0</v>
      </c>
      <c r="E471">
        <v>1</v>
      </c>
      <c r="F471">
        <v>13</v>
      </c>
      <c r="G471" t="b">
        <v>0</v>
      </c>
      <c r="H471">
        <v>4</v>
      </c>
      <c r="I471">
        <v>2</v>
      </c>
      <c r="J471">
        <v>0.28000000000000003</v>
      </c>
      <c r="K471">
        <v>0.28789999999999999</v>
      </c>
      <c r="L471">
        <v>0.45</v>
      </c>
      <c r="M471">
        <v>0.1045</v>
      </c>
      <c r="N471">
        <v>12</v>
      </c>
      <c r="O471">
        <v>86</v>
      </c>
      <c r="P471">
        <v>98</v>
      </c>
      <c r="Q471" t="s">
        <v>64</v>
      </c>
      <c r="R471" t="s">
        <v>120</v>
      </c>
      <c r="S471" t="s">
        <v>26</v>
      </c>
      <c r="T471" t="s">
        <v>30</v>
      </c>
      <c r="U471" t="s">
        <v>124</v>
      </c>
    </row>
    <row r="472" spans="1:21" x14ac:dyDescent="0.3">
      <c r="A472">
        <v>446</v>
      </c>
      <c r="B472" s="1">
        <v>40563</v>
      </c>
      <c r="C472">
        <v>1</v>
      </c>
      <c r="D472">
        <v>0</v>
      </c>
      <c r="E472">
        <v>1</v>
      </c>
      <c r="F472">
        <v>14</v>
      </c>
      <c r="G472" t="b">
        <v>0</v>
      </c>
      <c r="H472">
        <v>4</v>
      </c>
      <c r="I472">
        <v>2</v>
      </c>
      <c r="J472">
        <v>0.3</v>
      </c>
      <c r="K472">
        <v>0.30299999999999999</v>
      </c>
      <c r="L472">
        <v>0.45</v>
      </c>
      <c r="M472">
        <v>0.1343</v>
      </c>
      <c r="N472">
        <v>6</v>
      </c>
      <c r="O472">
        <v>75</v>
      </c>
      <c r="P472">
        <v>81</v>
      </c>
      <c r="Q472" t="s">
        <v>64</v>
      </c>
      <c r="R472" t="s">
        <v>120</v>
      </c>
      <c r="S472" t="s">
        <v>26</v>
      </c>
      <c r="T472" t="s">
        <v>30</v>
      </c>
      <c r="U472" t="s">
        <v>124</v>
      </c>
    </row>
    <row r="473" spans="1:21" x14ac:dyDescent="0.3">
      <c r="A473">
        <v>447</v>
      </c>
      <c r="B473" s="1">
        <v>40563</v>
      </c>
      <c r="C473">
        <v>1</v>
      </c>
      <c r="D473">
        <v>0</v>
      </c>
      <c r="E473">
        <v>1</v>
      </c>
      <c r="F473">
        <v>15</v>
      </c>
      <c r="G473" t="b">
        <v>0</v>
      </c>
      <c r="H473">
        <v>4</v>
      </c>
      <c r="I473">
        <v>2</v>
      </c>
      <c r="J473">
        <v>0.32</v>
      </c>
      <c r="K473">
        <v>0.31819999999999998</v>
      </c>
      <c r="L473">
        <v>0.45</v>
      </c>
      <c r="M473">
        <v>0.19400000000000001</v>
      </c>
      <c r="N473">
        <v>8</v>
      </c>
      <c r="O473">
        <v>62</v>
      </c>
      <c r="P473">
        <v>70</v>
      </c>
      <c r="Q473" t="s">
        <v>64</v>
      </c>
      <c r="R473" t="s">
        <v>120</v>
      </c>
      <c r="S473" t="s">
        <v>26</v>
      </c>
      <c r="T473" t="s">
        <v>30</v>
      </c>
      <c r="U473" t="s">
        <v>124</v>
      </c>
    </row>
    <row r="474" spans="1:21" x14ac:dyDescent="0.3">
      <c r="A474">
        <v>448</v>
      </c>
      <c r="B474" s="1">
        <v>40563</v>
      </c>
      <c r="C474">
        <v>1</v>
      </c>
      <c r="D474">
        <v>0</v>
      </c>
      <c r="E474">
        <v>1</v>
      </c>
      <c r="F474">
        <v>16</v>
      </c>
      <c r="G474" t="b">
        <v>0</v>
      </c>
      <c r="H474">
        <v>4</v>
      </c>
      <c r="I474">
        <v>2</v>
      </c>
      <c r="J474">
        <v>0.3</v>
      </c>
      <c r="K474">
        <v>0.30299999999999999</v>
      </c>
      <c r="L474">
        <v>0.49</v>
      </c>
      <c r="M474">
        <v>0.1343</v>
      </c>
      <c r="N474">
        <v>8</v>
      </c>
      <c r="O474">
        <v>83</v>
      </c>
      <c r="P474">
        <v>91</v>
      </c>
      <c r="Q474" t="s">
        <v>64</v>
      </c>
      <c r="R474" t="s">
        <v>120</v>
      </c>
      <c r="S474" t="s">
        <v>26</v>
      </c>
      <c r="T474" t="s">
        <v>30</v>
      </c>
      <c r="U474" t="s">
        <v>124</v>
      </c>
    </row>
    <row r="475" spans="1:21" x14ac:dyDescent="0.3">
      <c r="A475">
        <v>449</v>
      </c>
      <c r="B475" s="1">
        <v>40563</v>
      </c>
      <c r="C475">
        <v>1</v>
      </c>
      <c r="D475">
        <v>0</v>
      </c>
      <c r="E475">
        <v>1</v>
      </c>
      <c r="F475">
        <v>17</v>
      </c>
      <c r="G475" t="b">
        <v>0</v>
      </c>
      <c r="H475">
        <v>4</v>
      </c>
      <c r="I475">
        <v>2</v>
      </c>
      <c r="J475">
        <v>0.3</v>
      </c>
      <c r="K475">
        <v>0.31819999999999998</v>
      </c>
      <c r="L475">
        <v>0.49</v>
      </c>
      <c r="M475">
        <v>0.1045</v>
      </c>
      <c r="N475">
        <v>8</v>
      </c>
      <c r="O475">
        <v>207</v>
      </c>
      <c r="P475">
        <v>215</v>
      </c>
      <c r="Q475" t="s">
        <v>64</v>
      </c>
      <c r="R475" t="s">
        <v>120</v>
      </c>
      <c r="S475" t="s">
        <v>26</v>
      </c>
      <c r="T475" t="s">
        <v>30</v>
      </c>
      <c r="U475" t="s">
        <v>124</v>
      </c>
    </row>
    <row r="476" spans="1:21" x14ac:dyDescent="0.3">
      <c r="A476">
        <v>450</v>
      </c>
      <c r="B476" s="1">
        <v>40563</v>
      </c>
      <c r="C476">
        <v>1</v>
      </c>
      <c r="D476">
        <v>0</v>
      </c>
      <c r="E476">
        <v>1</v>
      </c>
      <c r="F476">
        <v>18</v>
      </c>
      <c r="G476" t="b">
        <v>0</v>
      </c>
      <c r="H476">
        <v>4</v>
      </c>
      <c r="I476">
        <v>2</v>
      </c>
      <c r="J476">
        <v>0.26</v>
      </c>
      <c r="K476">
        <v>0.2576</v>
      </c>
      <c r="L476">
        <v>0.56000000000000005</v>
      </c>
      <c r="M476">
        <v>0.19400000000000001</v>
      </c>
      <c r="N476">
        <v>1</v>
      </c>
      <c r="O476">
        <v>184</v>
      </c>
      <c r="P476">
        <v>185</v>
      </c>
      <c r="Q476" t="s">
        <v>64</v>
      </c>
      <c r="R476" t="s">
        <v>120</v>
      </c>
      <c r="S476" t="s">
        <v>26</v>
      </c>
      <c r="T476" t="s">
        <v>30</v>
      </c>
      <c r="U476" t="s">
        <v>124</v>
      </c>
    </row>
    <row r="477" spans="1:21" x14ac:dyDescent="0.3">
      <c r="A477">
        <v>451</v>
      </c>
      <c r="B477" s="1">
        <v>40563</v>
      </c>
      <c r="C477">
        <v>1</v>
      </c>
      <c r="D477">
        <v>0</v>
      </c>
      <c r="E477">
        <v>1</v>
      </c>
      <c r="F477">
        <v>19</v>
      </c>
      <c r="G477" t="b">
        <v>0</v>
      </c>
      <c r="H477">
        <v>4</v>
      </c>
      <c r="I477">
        <v>1</v>
      </c>
      <c r="J477">
        <v>0.26</v>
      </c>
      <c r="K477">
        <v>0.2273</v>
      </c>
      <c r="L477">
        <v>0.56000000000000005</v>
      </c>
      <c r="M477">
        <v>0.32840000000000003</v>
      </c>
      <c r="N477">
        <v>6</v>
      </c>
      <c r="O477">
        <v>146</v>
      </c>
      <c r="P477">
        <v>152</v>
      </c>
      <c r="Q477" t="s">
        <v>62</v>
      </c>
      <c r="R477" t="s">
        <v>120</v>
      </c>
      <c r="S477" t="s">
        <v>26</v>
      </c>
      <c r="T477" t="s">
        <v>30</v>
      </c>
      <c r="U477" t="s">
        <v>123</v>
      </c>
    </row>
    <row r="478" spans="1:21" x14ac:dyDescent="0.3">
      <c r="A478">
        <v>452</v>
      </c>
      <c r="B478" s="1">
        <v>40563</v>
      </c>
      <c r="C478">
        <v>1</v>
      </c>
      <c r="D478">
        <v>0</v>
      </c>
      <c r="E478">
        <v>1</v>
      </c>
      <c r="F478">
        <v>20</v>
      </c>
      <c r="G478" t="b">
        <v>0</v>
      </c>
      <c r="H478">
        <v>4</v>
      </c>
      <c r="I478">
        <v>2</v>
      </c>
      <c r="J478">
        <v>0.26</v>
      </c>
      <c r="K478">
        <v>0.2424</v>
      </c>
      <c r="L478">
        <v>0.6</v>
      </c>
      <c r="M478">
        <v>0.28360000000000002</v>
      </c>
      <c r="N478">
        <v>2</v>
      </c>
      <c r="O478">
        <v>124</v>
      </c>
      <c r="P478">
        <v>126</v>
      </c>
      <c r="Q478" t="s">
        <v>64</v>
      </c>
      <c r="R478" t="s">
        <v>120</v>
      </c>
      <c r="S478" t="s">
        <v>26</v>
      </c>
      <c r="T478" t="s">
        <v>30</v>
      </c>
      <c r="U478" t="s">
        <v>124</v>
      </c>
    </row>
    <row r="479" spans="1:21" x14ac:dyDescent="0.3">
      <c r="A479">
        <v>453</v>
      </c>
      <c r="B479" s="1">
        <v>40563</v>
      </c>
      <c r="C479">
        <v>1</v>
      </c>
      <c r="D479">
        <v>0</v>
      </c>
      <c r="E479">
        <v>1</v>
      </c>
      <c r="F479">
        <v>21</v>
      </c>
      <c r="G479" t="b">
        <v>0</v>
      </c>
      <c r="H479">
        <v>4</v>
      </c>
      <c r="I479">
        <v>2</v>
      </c>
      <c r="J479">
        <v>0.24</v>
      </c>
      <c r="K479">
        <v>0.2273</v>
      </c>
      <c r="L479">
        <v>0.6</v>
      </c>
      <c r="M479">
        <v>0.25369999999999998</v>
      </c>
      <c r="N479">
        <v>3</v>
      </c>
      <c r="O479">
        <v>54</v>
      </c>
      <c r="P479">
        <v>57</v>
      </c>
      <c r="Q479" t="s">
        <v>64</v>
      </c>
      <c r="R479" t="s">
        <v>120</v>
      </c>
      <c r="S479" t="s">
        <v>26</v>
      </c>
      <c r="T479" t="s">
        <v>30</v>
      </c>
      <c r="U479" t="s">
        <v>124</v>
      </c>
    </row>
    <row r="480" spans="1:21" x14ac:dyDescent="0.3">
      <c r="A480">
        <v>454</v>
      </c>
      <c r="B480" s="1">
        <v>40563</v>
      </c>
      <c r="C480">
        <v>1</v>
      </c>
      <c r="D480">
        <v>0</v>
      </c>
      <c r="E480">
        <v>1</v>
      </c>
      <c r="F480">
        <v>22</v>
      </c>
      <c r="G480" t="b">
        <v>0</v>
      </c>
      <c r="H480">
        <v>4</v>
      </c>
      <c r="I480">
        <v>2</v>
      </c>
      <c r="J480">
        <v>0.24</v>
      </c>
      <c r="K480">
        <v>0.21210000000000001</v>
      </c>
      <c r="L480">
        <v>0.65</v>
      </c>
      <c r="M480">
        <v>0.28360000000000002</v>
      </c>
      <c r="N480">
        <v>0</v>
      </c>
      <c r="O480">
        <v>56</v>
      </c>
      <c r="P480">
        <v>56</v>
      </c>
      <c r="Q480" t="s">
        <v>64</v>
      </c>
      <c r="R480" t="s">
        <v>120</v>
      </c>
      <c r="S480" t="s">
        <v>26</v>
      </c>
      <c r="T480" t="s">
        <v>30</v>
      </c>
      <c r="U480" t="s">
        <v>124</v>
      </c>
    </row>
    <row r="481" spans="1:21" x14ac:dyDescent="0.3">
      <c r="A481">
        <v>455</v>
      </c>
      <c r="B481" s="1">
        <v>40563</v>
      </c>
      <c r="C481">
        <v>1</v>
      </c>
      <c r="D481">
        <v>0</v>
      </c>
      <c r="E481">
        <v>1</v>
      </c>
      <c r="F481">
        <v>23</v>
      </c>
      <c r="G481" t="b">
        <v>0</v>
      </c>
      <c r="H481">
        <v>4</v>
      </c>
      <c r="I481">
        <v>2</v>
      </c>
      <c r="J481">
        <v>0.24</v>
      </c>
      <c r="K481">
        <v>0.21210000000000001</v>
      </c>
      <c r="L481">
        <v>0.65</v>
      </c>
      <c r="M481">
        <v>0.32840000000000003</v>
      </c>
      <c r="N481">
        <v>3</v>
      </c>
      <c r="O481">
        <v>28</v>
      </c>
      <c r="P481">
        <v>31</v>
      </c>
      <c r="Q481" t="s">
        <v>64</v>
      </c>
      <c r="R481" t="s">
        <v>120</v>
      </c>
      <c r="S481" t="s">
        <v>26</v>
      </c>
      <c r="T481" t="s">
        <v>30</v>
      </c>
      <c r="U481" t="s">
        <v>124</v>
      </c>
    </row>
    <row r="482" spans="1:21" x14ac:dyDescent="0.3">
      <c r="A482">
        <v>588</v>
      </c>
      <c r="B482" s="1">
        <v>40570</v>
      </c>
      <c r="C482">
        <v>1</v>
      </c>
      <c r="D482">
        <v>0</v>
      </c>
      <c r="E482">
        <v>1</v>
      </c>
      <c r="F482">
        <v>16</v>
      </c>
      <c r="G482" t="b">
        <v>0</v>
      </c>
      <c r="H482">
        <v>4</v>
      </c>
      <c r="I482">
        <v>1</v>
      </c>
      <c r="J482">
        <v>0.22</v>
      </c>
      <c r="K482">
        <v>0.2273</v>
      </c>
      <c r="L482">
        <v>0.55000000000000004</v>
      </c>
      <c r="M482">
        <v>0.19400000000000001</v>
      </c>
      <c r="N482">
        <v>1</v>
      </c>
      <c r="O482">
        <v>23</v>
      </c>
      <c r="P482">
        <v>24</v>
      </c>
      <c r="Q482" t="s">
        <v>62</v>
      </c>
      <c r="R482" t="s">
        <v>120</v>
      </c>
      <c r="S482" t="s">
        <v>26</v>
      </c>
      <c r="T482" t="s">
        <v>30</v>
      </c>
      <c r="U482" t="s">
        <v>123</v>
      </c>
    </row>
    <row r="483" spans="1:21" x14ac:dyDescent="0.3">
      <c r="A483">
        <v>589</v>
      </c>
      <c r="B483" s="1">
        <v>40570</v>
      </c>
      <c r="C483">
        <v>1</v>
      </c>
      <c r="D483">
        <v>0</v>
      </c>
      <c r="E483">
        <v>1</v>
      </c>
      <c r="F483">
        <v>17</v>
      </c>
      <c r="G483" t="b">
        <v>0</v>
      </c>
      <c r="H483">
        <v>4</v>
      </c>
      <c r="I483">
        <v>1</v>
      </c>
      <c r="J483">
        <v>0.22</v>
      </c>
      <c r="K483">
        <v>0.2424</v>
      </c>
      <c r="L483">
        <v>0.55000000000000004</v>
      </c>
      <c r="M483">
        <v>0.1045</v>
      </c>
      <c r="N483">
        <v>2</v>
      </c>
      <c r="O483">
        <v>82</v>
      </c>
      <c r="P483">
        <v>84</v>
      </c>
      <c r="Q483" t="s">
        <v>62</v>
      </c>
      <c r="R483" t="s">
        <v>120</v>
      </c>
      <c r="S483" t="s">
        <v>26</v>
      </c>
      <c r="T483" t="s">
        <v>30</v>
      </c>
      <c r="U483" t="s">
        <v>123</v>
      </c>
    </row>
    <row r="484" spans="1:21" x14ac:dyDescent="0.3">
      <c r="A484">
        <v>590</v>
      </c>
      <c r="B484" s="1">
        <v>40570</v>
      </c>
      <c r="C484">
        <v>1</v>
      </c>
      <c r="D484">
        <v>0</v>
      </c>
      <c r="E484">
        <v>1</v>
      </c>
      <c r="F484">
        <v>18</v>
      </c>
      <c r="G484" t="b">
        <v>0</v>
      </c>
      <c r="H484">
        <v>4</v>
      </c>
      <c r="I484">
        <v>1</v>
      </c>
      <c r="J484">
        <v>0.2</v>
      </c>
      <c r="K484">
        <v>0.2273</v>
      </c>
      <c r="L484">
        <v>0.69</v>
      </c>
      <c r="M484">
        <v>8.9599999999999999E-2</v>
      </c>
      <c r="N484">
        <v>3</v>
      </c>
      <c r="O484">
        <v>101</v>
      </c>
      <c r="P484">
        <v>104</v>
      </c>
      <c r="Q484" t="s">
        <v>62</v>
      </c>
      <c r="R484" t="s">
        <v>120</v>
      </c>
      <c r="S484" t="s">
        <v>26</v>
      </c>
      <c r="T484" t="s">
        <v>30</v>
      </c>
      <c r="U484" t="s">
        <v>123</v>
      </c>
    </row>
    <row r="485" spans="1:21" x14ac:dyDescent="0.3">
      <c r="A485">
        <v>591</v>
      </c>
      <c r="B485" s="1">
        <v>40570</v>
      </c>
      <c r="C485">
        <v>1</v>
      </c>
      <c r="D485">
        <v>0</v>
      </c>
      <c r="E485">
        <v>1</v>
      </c>
      <c r="F485">
        <v>19</v>
      </c>
      <c r="G485" t="b">
        <v>0</v>
      </c>
      <c r="H485">
        <v>4</v>
      </c>
      <c r="I485">
        <v>1</v>
      </c>
      <c r="J485">
        <v>0.2</v>
      </c>
      <c r="K485">
        <v>0.2273</v>
      </c>
      <c r="L485">
        <v>0.69</v>
      </c>
      <c r="M485">
        <v>8.9599999999999999E-2</v>
      </c>
      <c r="N485">
        <v>3</v>
      </c>
      <c r="O485">
        <v>76</v>
      </c>
      <c r="P485">
        <v>79</v>
      </c>
      <c r="Q485" t="s">
        <v>62</v>
      </c>
      <c r="R485" t="s">
        <v>120</v>
      </c>
      <c r="S485" t="s">
        <v>26</v>
      </c>
      <c r="T485" t="s">
        <v>30</v>
      </c>
      <c r="U485" t="s">
        <v>123</v>
      </c>
    </row>
    <row r="486" spans="1:21" x14ac:dyDescent="0.3">
      <c r="A486">
        <v>592</v>
      </c>
      <c r="B486" s="1">
        <v>40570</v>
      </c>
      <c r="C486">
        <v>1</v>
      </c>
      <c r="D486">
        <v>0</v>
      </c>
      <c r="E486">
        <v>1</v>
      </c>
      <c r="F486">
        <v>20</v>
      </c>
      <c r="G486" t="b">
        <v>0</v>
      </c>
      <c r="H486">
        <v>4</v>
      </c>
      <c r="I486">
        <v>1</v>
      </c>
      <c r="J486">
        <v>0.18</v>
      </c>
      <c r="K486">
        <v>0.21210000000000001</v>
      </c>
      <c r="L486">
        <v>0.74</v>
      </c>
      <c r="M486">
        <v>8.9599999999999999E-2</v>
      </c>
      <c r="N486">
        <v>4</v>
      </c>
      <c r="O486">
        <v>55</v>
      </c>
      <c r="P486">
        <v>59</v>
      </c>
      <c r="Q486" t="s">
        <v>62</v>
      </c>
      <c r="R486" t="s">
        <v>120</v>
      </c>
      <c r="S486" t="s">
        <v>26</v>
      </c>
      <c r="T486" t="s">
        <v>30</v>
      </c>
      <c r="U486" t="s">
        <v>123</v>
      </c>
    </row>
    <row r="487" spans="1:21" x14ac:dyDescent="0.3">
      <c r="A487">
        <v>593</v>
      </c>
      <c r="B487" s="1">
        <v>40570</v>
      </c>
      <c r="C487">
        <v>1</v>
      </c>
      <c r="D487">
        <v>0</v>
      </c>
      <c r="E487">
        <v>1</v>
      </c>
      <c r="F487">
        <v>21</v>
      </c>
      <c r="G487" t="b">
        <v>0</v>
      </c>
      <c r="H487">
        <v>4</v>
      </c>
      <c r="I487">
        <v>1</v>
      </c>
      <c r="J487">
        <v>0.18</v>
      </c>
      <c r="K487">
        <v>0.21210000000000001</v>
      </c>
      <c r="L487">
        <v>0.74</v>
      </c>
      <c r="M487">
        <v>8.9599999999999999E-2</v>
      </c>
      <c r="N487">
        <v>2</v>
      </c>
      <c r="O487">
        <v>36</v>
      </c>
      <c r="P487">
        <v>38</v>
      </c>
      <c r="Q487" t="s">
        <v>62</v>
      </c>
      <c r="R487" t="s">
        <v>120</v>
      </c>
      <c r="S487" t="s">
        <v>26</v>
      </c>
      <c r="T487" t="s">
        <v>30</v>
      </c>
      <c r="U487" t="s">
        <v>123</v>
      </c>
    </row>
    <row r="488" spans="1:21" x14ac:dyDescent="0.3">
      <c r="A488">
        <v>594</v>
      </c>
      <c r="B488" s="1">
        <v>40570</v>
      </c>
      <c r="C488">
        <v>1</v>
      </c>
      <c r="D488">
        <v>0</v>
      </c>
      <c r="E488">
        <v>1</v>
      </c>
      <c r="F488">
        <v>22</v>
      </c>
      <c r="G488" t="b">
        <v>0</v>
      </c>
      <c r="H488">
        <v>4</v>
      </c>
      <c r="I488">
        <v>1</v>
      </c>
      <c r="J488">
        <v>0.18</v>
      </c>
      <c r="K488">
        <v>0.21210000000000001</v>
      </c>
      <c r="L488">
        <v>0.74</v>
      </c>
      <c r="M488">
        <v>8.9599999999999999E-2</v>
      </c>
      <c r="N488">
        <v>0</v>
      </c>
      <c r="O488">
        <v>27</v>
      </c>
      <c r="P488">
        <v>27</v>
      </c>
      <c r="Q488" t="s">
        <v>62</v>
      </c>
      <c r="R488" t="s">
        <v>120</v>
      </c>
      <c r="S488" t="s">
        <v>26</v>
      </c>
      <c r="T488" t="s">
        <v>30</v>
      </c>
      <c r="U488" t="s">
        <v>123</v>
      </c>
    </row>
    <row r="489" spans="1:21" x14ac:dyDescent="0.3">
      <c r="A489">
        <v>595</v>
      </c>
      <c r="B489" s="1">
        <v>40570</v>
      </c>
      <c r="C489">
        <v>1</v>
      </c>
      <c r="D489">
        <v>0</v>
      </c>
      <c r="E489">
        <v>1</v>
      </c>
      <c r="F489">
        <v>23</v>
      </c>
      <c r="G489" t="b">
        <v>0</v>
      </c>
      <c r="H489">
        <v>4</v>
      </c>
      <c r="I489">
        <v>1</v>
      </c>
      <c r="J489">
        <v>0.18</v>
      </c>
      <c r="K489">
        <v>0.19700000000000001</v>
      </c>
      <c r="L489">
        <v>0.8</v>
      </c>
      <c r="M489">
        <v>0.16420000000000001</v>
      </c>
      <c r="N489">
        <v>0</v>
      </c>
      <c r="O489">
        <v>16</v>
      </c>
      <c r="P489">
        <v>16</v>
      </c>
      <c r="Q489" t="s">
        <v>62</v>
      </c>
      <c r="R489" t="s">
        <v>120</v>
      </c>
      <c r="S489" t="s">
        <v>26</v>
      </c>
      <c r="T489" t="s">
        <v>30</v>
      </c>
      <c r="U489" t="s">
        <v>123</v>
      </c>
    </row>
    <row r="490" spans="1:21" x14ac:dyDescent="0.3">
      <c r="A490">
        <v>736</v>
      </c>
      <c r="B490" s="1">
        <v>40577</v>
      </c>
      <c r="C490">
        <v>1</v>
      </c>
      <c r="D490">
        <v>0</v>
      </c>
      <c r="E490">
        <v>2</v>
      </c>
      <c r="F490">
        <v>0</v>
      </c>
      <c r="G490" t="b">
        <v>0</v>
      </c>
      <c r="H490">
        <v>4</v>
      </c>
      <c r="I490">
        <v>1</v>
      </c>
      <c r="J490">
        <v>0.2</v>
      </c>
      <c r="K490">
        <v>0.16669999999999999</v>
      </c>
      <c r="L490">
        <v>0.4</v>
      </c>
      <c r="M490">
        <v>0.44779999999999998</v>
      </c>
      <c r="N490">
        <v>1</v>
      </c>
      <c r="O490">
        <v>11</v>
      </c>
      <c r="P490">
        <v>12</v>
      </c>
      <c r="Q490" t="s">
        <v>62</v>
      </c>
      <c r="R490" t="s">
        <v>120</v>
      </c>
      <c r="S490" t="s">
        <v>26</v>
      </c>
      <c r="T490" t="s">
        <v>29</v>
      </c>
      <c r="U490" t="s">
        <v>123</v>
      </c>
    </row>
    <row r="491" spans="1:21" x14ac:dyDescent="0.3">
      <c r="A491">
        <v>737</v>
      </c>
      <c r="B491" s="1">
        <v>40577</v>
      </c>
      <c r="C491">
        <v>1</v>
      </c>
      <c r="D491">
        <v>0</v>
      </c>
      <c r="E491">
        <v>2</v>
      </c>
      <c r="F491">
        <v>1</v>
      </c>
      <c r="G491" t="b">
        <v>0</v>
      </c>
      <c r="H491">
        <v>4</v>
      </c>
      <c r="I491">
        <v>1</v>
      </c>
      <c r="J491">
        <v>0.2</v>
      </c>
      <c r="K491">
        <v>0.1515</v>
      </c>
      <c r="L491">
        <v>0.44</v>
      </c>
      <c r="M491">
        <v>0.52239999999999998</v>
      </c>
      <c r="N491">
        <v>0</v>
      </c>
      <c r="O491">
        <v>5</v>
      </c>
      <c r="P491">
        <v>5</v>
      </c>
      <c r="Q491" t="s">
        <v>62</v>
      </c>
      <c r="R491" t="s">
        <v>120</v>
      </c>
      <c r="S491" t="s">
        <v>26</v>
      </c>
      <c r="T491" t="s">
        <v>29</v>
      </c>
      <c r="U491" t="s">
        <v>123</v>
      </c>
    </row>
    <row r="492" spans="1:21" x14ac:dyDescent="0.3">
      <c r="A492">
        <v>738</v>
      </c>
      <c r="B492" s="1">
        <v>40577</v>
      </c>
      <c r="C492">
        <v>1</v>
      </c>
      <c r="D492">
        <v>0</v>
      </c>
      <c r="E492">
        <v>2</v>
      </c>
      <c r="F492">
        <v>2</v>
      </c>
      <c r="G492" t="b">
        <v>0</v>
      </c>
      <c r="H492">
        <v>4</v>
      </c>
      <c r="I492">
        <v>1</v>
      </c>
      <c r="J492">
        <v>0.18</v>
      </c>
      <c r="K492">
        <v>0.16669999999999999</v>
      </c>
      <c r="L492">
        <v>0.43</v>
      </c>
      <c r="M492">
        <v>0.25369999999999998</v>
      </c>
      <c r="N492">
        <v>0</v>
      </c>
      <c r="O492">
        <v>2</v>
      </c>
      <c r="P492">
        <v>2</v>
      </c>
      <c r="Q492" t="s">
        <v>62</v>
      </c>
      <c r="R492" t="s">
        <v>120</v>
      </c>
      <c r="S492" t="s">
        <v>26</v>
      </c>
      <c r="T492" t="s">
        <v>29</v>
      </c>
      <c r="U492" t="s">
        <v>123</v>
      </c>
    </row>
    <row r="493" spans="1:21" x14ac:dyDescent="0.3">
      <c r="A493">
        <v>739</v>
      </c>
      <c r="B493" s="1">
        <v>40577</v>
      </c>
      <c r="C493">
        <v>1</v>
      </c>
      <c r="D493">
        <v>0</v>
      </c>
      <c r="E493">
        <v>2</v>
      </c>
      <c r="F493">
        <v>3</v>
      </c>
      <c r="G493" t="b">
        <v>0</v>
      </c>
      <c r="H493">
        <v>4</v>
      </c>
      <c r="I493">
        <v>1</v>
      </c>
      <c r="J493">
        <v>0.18</v>
      </c>
      <c r="K493">
        <v>0.16669999999999999</v>
      </c>
      <c r="L493">
        <v>0.43</v>
      </c>
      <c r="M493">
        <v>0.25369999999999998</v>
      </c>
      <c r="N493">
        <v>0</v>
      </c>
      <c r="O493">
        <v>1</v>
      </c>
      <c r="P493">
        <v>1</v>
      </c>
      <c r="Q493" t="s">
        <v>62</v>
      </c>
      <c r="R493" t="s">
        <v>120</v>
      </c>
      <c r="S493" t="s">
        <v>26</v>
      </c>
      <c r="T493" t="s">
        <v>29</v>
      </c>
      <c r="U493" t="s">
        <v>123</v>
      </c>
    </row>
    <row r="494" spans="1:21" x14ac:dyDescent="0.3">
      <c r="A494">
        <v>740</v>
      </c>
      <c r="B494" s="1">
        <v>40577</v>
      </c>
      <c r="C494">
        <v>1</v>
      </c>
      <c r="D494">
        <v>0</v>
      </c>
      <c r="E494">
        <v>2</v>
      </c>
      <c r="F494">
        <v>5</v>
      </c>
      <c r="G494" t="b">
        <v>0</v>
      </c>
      <c r="H494">
        <v>4</v>
      </c>
      <c r="I494">
        <v>1</v>
      </c>
      <c r="J494">
        <v>0.16</v>
      </c>
      <c r="K494">
        <v>0.13639999999999999</v>
      </c>
      <c r="L494">
        <v>0.5</v>
      </c>
      <c r="M494">
        <v>0.29849999999999999</v>
      </c>
      <c r="N494">
        <v>0</v>
      </c>
      <c r="O494">
        <v>2</v>
      </c>
      <c r="P494">
        <v>2</v>
      </c>
      <c r="Q494" t="s">
        <v>62</v>
      </c>
      <c r="R494" t="s">
        <v>120</v>
      </c>
      <c r="S494" t="s">
        <v>26</v>
      </c>
      <c r="T494" t="s">
        <v>29</v>
      </c>
      <c r="U494" t="s">
        <v>123</v>
      </c>
    </row>
    <row r="495" spans="1:21" x14ac:dyDescent="0.3">
      <c r="A495">
        <v>741</v>
      </c>
      <c r="B495" s="1">
        <v>40577</v>
      </c>
      <c r="C495">
        <v>1</v>
      </c>
      <c r="D495">
        <v>0</v>
      </c>
      <c r="E495">
        <v>2</v>
      </c>
      <c r="F495">
        <v>6</v>
      </c>
      <c r="G495" t="b">
        <v>0</v>
      </c>
      <c r="H495">
        <v>4</v>
      </c>
      <c r="I495">
        <v>1</v>
      </c>
      <c r="J495">
        <v>0.16</v>
      </c>
      <c r="K495">
        <v>0.13639999999999999</v>
      </c>
      <c r="L495">
        <v>0.43</v>
      </c>
      <c r="M495">
        <v>0.35820000000000002</v>
      </c>
      <c r="N495">
        <v>0</v>
      </c>
      <c r="O495">
        <v>39</v>
      </c>
      <c r="P495">
        <v>39</v>
      </c>
      <c r="Q495" t="s">
        <v>62</v>
      </c>
      <c r="R495" t="s">
        <v>120</v>
      </c>
      <c r="S495" t="s">
        <v>26</v>
      </c>
      <c r="T495" t="s">
        <v>29</v>
      </c>
      <c r="U495" t="s">
        <v>123</v>
      </c>
    </row>
    <row r="496" spans="1:21" x14ac:dyDescent="0.3">
      <c r="A496">
        <v>742</v>
      </c>
      <c r="B496" s="1">
        <v>40577</v>
      </c>
      <c r="C496">
        <v>1</v>
      </c>
      <c r="D496">
        <v>0</v>
      </c>
      <c r="E496">
        <v>2</v>
      </c>
      <c r="F496">
        <v>7</v>
      </c>
      <c r="G496" t="b">
        <v>0</v>
      </c>
      <c r="H496">
        <v>4</v>
      </c>
      <c r="I496">
        <v>1</v>
      </c>
      <c r="J496">
        <v>0.14000000000000001</v>
      </c>
      <c r="K496">
        <v>0.1212</v>
      </c>
      <c r="L496">
        <v>0.5</v>
      </c>
      <c r="M496">
        <v>0.32840000000000003</v>
      </c>
      <c r="N496">
        <v>1</v>
      </c>
      <c r="O496">
        <v>86</v>
      </c>
      <c r="P496">
        <v>87</v>
      </c>
      <c r="Q496" t="s">
        <v>62</v>
      </c>
      <c r="R496" t="s">
        <v>120</v>
      </c>
      <c r="S496" t="s">
        <v>26</v>
      </c>
      <c r="T496" t="s">
        <v>29</v>
      </c>
      <c r="U496" t="s">
        <v>123</v>
      </c>
    </row>
    <row r="497" spans="1:21" x14ac:dyDescent="0.3">
      <c r="A497">
        <v>743</v>
      </c>
      <c r="B497" s="1">
        <v>40577</v>
      </c>
      <c r="C497">
        <v>1</v>
      </c>
      <c r="D497">
        <v>0</v>
      </c>
      <c r="E497">
        <v>2</v>
      </c>
      <c r="F497">
        <v>8</v>
      </c>
      <c r="G497" t="b">
        <v>0</v>
      </c>
      <c r="H497">
        <v>4</v>
      </c>
      <c r="I497">
        <v>1</v>
      </c>
      <c r="J497">
        <v>0.14000000000000001</v>
      </c>
      <c r="K497">
        <v>0.1212</v>
      </c>
      <c r="L497">
        <v>0.5</v>
      </c>
      <c r="M497">
        <v>0.35820000000000002</v>
      </c>
      <c r="N497">
        <v>4</v>
      </c>
      <c r="O497">
        <v>184</v>
      </c>
      <c r="P497">
        <v>188</v>
      </c>
      <c r="Q497" t="s">
        <v>62</v>
      </c>
      <c r="R497" t="s">
        <v>120</v>
      </c>
      <c r="S497" t="s">
        <v>26</v>
      </c>
      <c r="T497" t="s">
        <v>29</v>
      </c>
      <c r="U497" t="s">
        <v>123</v>
      </c>
    </row>
    <row r="498" spans="1:21" x14ac:dyDescent="0.3">
      <c r="A498">
        <v>744</v>
      </c>
      <c r="B498" s="1">
        <v>40577</v>
      </c>
      <c r="C498">
        <v>1</v>
      </c>
      <c r="D498">
        <v>0</v>
      </c>
      <c r="E498">
        <v>2</v>
      </c>
      <c r="F498">
        <v>9</v>
      </c>
      <c r="G498" t="b">
        <v>0</v>
      </c>
      <c r="H498">
        <v>4</v>
      </c>
      <c r="I498">
        <v>1</v>
      </c>
      <c r="J498">
        <v>0.16</v>
      </c>
      <c r="K498">
        <v>0.13639999999999999</v>
      </c>
      <c r="L498">
        <v>0.47</v>
      </c>
      <c r="M498">
        <v>0.29849999999999999</v>
      </c>
      <c r="N498">
        <v>6</v>
      </c>
      <c r="O498">
        <v>127</v>
      </c>
      <c r="P498">
        <v>133</v>
      </c>
      <c r="Q498" t="s">
        <v>62</v>
      </c>
      <c r="R498" t="s">
        <v>120</v>
      </c>
      <c r="S498" t="s">
        <v>26</v>
      </c>
      <c r="T498" t="s">
        <v>29</v>
      </c>
      <c r="U498" t="s">
        <v>123</v>
      </c>
    </row>
    <row r="499" spans="1:21" x14ac:dyDescent="0.3">
      <c r="A499">
        <v>745</v>
      </c>
      <c r="B499" s="1">
        <v>40577</v>
      </c>
      <c r="C499">
        <v>1</v>
      </c>
      <c r="D499">
        <v>0</v>
      </c>
      <c r="E499">
        <v>2</v>
      </c>
      <c r="F499">
        <v>10</v>
      </c>
      <c r="G499" t="b">
        <v>0</v>
      </c>
      <c r="H499">
        <v>4</v>
      </c>
      <c r="I499">
        <v>1</v>
      </c>
      <c r="J499">
        <v>0.18</v>
      </c>
      <c r="K499">
        <v>0.1515</v>
      </c>
      <c r="L499">
        <v>0.43</v>
      </c>
      <c r="M499">
        <v>0.32840000000000003</v>
      </c>
      <c r="N499">
        <v>2</v>
      </c>
      <c r="O499">
        <v>50</v>
      </c>
      <c r="P499">
        <v>52</v>
      </c>
      <c r="Q499" t="s">
        <v>62</v>
      </c>
      <c r="R499" t="s">
        <v>120</v>
      </c>
      <c r="S499" t="s">
        <v>26</v>
      </c>
      <c r="T499" t="s">
        <v>29</v>
      </c>
      <c r="U499" t="s">
        <v>123</v>
      </c>
    </row>
    <row r="500" spans="1:21" x14ac:dyDescent="0.3">
      <c r="A500">
        <v>746</v>
      </c>
      <c r="B500" s="1">
        <v>40577</v>
      </c>
      <c r="C500">
        <v>1</v>
      </c>
      <c r="D500">
        <v>0</v>
      </c>
      <c r="E500">
        <v>2</v>
      </c>
      <c r="F500">
        <v>11</v>
      </c>
      <c r="G500" t="b">
        <v>0</v>
      </c>
      <c r="H500">
        <v>4</v>
      </c>
      <c r="I500">
        <v>1</v>
      </c>
      <c r="J500">
        <v>0.18</v>
      </c>
      <c r="K500">
        <v>0.13639999999999999</v>
      </c>
      <c r="L500">
        <v>0.43</v>
      </c>
      <c r="M500">
        <v>0.44779999999999998</v>
      </c>
      <c r="N500">
        <v>9</v>
      </c>
      <c r="O500">
        <v>55</v>
      </c>
      <c r="P500">
        <v>64</v>
      </c>
      <c r="Q500" t="s">
        <v>62</v>
      </c>
      <c r="R500" t="s">
        <v>120</v>
      </c>
      <c r="S500" t="s">
        <v>26</v>
      </c>
      <c r="T500" t="s">
        <v>29</v>
      </c>
      <c r="U500" t="s">
        <v>123</v>
      </c>
    </row>
    <row r="501" spans="1:21" x14ac:dyDescent="0.3">
      <c r="A501">
        <v>747</v>
      </c>
      <c r="B501" s="1">
        <v>40577</v>
      </c>
      <c r="C501">
        <v>1</v>
      </c>
      <c r="D501">
        <v>0</v>
      </c>
      <c r="E501">
        <v>2</v>
      </c>
      <c r="F501">
        <v>12</v>
      </c>
      <c r="G501" t="b">
        <v>0</v>
      </c>
      <c r="H501">
        <v>4</v>
      </c>
      <c r="I501">
        <v>1</v>
      </c>
      <c r="J501">
        <v>0.2</v>
      </c>
      <c r="K501">
        <v>0.18179999999999999</v>
      </c>
      <c r="L501">
        <v>0.4</v>
      </c>
      <c r="M501">
        <v>0.35820000000000002</v>
      </c>
      <c r="N501">
        <v>2</v>
      </c>
      <c r="O501">
        <v>67</v>
      </c>
      <c r="P501">
        <v>69</v>
      </c>
      <c r="Q501" t="s">
        <v>62</v>
      </c>
      <c r="R501" t="s">
        <v>120</v>
      </c>
      <c r="S501" t="s">
        <v>26</v>
      </c>
      <c r="T501" t="s">
        <v>29</v>
      </c>
      <c r="U501" t="s">
        <v>123</v>
      </c>
    </row>
    <row r="502" spans="1:21" x14ac:dyDescent="0.3">
      <c r="A502">
        <v>748</v>
      </c>
      <c r="B502" s="1">
        <v>40577</v>
      </c>
      <c r="C502">
        <v>1</v>
      </c>
      <c r="D502">
        <v>0</v>
      </c>
      <c r="E502">
        <v>2</v>
      </c>
      <c r="F502">
        <v>13</v>
      </c>
      <c r="G502" t="b">
        <v>0</v>
      </c>
      <c r="H502">
        <v>4</v>
      </c>
      <c r="I502">
        <v>1</v>
      </c>
      <c r="J502">
        <v>0.2</v>
      </c>
      <c r="K502">
        <v>0.16669999999999999</v>
      </c>
      <c r="L502">
        <v>0.4</v>
      </c>
      <c r="M502">
        <v>0.41789999999999999</v>
      </c>
      <c r="N502">
        <v>4</v>
      </c>
      <c r="O502">
        <v>47</v>
      </c>
      <c r="P502">
        <v>51</v>
      </c>
      <c r="Q502" t="s">
        <v>62</v>
      </c>
      <c r="R502" t="s">
        <v>120</v>
      </c>
      <c r="S502" t="s">
        <v>26</v>
      </c>
      <c r="T502" t="s">
        <v>29</v>
      </c>
      <c r="U502" t="s">
        <v>123</v>
      </c>
    </row>
    <row r="503" spans="1:21" x14ac:dyDescent="0.3">
      <c r="A503">
        <v>749</v>
      </c>
      <c r="B503" s="1">
        <v>40577</v>
      </c>
      <c r="C503">
        <v>1</v>
      </c>
      <c r="D503">
        <v>0</v>
      </c>
      <c r="E503">
        <v>2</v>
      </c>
      <c r="F503">
        <v>14</v>
      </c>
      <c r="G503" t="b">
        <v>0</v>
      </c>
      <c r="H503">
        <v>4</v>
      </c>
      <c r="I503">
        <v>1</v>
      </c>
      <c r="J503">
        <v>0.22</v>
      </c>
      <c r="K503">
        <v>0.19700000000000001</v>
      </c>
      <c r="L503">
        <v>0.37</v>
      </c>
      <c r="M503">
        <v>0.3881</v>
      </c>
      <c r="N503">
        <v>4</v>
      </c>
      <c r="O503">
        <v>43</v>
      </c>
      <c r="P503">
        <v>47</v>
      </c>
      <c r="Q503" t="s">
        <v>62</v>
      </c>
      <c r="R503" t="s">
        <v>120</v>
      </c>
      <c r="S503" t="s">
        <v>26</v>
      </c>
      <c r="T503" t="s">
        <v>29</v>
      </c>
      <c r="U503" t="s">
        <v>123</v>
      </c>
    </row>
    <row r="504" spans="1:21" x14ac:dyDescent="0.3">
      <c r="A504">
        <v>750</v>
      </c>
      <c r="B504" s="1">
        <v>40577</v>
      </c>
      <c r="C504">
        <v>1</v>
      </c>
      <c r="D504">
        <v>0</v>
      </c>
      <c r="E504">
        <v>2</v>
      </c>
      <c r="F504">
        <v>15</v>
      </c>
      <c r="G504" t="b">
        <v>0</v>
      </c>
      <c r="H504">
        <v>4</v>
      </c>
      <c r="I504">
        <v>1</v>
      </c>
      <c r="J504">
        <v>0.22</v>
      </c>
      <c r="K504">
        <v>0.19700000000000001</v>
      </c>
      <c r="L504">
        <v>0.37</v>
      </c>
      <c r="M504">
        <v>0.32840000000000003</v>
      </c>
      <c r="N504">
        <v>4</v>
      </c>
      <c r="O504">
        <v>56</v>
      </c>
      <c r="P504">
        <v>60</v>
      </c>
      <c r="Q504" t="s">
        <v>62</v>
      </c>
      <c r="R504" t="s">
        <v>120</v>
      </c>
      <c r="S504" t="s">
        <v>26</v>
      </c>
      <c r="T504" t="s">
        <v>29</v>
      </c>
      <c r="U504" t="s">
        <v>123</v>
      </c>
    </row>
    <row r="505" spans="1:21" x14ac:dyDescent="0.3">
      <c r="A505">
        <v>751</v>
      </c>
      <c r="B505" s="1">
        <v>40577</v>
      </c>
      <c r="C505">
        <v>1</v>
      </c>
      <c r="D505">
        <v>0</v>
      </c>
      <c r="E505">
        <v>2</v>
      </c>
      <c r="F505">
        <v>16</v>
      </c>
      <c r="G505" t="b">
        <v>0</v>
      </c>
      <c r="H505">
        <v>4</v>
      </c>
      <c r="I505">
        <v>1</v>
      </c>
      <c r="J505">
        <v>0.22</v>
      </c>
      <c r="K505">
        <v>0.21210000000000001</v>
      </c>
      <c r="L505">
        <v>0.37</v>
      </c>
      <c r="M505">
        <v>0.25369999999999998</v>
      </c>
      <c r="N505">
        <v>5</v>
      </c>
      <c r="O505">
        <v>73</v>
      </c>
      <c r="P505">
        <v>78</v>
      </c>
      <c r="Q505" t="s">
        <v>62</v>
      </c>
      <c r="R505" t="s">
        <v>120</v>
      </c>
      <c r="S505" t="s">
        <v>26</v>
      </c>
      <c r="T505" t="s">
        <v>29</v>
      </c>
      <c r="U505" t="s">
        <v>123</v>
      </c>
    </row>
    <row r="506" spans="1:21" x14ac:dyDescent="0.3">
      <c r="A506">
        <v>752</v>
      </c>
      <c r="B506" s="1">
        <v>40577</v>
      </c>
      <c r="C506">
        <v>1</v>
      </c>
      <c r="D506">
        <v>0</v>
      </c>
      <c r="E506">
        <v>2</v>
      </c>
      <c r="F506">
        <v>17</v>
      </c>
      <c r="G506" t="b">
        <v>0</v>
      </c>
      <c r="H506">
        <v>4</v>
      </c>
      <c r="I506">
        <v>1</v>
      </c>
      <c r="J506">
        <v>0.2</v>
      </c>
      <c r="K506">
        <v>0.19700000000000001</v>
      </c>
      <c r="L506">
        <v>0.4</v>
      </c>
      <c r="M506">
        <v>0.19400000000000001</v>
      </c>
      <c r="N506">
        <v>5</v>
      </c>
      <c r="O506">
        <v>170</v>
      </c>
      <c r="P506">
        <v>175</v>
      </c>
      <c r="Q506" t="s">
        <v>62</v>
      </c>
      <c r="R506" t="s">
        <v>120</v>
      </c>
      <c r="S506" t="s">
        <v>26</v>
      </c>
      <c r="T506" t="s">
        <v>29</v>
      </c>
      <c r="U506" t="s">
        <v>123</v>
      </c>
    </row>
    <row r="507" spans="1:21" x14ac:dyDescent="0.3">
      <c r="A507">
        <v>753</v>
      </c>
      <c r="B507" s="1">
        <v>40577</v>
      </c>
      <c r="C507">
        <v>1</v>
      </c>
      <c r="D507">
        <v>0</v>
      </c>
      <c r="E507">
        <v>2</v>
      </c>
      <c r="F507">
        <v>18</v>
      </c>
      <c r="G507" t="b">
        <v>0</v>
      </c>
      <c r="H507">
        <v>4</v>
      </c>
      <c r="I507">
        <v>1</v>
      </c>
      <c r="J507">
        <v>0.2</v>
      </c>
      <c r="K507">
        <v>0.21210000000000001</v>
      </c>
      <c r="L507">
        <v>0.4</v>
      </c>
      <c r="M507">
        <v>0.16420000000000001</v>
      </c>
      <c r="N507">
        <v>2</v>
      </c>
      <c r="O507">
        <v>145</v>
      </c>
      <c r="P507">
        <v>147</v>
      </c>
      <c r="Q507" t="s">
        <v>62</v>
      </c>
      <c r="R507" t="s">
        <v>120</v>
      </c>
      <c r="S507" t="s">
        <v>26</v>
      </c>
      <c r="T507" t="s">
        <v>29</v>
      </c>
      <c r="U507" t="s">
        <v>123</v>
      </c>
    </row>
    <row r="508" spans="1:21" x14ac:dyDescent="0.3">
      <c r="A508">
        <v>754</v>
      </c>
      <c r="B508" s="1">
        <v>40577</v>
      </c>
      <c r="C508">
        <v>1</v>
      </c>
      <c r="D508">
        <v>0</v>
      </c>
      <c r="E508">
        <v>2</v>
      </c>
      <c r="F508">
        <v>19</v>
      </c>
      <c r="G508" t="b">
        <v>0</v>
      </c>
      <c r="H508">
        <v>4</v>
      </c>
      <c r="I508">
        <v>1</v>
      </c>
      <c r="J508">
        <v>0.2</v>
      </c>
      <c r="K508">
        <v>0.2576</v>
      </c>
      <c r="L508">
        <v>0.4</v>
      </c>
      <c r="M508">
        <v>0</v>
      </c>
      <c r="N508">
        <v>4</v>
      </c>
      <c r="O508">
        <v>92</v>
      </c>
      <c r="P508">
        <v>96</v>
      </c>
      <c r="Q508" t="s">
        <v>62</v>
      </c>
      <c r="R508" t="s">
        <v>120</v>
      </c>
      <c r="S508" t="s">
        <v>26</v>
      </c>
      <c r="T508" t="s">
        <v>29</v>
      </c>
      <c r="U508" t="s">
        <v>123</v>
      </c>
    </row>
    <row r="509" spans="1:21" x14ac:dyDescent="0.3">
      <c r="A509">
        <v>755</v>
      </c>
      <c r="B509" s="1">
        <v>40577</v>
      </c>
      <c r="C509">
        <v>1</v>
      </c>
      <c r="D509">
        <v>0</v>
      </c>
      <c r="E509">
        <v>2</v>
      </c>
      <c r="F509">
        <v>20</v>
      </c>
      <c r="G509" t="b">
        <v>0</v>
      </c>
      <c r="H509">
        <v>4</v>
      </c>
      <c r="I509">
        <v>1</v>
      </c>
      <c r="J509">
        <v>0.2</v>
      </c>
      <c r="K509">
        <v>0.2273</v>
      </c>
      <c r="L509">
        <v>0.47</v>
      </c>
      <c r="M509">
        <v>8.9599999999999999E-2</v>
      </c>
      <c r="N509">
        <v>1</v>
      </c>
      <c r="O509">
        <v>108</v>
      </c>
      <c r="P509">
        <v>109</v>
      </c>
      <c r="Q509" t="s">
        <v>62</v>
      </c>
      <c r="R509" t="s">
        <v>120</v>
      </c>
      <c r="S509" t="s">
        <v>26</v>
      </c>
      <c r="T509" t="s">
        <v>29</v>
      </c>
      <c r="U509" t="s">
        <v>123</v>
      </c>
    </row>
    <row r="510" spans="1:21" x14ac:dyDescent="0.3">
      <c r="A510">
        <v>756</v>
      </c>
      <c r="B510" s="1">
        <v>40577</v>
      </c>
      <c r="C510">
        <v>1</v>
      </c>
      <c r="D510">
        <v>0</v>
      </c>
      <c r="E510">
        <v>2</v>
      </c>
      <c r="F510">
        <v>21</v>
      </c>
      <c r="G510" t="b">
        <v>0</v>
      </c>
      <c r="H510">
        <v>4</v>
      </c>
      <c r="I510">
        <v>1</v>
      </c>
      <c r="J510">
        <v>0.18</v>
      </c>
      <c r="K510">
        <v>0.21210000000000001</v>
      </c>
      <c r="L510">
        <v>0.55000000000000004</v>
      </c>
      <c r="M510">
        <v>0.1045</v>
      </c>
      <c r="N510">
        <v>1</v>
      </c>
      <c r="O510">
        <v>53</v>
      </c>
      <c r="P510">
        <v>54</v>
      </c>
      <c r="Q510" t="s">
        <v>62</v>
      </c>
      <c r="R510" t="s">
        <v>120</v>
      </c>
      <c r="S510" t="s">
        <v>26</v>
      </c>
      <c r="T510" t="s">
        <v>29</v>
      </c>
      <c r="U510" t="s">
        <v>123</v>
      </c>
    </row>
    <row r="511" spans="1:21" x14ac:dyDescent="0.3">
      <c r="A511">
        <v>757</v>
      </c>
      <c r="B511" s="1">
        <v>40577</v>
      </c>
      <c r="C511">
        <v>1</v>
      </c>
      <c r="D511">
        <v>0</v>
      </c>
      <c r="E511">
        <v>2</v>
      </c>
      <c r="F511">
        <v>22</v>
      </c>
      <c r="G511" t="b">
        <v>0</v>
      </c>
      <c r="H511">
        <v>4</v>
      </c>
      <c r="I511">
        <v>1</v>
      </c>
      <c r="J511">
        <v>0.18</v>
      </c>
      <c r="K511">
        <v>0.21210000000000001</v>
      </c>
      <c r="L511">
        <v>0.51</v>
      </c>
      <c r="M511">
        <v>8.9599999999999999E-2</v>
      </c>
      <c r="N511">
        <v>2</v>
      </c>
      <c r="O511">
        <v>39</v>
      </c>
      <c r="P511">
        <v>41</v>
      </c>
      <c r="Q511" t="s">
        <v>62</v>
      </c>
      <c r="R511" t="s">
        <v>120</v>
      </c>
      <c r="S511" t="s">
        <v>26</v>
      </c>
      <c r="T511" t="s">
        <v>29</v>
      </c>
      <c r="U511" t="s">
        <v>123</v>
      </c>
    </row>
    <row r="512" spans="1:21" x14ac:dyDescent="0.3">
      <c r="A512">
        <v>758</v>
      </c>
      <c r="B512" s="1">
        <v>40577</v>
      </c>
      <c r="C512">
        <v>1</v>
      </c>
      <c r="D512">
        <v>0</v>
      </c>
      <c r="E512">
        <v>2</v>
      </c>
      <c r="F512">
        <v>23</v>
      </c>
      <c r="G512" t="b">
        <v>0</v>
      </c>
      <c r="H512">
        <v>4</v>
      </c>
      <c r="I512">
        <v>1</v>
      </c>
      <c r="J512">
        <v>0.2</v>
      </c>
      <c r="K512">
        <v>0.2273</v>
      </c>
      <c r="L512">
        <v>0.47</v>
      </c>
      <c r="M512">
        <v>0.1045</v>
      </c>
      <c r="N512">
        <v>4</v>
      </c>
      <c r="O512">
        <v>34</v>
      </c>
      <c r="P512">
        <v>38</v>
      </c>
      <c r="Q512" t="s">
        <v>62</v>
      </c>
      <c r="R512" t="s">
        <v>120</v>
      </c>
      <c r="S512" t="s">
        <v>26</v>
      </c>
      <c r="T512" t="s">
        <v>29</v>
      </c>
      <c r="U512" t="s">
        <v>123</v>
      </c>
    </row>
    <row r="513" spans="1:21" x14ac:dyDescent="0.3">
      <c r="A513">
        <v>901</v>
      </c>
      <c r="B513" s="1">
        <v>40584</v>
      </c>
      <c r="C513">
        <v>1</v>
      </c>
      <c r="D513">
        <v>0</v>
      </c>
      <c r="E513">
        <v>2</v>
      </c>
      <c r="F513">
        <v>0</v>
      </c>
      <c r="G513" t="b">
        <v>0</v>
      </c>
      <c r="H513">
        <v>4</v>
      </c>
      <c r="I513">
        <v>3</v>
      </c>
      <c r="J513">
        <v>0.14000000000000001</v>
      </c>
      <c r="K513">
        <v>0.13639999999999999</v>
      </c>
      <c r="L513">
        <v>0.86</v>
      </c>
      <c r="M513">
        <v>0.19400000000000001</v>
      </c>
      <c r="N513">
        <v>0</v>
      </c>
      <c r="O513">
        <v>16</v>
      </c>
      <c r="P513">
        <v>16</v>
      </c>
      <c r="Q513" t="s">
        <v>63</v>
      </c>
      <c r="R513" t="s">
        <v>120</v>
      </c>
      <c r="S513" t="s">
        <v>26</v>
      </c>
      <c r="T513" t="s">
        <v>29</v>
      </c>
      <c r="U513" t="s">
        <v>125</v>
      </c>
    </row>
    <row r="514" spans="1:21" x14ac:dyDescent="0.3">
      <c r="A514">
        <v>902</v>
      </c>
      <c r="B514" s="1">
        <v>40584</v>
      </c>
      <c r="C514">
        <v>1</v>
      </c>
      <c r="D514">
        <v>0</v>
      </c>
      <c r="E514">
        <v>2</v>
      </c>
      <c r="F514">
        <v>1</v>
      </c>
      <c r="G514" t="b">
        <v>0</v>
      </c>
      <c r="H514">
        <v>4</v>
      </c>
      <c r="I514">
        <v>3</v>
      </c>
      <c r="J514">
        <v>0.14000000000000001</v>
      </c>
      <c r="K514">
        <v>0.1515</v>
      </c>
      <c r="L514">
        <v>0.8</v>
      </c>
      <c r="M514">
        <v>0.1343</v>
      </c>
      <c r="N514">
        <v>0</v>
      </c>
      <c r="O514">
        <v>7</v>
      </c>
      <c r="P514">
        <v>7</v>
      </c>
      <c r="Q514" t="s">
        <v>63</v>
      </c>
      <c r="R514" t="s">
        <v>120</v>
      </c>
      <c r="S514" t="s">
        <v>26</v>
      </c>
      <c r="T514" t="s">
        <v>29</v>
      </c>
      <c r="U514" t="s">
        <v>125</v>
      </c>
    </row>
    <row r="515" spans="1:21" x14ac:dyDescent="0.3">
      <c r="A515">
        <v>903</v>
      </c>
      <c r="B515" s="1">
        <v>40584</v>
      </c>
      <c r="C515">
        <v>1</v>
      </c>
      <c r="D515">
        <v>0</v>
      </c>
      <c r="E515">
        <v>2</v>
      </c>
      <c r="F515">
        <v>2</v>
      </c>
      <c r="G515" t="b">
        <v>0</v>
      </c>
      <c r="H515">
        <v>4</v>
      </c>
      <c r="I515">
        <v>3</v>
      </c>
      <c r="J515">
        <v>0.14000000000000001</v>
      </c>
      <c r="K515">
        <v>0.1515</v>
      </c>
      <c r="L515">
        <v>0.8</v>
      </c>
      <c r="M515">
        <v>0.1343</v>
      </c>
      <c r="N515">
        <v>0</v>
      </c>
      <c r="O515">
        <v>3</v>
      </c>
      <c r="P515">
        <v>3</v>
      </c>
      <c r="Q515" t="s">
        <v>63</v>
      </c>
      <c r="R515" t="s">
        <v>120</v>
      </c>
      <c r="S515" t="s">
        <v>26</v>
      </c>
      <c r="T515" t="s">
        <v>29</v>
      </c>
      <c r="U515" t="s">
        <v>125</v>
      </c>
    </row>
    <row r="516" spans="1:21" x14ac:dyDescent="0.3">
      <c r="A516">
        <v>904</v>
      </c>
      <c r="B516" s="1">
        <v>40584</v>
      </c>
      <c r="C516">
        <v>1</v>
      </c>
      <c r="D516">
        <v>0</v>
      </c>
      <c r="E516">
        <v>2</v>
      </c>
      <c r="F516">
        <v>4</v>
      </c>
      <c r="G516" t="b">
        <v>0</v>
      </c>
      <c r="H516">
        <v>4</v>
      </c>
      <c r="I516">
        <v>2</v>
      </c>
      <c r="J516">
        <v>0.14000000000000001</v>
      </c>
      <c r="K516">
        <v>0.13639999999999999</v>
      </c>
      <c r="L516">
        <v>0.59</v>
      </c>
      <c r="M516">
        <v>0.22389999999999999</v>
      </c>
      <c r="N516">
        <v>0</v>
      </c>
      <c r="O516">
        <v>1</v>
      </c>
      <c r="P516">
        <v>1</v>
      </c>
      <c r="Q516" t="s">
        <v>64</v>
      </c>
      <c r="R516" t="s">
        <v>120</v>
      </c>
      <c r="S516" t="s">
        <v>26</v>
      </c>
      <c r="T516" t="s">
        <v>29</v>
      </c>
      <c r="U516" t="s">
        <v>124</v>
      </c>
    </row>
    <row r="517" spans="1:21" x14ac:dyDescent="0.3">
      <c r="A517">
        <v>905</v>
      </c>
      <c r="B517" s="1">
        <v>40584</v>
      </c>
      <c r="C517">
        <v>1</v>
      </c>
      <c r="D517">
        <v>0</v>
      </c>
      <c r="E517">
        <v>2</v>
      </c>
      <c r="F517">
        <v>5</v>
      </c>
      <c r="G517" t="b">
        <v>0</v>
      </c>
      <c r="H517">
        <v>4</v>
      </c>
      <c r="I517">
        <v>2</v>
      </c>
      <c r="J517">
        <v>0.12</v>
      </c>
      <c r="K517">
        <v>0.1212</v>
      </c>
      <c r="L517">
        <v>0.5</v>
      </c>
      <c r="M517">
        <v>0.22389999999999999</v>
      </c>
      <c r="N517">
        <v>0</v>
      </c>
      <c r="O517">
        <v>6</v>
      </c>
      <c r="P517">
        <v>6</v>
      </c>
      <c r="Q517" t="s">
        <v>64</v>
      </c>
      <c r="R517" t="s">
        <v>120</v>
      </c>
      <c r="S517" t="s">
        <v>26</v>
      </c>
      <c r="T517" t="s">
        <v>29</v>
      </c>
      <c r="U517" t="s">
        <v>124</v>
      </c>
    </row>
    <row r="518" spans="1:21" x14ac:dyDescent="0.3">
      <c r="A518">
        <v>906</v>
      </c>
      <c r="B518" s="1">
        <v>40584</v>
      </c>
      <c r="C518">
        <v>1</v>
      </c>
      <c r="D518">
        <v>0</v>
      </c>
      <c r="E518">
        <v>2</v>
      </c>
      <c r="F518">
        <v>6</v>
      </c>
      <c r="G518" t="b">
        <v>0</v>
      </c>
      <c r="H518">
        <v>4</v>
      </c>
      <c r="I518">
        <v>2</v>
      </c>
      <c r="J518">
        <v>0.12</v>
      </c>
      <c r="K518">
        <v>0.1212</v>
      </c>
      <c r="L518">
        <v>0.54</v>
      </c>
      <c r="M518">
        <v>0.28360000000000002</v>
      </c>
      <c r="N518">
        <v>0</v>
      </c>
      <c r="O518">
        <v>26</v>
      </c>
      <c r="P518">
        <v>26</v>
      </c>
      <c r="Q518" t="s">
        <v>64</v>
      </c>
      <c r="R518" t="s">
        <v>120</v>
      </c>
      <c r="S518" t="s">
        <v>26</v>
      </c>
      <c r="T518" t="s">
        <v>29</v>
      </c>
      <c r="U518" t="s">
        <v>124</v>
      </c>
    </row>
    <row r="519" spans="1:21" x14ac:dyDescent="0.3">
      <c r="A519">
        <v>907</v>
      </c>
      <c r="B519" s="1">
        <v>40584</v>
      </c>
      <c r="C519">
        <v>1</v>
      </c>
      <c r="D519">
        <v>0</v>
      </c>
      <c r="E519">
        <v>2</v>
      </c>
      <c r="F519">
        <v>7</v>
      </c>
      <c r="G519" t="b">
        <v>0</v>
      </c>
      <c r="H519">
        <v>4</v>
      </c>
      <c r="I519">
        <v>1</v>
      </c>
      <c r="J519">
        <v>0.1</v>
      </c>
      <c r="K519">
        <v>7.5800000000000006E-2</v>
      </c>
      <c r="L519">
        <v>0.5</v>
      </c>
      <c r="M519">
        <v>0.41789999999999999</v>
      </c>
      <c r="N519">
        <v>0</v>
      </c>
      <c r="O519">
        <v>99</v>
      </c>
      <c r="P519">
        <v>99</v>
      </c>
      <c r="Q519" t="s">
        <v>62</v>
      </c>
      <c r="R519" t="s">
        <v>120</v>
      </c>
      <c r="S519" t="s">
        <v>26</v>
      </c>
      <c r="T519" t="s">
        <v>29</v>
      </c>
      <c r="U519" t="s">
        <v>123</v>
      </c>
    </row>
    <row r="520" spans="1:21" x14ac:dyDescent="0.3">
      <c r="A520">
        <v>908</v>
      </c>
      <c r="B520" s="1">
        <v>40584</v>
      </c>
      <c r="C520">
        <v>1</v>
      </c>
      <c r="D520">
        <v>0</v>
      </c>
      <c r="E520">
        <v>2</v>
      </c>
      <c r="F520">
        <v>8</v>
      </c>
      <c r="G520" t="b">
        <v>0</v>
      </c>
      <c r="H520">
        <v>4</v>
      </c>
      <c r="I520">
        <v>1</v>
      </c>
      <c r="J520">
        <v>0.1</v>
      </c>
      <c r="K520">
        <v>7.5800000000000006E-2</v>
      </c>
      <c r="L520">
        <v>0.49</v>
      </c>
      <c r="M520">
        <v>0.32840000000000003</v>
      </c>
      <c r="N520">
        <v>5</v>
      </c>
      <c r="O520">
        <v>173</v>
      </c>
      <c r="P520">
        <v>178</v>
      </c>
      <c r="Q520" t="s">
        <v>62</v>
      </c>
      <c r="R520" t="s">
        <v>120</v>
      </c>
      <c r="S520" t="s">
        <v>26</v>
      </c>
      <c r="T520" t="s">
        <v>29</v>
      </c>
      <c r="U520" t="s">
        <v>123</v>
      </c>
    </row>
    <row r="521" spans="1:21" x14ac:dyDescent="0.3">
      <c r="A521">
        <v>909</v>
      </c>
      <c r="B521" s="1">
        <v>40584</v>
      </c>
      <c r="C521">
        <v>1</v>
      </c>
      <c r="D521">
        <v>0</v>
      </c>
      <c r="E521">
        <v>2</v>
      </c>
      <c r="F521">
        <v>9</v>
      </c>
      <c r="G521" t="b">
        <v>0</v>
      </c>
      <c r="H521">
        <v>4</v>
      </c>
      <c r="I521">
        <v>1</v>
      </c>
      <c r="J521">
        <v>0.12</v>
      </c>
      <c r="K521">
        <v>0.1061</v>
      </c>
      <c r="L521">
        <v>0.42</v>
      </c>
      <c r="M521">
        <v>0.35820000000000002</v>
      </c>
      <c r="N521">
        <v>1</v>
      </c>
      <c r="O521">
        <v>121</v>
      </c>
      <c r="P521">
        <v>122</v>
      </c>
      <c r="Q521" t="s">
        <v>62</v>
      </c>
      <c r="R521" t="s">
        <v>120</v>
      </c>
      <c r="S521" t="s">
        <v>26</v>
      </c>
      <c r="T521" t="s">
        <v>29</v>
      </c>
      <c r="U521" t="s">
        <v>123</v>
      </c>
    </row>
    <row r="522" spans="1:21" x14ac:dyDescent="0.3">
      <c r="A522">
        <v>910</v>
      </c>
      <c r="B522" s="1">
        <v>40584</v>
      </c>
      <c r="C522">
        <v>1</v>
      </c>
      <c r="D522">
        <v>0</v>
      </c>
      <c r="E522">
        <v>2</v>
      </c>
      <c r="F522">
        <v>10</v>
      </c>
      <c r="G522" t="b">
        <v>0</v>
      </c>
      <c r="H522">
        <v>4</v>
      </c>
      <c r="I522">
        <v>1</v>
      </c>
      <c r="J522">
        <v>0.12</v>
      </c>
      <c r="K522">
        <v>0.1061</v>
      </c>
      <c r="L522">
        <v>0.42</v>
      </c>
      <c r="M522">
        <v>0.29849999999999999</v>
      </c>
      <c r="N522">
        <v>1</v>
      </c>
      <c r="O522">
        <v>34</v>
      </c>
      <c r="P522">
        <v>35</v>
      </c>
      <c r="Q522" t="s">
        <v>62</v>
      </c>
      <c r="R522" t="s">
        <v>120</v>
      </c>
      <c r="S522" t="s">
        <v>26</v>
      </c>
      <c r="T522" t="s">
        <v>29</v>
      </c>
      <c r="U522" t="s">
        <v>123</v>
      </c>
    </row>
    <row r="523" spans="1:21" x14ac:dyDescent="0.3">
      <c r="A523">
        <v>911</v>
      </c>
      <c r="B523" s="1">
        <v>40584</v>
      </c>
      <c r="C523">
        <v>1</v>
      </c>
      <c r="D523">
        <v>0</v>
      </c>
      <c r="E523">
        <v>2</v>
      </c>
      <c r="F523">
        <v>11</v>
      </c>
      <c r="G523" t="b">
        <v>0</v>
      </c>
      <c r="H523">
        <v>4</v>
      </c>
      <c r="I523">
        <v>1</v>
      </c>
      <c r="J523">
        <v>0.14000000000000001</v>
      </c>
      <c r="K523">
        <v>0.1212</v>
      </c>
      <c r="L523">
        <v>0.39</v>
      </c>
      <c r="M523">
        <v>0.35820000000000002</v>
      </c>
      <c r="N523">
        <v>1</v>
      </c>
      <c r="O523">
        <v>44</v>
      </c>
      <c r="P523">
        <v>45</v>
      </c>
      <c r="Q523" t="s">
        <v>62</v>
      </c>
      <c r="R523" t="s">
        <v>120</v>
      </c>
      <c r="S523" t="s">
        <v>26</v>
      </c>
      <c r="T523" t="s">
        <v>29</v>
      </c>
      <c r="U523" t="s">
        <v>123</v>
      </c>
    </row>
    <row r="524" spans="1:21" x14ac:dyDescent="0.3">
      <c r="A524">
        <v>912</v>
      </c>
      <c r="B524" s="1">
        <v>40584</v>
      </c>
      <c r="C524">
        <v>1</v>
      </c>
      <c r="D524">
        <v>0</v>
      </c>
      <c r="E524">
        <v>2</v>
      </c>
      <c r="F524">
        <v>12</v>
      </c>
      <c r="G524" t="b">
        <v>0</v>
      </c>
      <c r="H524">
        <v>4</v>
      </c>
      <c r="I524">
        <v>1</v>
      </c>
      <c r="J524">
        <v>0.16</v>
      </c>
      <c r="K524">
        <v>0.13639999999999999</v>
      </c>
      <c r="L524">
        <v>0.34</v>
      </c>
      <c r="M524">
        <v>0.3881</v>
      </c>
      <c r="N524">
        <v>4</v>
      </c>
      <c r="O524">
        <v>65</v>
      </c>
      <c r="P524">
        <v>69</v>
      </c>
      <c r="Q524" t="s">
        <v>62</v>
      </c>
      <c r="R524" t="s">
        <v>120</v>
      </c>
      <c r="S524" t="s">
        <v>26</v>
      </c>
      <c r="T524" t="s">
        <v>29</v>
      </c>
      <c r="U524" t="s">
        <v>123</v>
      </c>
    </row>
    <row r="525" spans="1:21" x14ac:dyDescent="0.3">
      <c r="A525">
        <v>913</v>
      </c>
      <c r="B525" s="1">
        <v>40584</v>
      </c>
      <c r="C525">
        <v>1</v>
      </c>
      <c r="D525">
        <v>0</v>
      </c>
      <c r="E525">
        <v>2</v>
      </c>
      <c r="F525">
        <v>13</v>
      </c>
      <c r="G525" t="b">
        <v>0</v>
      </c>
      <c r="H525">
        <v>4</v>
      </c>
      <c r="I525">
        <v>1</v>
      </c>
      <c r="J525">
        <v>0.18</v>
      </c>
      <c r="K525">
        <v>0.16669999999999999</v>
      </c>
      <c r="L525">
        <v>0.28999999999999998</v>
      </c>
      <c r="M525">
        <v>0.29849999999999999</v>
      </c>
      <c r="N525">
        <v>3</v>
      </c>
      <c r="O525">
        <v>59</v>
      </c>
      <c r="P525">
        <v>62</v>
      </c>
      <c r="Q525" t="s">
        <v>62</v>
      </c>
      <c r="R525" t="s">
        <v>120</v>
      </c>
      <c r="S525" t="s">
        <v>26</v>
      </c>
      <c r="T525" t="s">
        <v>29</v>
      </c>
      <c r="U525" t="s">
        <v>123</v>
      </c>
    </row>
    <row r="526" spans="1:21" x14ac:dyDescent="0.3">
      <c r="A526">
        <v>914</v>
      </c>
      <c r="B526" s="1">
        <v>40584</v>
      </c>
      <c r="C526">
        <v>1</v>
      </c>
      <c r="D526">
        <v>0</v>
      </c>
      <c r="E526">
        <v>2</v>
      </c>
      <c r="F526">
        <v>14</v>
      </c>
      <c r="G526" t="b">
        <v>0</v>
      </c>
      <c r="H526">
        <v>4</v>
      </c>
      <c r="I526">
        <v>1</v>
      </c>
      <c r="J526">
        <v>0.2</v>
      </c>
      <c r="K526">
        <v>0.18179999999999999</v>
      </c>
      <c r="L526">
        <v>0.27</v>
      </c>
      <c r="M526">
        <v>0.28360000000000002</v>
      </c>
      <c r="N526">
        <v>6</v>
      </c>
      <c r="O526">
        <v>42</v>
      </c>
      <c r="P526">
        <v>48</v>
      </c>
      <c r="Q526" t="s">
        <v>62</v>
      </c>
      <c r="R526" t="s">
        <v>120</v>
      </c>
      <c r="S526" t="s">
        <v>26</v>
      </c>
      <c r="T526" t="s">
        <v>29</v>
      </c>
      <c r="U526" t="s">
        <v>123</v>
      </c>
    </row>
    <row r="527" spans="1:21" x14ac:dyDescent="0.3">
      <c r="A527">
        <v>915</v>
      </c>
      <c r="B527" s="1">
        <v>40584</v>
      </c>
      <c r="C527">
        <v>1</v>
      </c>
      <c r="D527">
        <v>0</v>
      </c>
      <c r="E527">
        <v>2</v>
      </c>
      <c r="F527">
        <v>15</v>
      </c>
      <c r="G527" t="b">
        <v>0</v>
      </c>
      <c r="H527">
        <v>4</v>
      </c>
      <c r="I527">
        <v>1</v>
      </c>
      <c r="J527">
        <v>0.2</v>
      </c>
      <c r="K527">
        <v>0.19700000000000001</v>
      </c>
      <c r="L527">
        <v>0.25</v>
      </c>
      <c r="M527">
        <v>0.25369999999999998</v>
      </c>
      <c r="N527">
        <v>0</v>
      </c>
      <c r="O527">
        <v>50</v>
      </c>
      <c r="P527">
        <v>50</v>
      </c>
      <c r="Q527" t="s">
        <v>62</v>
      </c>
      <c r="R527" t="s">
        <v>120</v>
      </c>
      <c r="S527" t="s">
        <v>26</v>
      </c>
      <c r="T527" t="s">
        <v>29</v>
      </c>
      <c r="U527" t="s">
        <v>123</v>
      </c>
    </row>
    <row r="528" spans="1:21" x14ac:dyDescent="0.3">
      <c r="A528">
        <v>916</v>
      </c>
      <c r="B528" s="1">
        <v>40584</v>
      </c>
      <c r="C528">
        <v>1</v>
      </c>
      <c r="D528">
        <v>0</v>
      </c>
      <c r="E528">
        <v>2</v>
      </c>
      <c r="F528">
        <v>16</v>
      </c>
      <c r="G528" t="b">
        <v>0</v>
      </c>
      <c r="H528">
        <v>4</v>
      </c>
      <c r="I528">
        <v>1</v>
      </c>
      <c r="J528">
        <v>0.2</v>
      </c>
      <c r="K528">
        <v>0.18179999999999999</v>
      </c>
      <c r="L528">
        <v>0.27</v>
      </c>
      <c r="M528">
        <v>0.29849999999999999</v>
      </c>
      <c r="N528">
        <v>4</v>
      </c>
      <c r="O528">
        <v>76</v>
      </c>
      <c r="P528">
        <v>80</v>
      </c>
      <c r="Q528" t="s">
        <v>62</v>
      </c>
      <c r="R528" t="s">
        <v>120</v>
      </c>
      <c r="S528" t="s">
        <v>26</v>
      </c>
      <c r="T528" t="s">
        <v>29</v>
      </c>
      <c r="U528" t="s">
        <v>123</v>
      </c>
    </row>
    <row r="529" spans="1:21" x14ac:dyDescent="0.3">
      <c r="A529">
        <v>917</v>
      </c>
      <c r="B529" s="1">
        <v>40584</v>
      </c>
      <c r="C529">
        <v>1</v>
      </c>
      <c r="D529">
        <v>0</v>
      </c>
      <c r="E529">
        <v>2</v>
      </c>
      <c r="F529">
        <v>17</v>
      </c>
      <c r="G529" t="b">
        <v>0</v>
      </c>
      <c r="H529">
        <v>4</v>
      </c>
      <c r="I529">
        <v>1</v>
      </c>
      <c r="J529">
        <v>0.18</v>
      </c>
      <c r="K529">
        <v>0.18179999999999999</v>
      </c>
      <c r="L529">
        <v>0.26</v>
      </c>
      <c r="M529">
        <v>0.19400000000000001</v>
      </c>
      <c r="N529">
        <v>6</v>
      </c>
      <c r="O529">
        <v>159</v>
      </c>
      <c r="P529">
        <v>165</v>
      </c>
      <c r="Q529" t="s">
        <v>62</v>
      </c>
      <c r="R529" t="s">
        <v>120</v>
      </c>
      <c r="S529" t="s">
        <v>26</v>
      </c>
      <c r="T529" t="s">
        <v>29</v>
      </c>
      <c r="U529" t="s">
        <v>123</v>
      </c>
    </row>
    <row r="530" spans="1:21" x14ac:dyDescent="0.3">
      <c r="A530">
        <v>918</v>
      </c>
      <c r="B530" s="1">
        <v>40584</v>
      </c>
      <c r="C530">
        <v>1</v>
      </c>
      <c r="D530">
        <v>0</v>
      </c>
      <c r="E530">
        <v>2</v>
      </c>
      <c r="F530">
        <v>18</v>
      </c>
      <c r="G530" t="b">
        <v>0</v>
      </c>
      <c r="H530">
        <v>4</v>
      </c>
      <c r="I530">
        <v>1</v>
      </c>
      <c r="J530">
        <v>0.16</v>
      </c>
      <c r="K530">
        <v>0.18179999999999999</v>
      </c>
      <c r="L530">
        <v>0.28000000000000003</v>
      </c>
      <c r="M530">
        <v>0.1343</v>
      </c>
      <c r="N530">
        <v>3</v>
      </c>
      <c r="O530">
        <v>157</v>
      </c>
      <c r="P530">
        <v>160</v>
      </c>
      <c r="Q530" t="s">
        <v>62</v>
      </c>
      <c r="R530" t="s">
        <v>120</v>
      </c>
      <c r="S530" t="s">
        <v>26</v>
      </c>
      <c r="T530" t="s">
        <v>29</v>
      </c>
      <c r="U530" t="s">
        <v>123</v>
      </c>
    </row>
    <row r="531" spans="1:21" x14ac:dyDescent="0.3">
      <c r="A531">
        <v>919</v>
      </c>
      <c r="B531" s="1">
        <v>40584</v>
      </c>
      <c r="C531">
        <v>1</v>
      </c>
      <c r="D531">
        <v>0</v>
      </c>
      <c r="E531">
        <v>2</v>
      </c>
      <c r="F531">
        <v>19</v>
      </c>
      <c r="G531" t="b">
        <v>0</v>
      </c>
      <c r="H531">
        <v>4</v>
      </c>
      <c r="I531">
        <v>1</v>
      </c>
      <c r="J531">
        <v>0.14000000000000001</v>
      </c>
      <c r="K531">
        <v>0.16669999999999999</v>
      </c>
      <c r="L531">
        <v>0.28000000000000003</v>
      </c>
      <c r="M531">
        <v>0.1045</v>
      </c>
      <c r="N531">
        <v>2</v>
      </c>
      <c r="O531">
        <v>110</v>
      </c>
      <c r="P531">
        <v>112</v>
      </c>
      <c r="Q531" t="s">
        <v>62</v>
      </c>
      <c r="R531" t="s">
        <v>120</v>
      </c>
      <c r="S531" t="s">
        <v>26</v>
      </c>
      <c r="T531" t="s">
        <v>29</v>
      </c>
      <c r="U531" t="s">
        <v>123</v>
      </c>
    </row>
    <row r="532" spans="1:21" x14ac:dyDescent="0.3">
      <c r="A532">
        <v>920</v>
      </c>
      <c r="B532" s="1">
        <v>40584</v>
      </c>
      <c r="C532">
        <v>1</v>
      </c>
      <c r="D532">
        <v>0</v>
      </c>
      <c r="E532">
        <v>2</v>
      </c>
      <c r="F532">
        <v>20</v>
      </c>
      <c r="G532" t="b">
        <v>0</v>
      </c>
      <c r="H532">
        <v>4</v>
      </c>
      <c r="I532">
        <v>1</v>
      </c>
      <c r="J532">
        <v>0.14000000000000001</v>
      </c>
      <c r="K532">
        <v>0.18179999999999999</v>
      </c>
      <c r="L532">
        <v>0.31</v>
      </c>
      <c r="M532">
        <v>8.9599999999999999E-2</v>
      </c>
      <c r="N532">
        <v>4</v>
      </c>
      <c r="O532">
        <v>93</v>
      </c>
      <c r="P532">
        <v>97</v>
      </c>
      <c r="Q532" t="s">
        <v>62</v>
      </c>
      <c r="R532" t="s">
        <v>120</v>
      </c>
      <c r="S532" t="s">
        <v>26</v>
      </c>
      <c r="T532" t="s">
        <v>29</v>
      </c>
      <c r="U532" t="s">
        <v>123</v>
      </c>
    </row>
    <row r="533" spans="1:21" x14ac:dyDescent="0.3">
      <c r="A533">
        <v>921</v>
      </c>
      <c r="B533" s="1">
        <v>40584</v>
      </c>
      <c r="C533">
        <v>1</v>
      </c>
      <c r="D533">
        <v>0</v>
      </c>
      <c r="E533">
        <v>2</v>
      </c>
      <c r="F533">
        <v>21</v>
      </c>
      <c r="G533" t="b">
        <v>0</v>
      </c>
      <c r="H533">
        <v>4</v>
      </c>
      <c r="I533">
        <v>1</v>
      </c>
      <c r="J533">
        <v>0.14000000000000001</v>
      </c>
      <c r="K533">
        <v>0.21210000000000001</v>
      </c>
      <c r="L533">
        <v>0.39</v>
      </c>
      <c r="M533">
        <v>0</v>
      </c>
      <c r="N533">
        <v>2</v>
      </c>
      <c r="O533">
        <v>70</v>
      </c>
      <c r="P533">
        <v>72</v>
      </c>
      <c r="Q533" t="s">
        <v>62</v>
      </c>
      <c r="R533" t="s">
        <v>120</v>
      </c>
      <c r="S533" t="s">
        <v>26</v>
      </c>
      <c r="T533" t="s">
        <v>29</v>
      </c>
      <c r="U533" t="s">
        <v>123</v>
      </c>
    </row>
    <row r="534" spans="1:21" x14ac:dyDescent="0.3">
      <c r="A534">
        <v>922</v>
      </c>
      <c r="B534" s="1">
        <v>40584</v>
      </c>
      <c r="C534">
        <v>1</v>
      </c>
      <c r="D534">
        <v>0</v>
      </c>
      <c r="E534">
        <v>2</v>
      </c>
      <c r="F534">
        <v>22</v>
      </c>
      <c r="G534" t="b">
        <v>0</v>
      </c>
      <c r="H534">
        <v>4</v>
      </c>
      <c r="I534">
        <v>1</v>
      </c>
      <c r="J534">
        <v>0.12</v>
      </c>
      <c r="K534">
        <v>0.19700000000000001</v>
      </c>
      <c r="L534">
        <v>0.39</v>
      </c>
      <c r="M534">
        <v>0</v>
      </c>
      <c r="N534">
        <v>4</v>
      </c>
      <c r="O534">
        <v>47</v>
      </c>
      <c r="P534">
        <v>51</v>
      </c>
      <c r="Q534" t="s">
        <v>62</v>
      </c>
      <c r="R534" t="s">
        <v>120</v>
      </c>
      <c r="S534" t="s">
        <v>26</v>
      </c>
      <c r="T534" t="s">
        <v>29</v>
      </c>
      <c r="U534" t="s">
        <v>123</v>
      </c>
    </row>
    <row r="535" spans="1:21" x14ac:dyDescent="0.3">
      <c r="A535">
        <v>923</v>
      </c>
      <c r="B535" s="1">
        <v>40584</v>
      </c>
      <c r="C535">
        <v>1</v>
      </c>
      <c r="D535">
        <v>0</v>
      </c>
      <c r="E535">
        <v>2</v>
      </c>
      <c r="F535">
        <v>23</v>
      </c>
      <c r="G535" t="b">
        <v>0</v>
      </c>
      <c r="H535">
        <v>4</v>
      </c>
      <c r="I535">
        <v>1</v>
      </c>
      <c r="J535">
        <v>0.12</v>
      </c>
      <c r="K535">
        <v>0.1515</v>
      </c>
      <c r="L535">
        <v>0.42</v>
      </c>
      <c r="M535">
        <v>0.1045</v>
      </c>
      <c r="N535">
        <v>1</v>
      </c>
      <c r="O535">
        <v>33</v>
      </c>
      <c r="P535">
        <v>34</v>
      </c>
      <c r="Q535" t="s">
        <v>62</v>
      </c>
      <c r="R535" t="s">
        <v>120</v>
      </c>
      <c r="S535" t="s">
        <v>26</v>
      </c>
      <c r="T535" t="s">
        <v>29</v>
      </c>
      <c r="U535" t="s">
        <v>123</v>
      </c>
    </row>
    <row r="536" spans="1:21" x14ac:dyDescent="0.3">
      <c r="A536">
        <v>139</v>
      </c>
      <c r="B536" s="1">
        <v>40550</v>
      </c>
      <c r="C536">
        <v>1</v>
      </c>
      <c r="D536">
        <v>0</v>
      </c>
      <c r="E536">
        <v>1</v>
      </c>
      <c r="F536">
        <v>0</v>
      </c>
      <c r="G536" t="b">
        <v>0</v>
      </c>
      <c r="H536">
        <v>5</v>
      </c>
      <c r="I536">
        <v>2</v>
      </c>
      <c r="J536">
        <v>0.2</v>
      </c>
      <c r="K536">
        <v>0.19700000000000001</v>
      </c>
      <c r="L536">
        <v>0.64</v>
      </c>
      <c r="M536">
        <v>0.19400000000000001</v>
      </c>
      <c r="N536">
        <v>4</v>
      </c>
      <c r="O536">
        <v>13</v>
      </c>
      <c r="P536">
        <v>17</v>
      </c>
      <c r="Q536" t="s">
        <v>64</v>
      </c>
      <c r="R536" t="s">
        <v>120</v>
      </c>
      <c r="S536" t="s">
        <v>22</v>
      </c>
      <c r="T536" t="s">
        <v>30</v>
      </c>
      <c r="U536" t="s">
        <v>124</v>
      </c>
    </row>
    <row r="537" spans="1:21" x14ac:dyDescent="0.3">
      <c r="A537">
        <v>140</v>
      </c>
      <c r="B537" s="1">
        <v>40550</v>
      </c>
      <c r="C537">
        <v>1</v>
      </c>
      <c r="D537">
        <v>0</v>
      </c>
      <c r="E537">
        <v>1</v>
      </c>
      <c r="F537">
        <v>1</v>
      </c>
      <c r="G537" t="b">
        <v>0</v>
      </c>
      <c r="H537">
        <v>5</v>
      </c>
      <c r="I537">
        <v>2</v>
      </c>
      <c r="J537">
        <v>0.2</v>
      </c>
      <c r="K537">
        <v>0.19700000000000001</v>
      </c>
      <c r="L537">
        <v>0.69</v>
      </c>
      <c r="M537">
        <v>0.22389999999999999</v>
      </c>
      <c r="N537">
        <v>2</v>
      </c>
      <c r="O537">
        <v>5</v>
      </c>
      <c r="P537">
        <v>7</v>
      </c>
      <c r="Q537" t="s">
        <v>64</v>
      </c>
      <c r="R537" t="s">
        <v>120</v>
      </c>
      <c r="S537" t="s">
        <v>22</v>
      </c>
      <c r="T537" t="s">
        <v>30</v>
      </c>
      <c r="U537" t="s">
        <v>124</v>
      </c>
    </row>
    <row r="538" spans="1:21" x14ac:dyDescent="0.3">
      <c r="A538">
        <v>141</v>
      </c>
      <c r="B538" s="1">
        <v>40550</v>
      </c>
      <c r="C538">
        <v>1</v>
      </c>
      <c r="D538">
        <v>0</v>
      </c>
      <c r="E538">
        <v>1</v>
      </c>
      <c r="F538">
        <v>2</v>
      </c>
      <c r="G538" t="b">
        <v>0</v>
      </c>
      <c r="H538">
        <v>5</v>
      </c>
      <c r="I538">
        <v>2</v>
      </c>
      <c r="J538">
        <v>0.2</v>
      </c>
      <c r="K538">
        <v>0.19700000000000001</v>
      </c>
      <c r="L538">
        <v>0.69</v>
      </c>
      <c r="M538">
        <v>0.22389999999999999</v>
      </c>
      <c r="N538">
        <v>0</v>
      </c>
      <c r="O538">
        <v>1</v>
      </c>
      <c r="P538">
        <v>1</v>
      </c>
      <c r="Q538" t="s">
        <v>64</v>
      </c>
      <c r="R538" t="s">
        <v>120</v>
      </c>
      <c r="S538" t="s">
        <v>22</v>
      </c>
      <c r="T538" t="s">
        <v>30</v>
      </c>
      <c r="U538" t="s">
        <v>124</v>
      </c>
    </row>
    <row r="539" spans="1:21" x14ac:dyDescent="0.3">
      <c r="A539">
        <v>142</v>
      </c>
      <c r="B539" s="1">
        <v>40550</v>
      </c>
      <c r="C539">
        <v>1</v>
      </c>
      <c r="D539">
        <v>0</v>
      </c>
      <c r="E539">
        <v>1</v>
      </c>
      <c r="F539">
        <v>4</v>
      </c>
      <c r="G539" t="b">
        <v>0</v>
      </c>
      <c r="H539">
        <v>5</v>
      </c>
      <c r="I539">
        <v>2</v>
      </c>
      <c r="J539">
        <v>0.2</v>
      </c>
      <c r="K539">
        <v>0.21210000000000001</v>
      </c>
      <c r="L539">
        <v>0.69</v>
      </c>
      <c r="M539">
        <v>0.1343</v>
      </c>
      <c r="N539">
        <v>0</v>
      </c>
      <c r="O539">
        <v>1</v>
      </c>
      <c r="P539">
        <v>1</v>
      </c>
      <c r="Q539" t="s">
        <v>64</v>
      </c>
      <c r="R539" t="s">
        <v>120</v>
      </c>
      <c r="S539" t="s">
        <v>22</v>
      </c>
      <c r="T539" t="s">
        <v>30</v>
      </c>
      <c r="U539" t="s">
        <v>124</v>
      </c>
    </row>
    <row r="540" spans="1:21" x14ac:dyDescent="0.3">
      <c r="A540">
        <v>143</v>
      </c>
      <c r="B540" s="1">
        <v>40550</v>
      </c>
      <c r="C540">
        <v>1</v>
      </c>
      <c r="D540">
        <v>0</v>
      </c>
      <c r="E540">
        <v>1</v>
      </c>
      <c r="F540">
        <v>5</v>
      </c>
      <c r="G540" t="b">
        <v>0</v>
      </c>
      <c r="H540">
        <v>5</v>
      </c>
      <c r="I540">
        <v>3</v>
      </c>
      <c r="J540">
        <v>0.22</v>
      </c>
      <c r="K540">
        <v>0.2727</v>
      </c>
      <c r="L540">
        <v>0.55000000000000004</v>
      </c>
      <c r="M540">
        <v>0</v>
      </c>
      <c r="N540">
        <v>0</v>
      </c>
      <c r="O540">
        <v>5</v>
      </c>
      <c r="P540">
        <v>5</v>
      </c>
      <c r="Q540" t="s">
        <v>63</v>
      </c>
      <c r="R540" t="s">
        <v>120</v>
      </c>
      <c r="S540" t="s">
        <v>22</v>
      </c>
      <c r="T540" t="s">
        <v>30</v>
      </c>
      <c r="U540" t="s">
        <v>125</v>
      </c>
    </row>
    <row r="541" spans="1:21" x14ac:dyDescent="0.3">
      <c r="A541">
        <v>144</v>
      </c>
      <c r="B541" s="1">
        <v>40550</v>
      </c>
      <c r="C541">
        <v>1</v>
      </c>
      <c r="D541">
        <v>0</v>
      </c>
      <c r="E541">
        <v>1</v>
      </c>
      <c r="F541">
        <v>6</v>
      </c>
      <c r="G541" t="b">
        <v>0</v>
      </c>
      <c r="H541">
        <v>5</v>
      </c>
      <c r="I541">
        <v>2</v>
      </c>
      <c r="J541">
        <v>0.2</v>
      </c>
      <c r="K541">
        <v>0.2576</v>
      </c>
      <c r="L541">
        <v>0.69</v>
      </c>
      <c r="M541">
        <v>0</v>
      </c>
      <c r="N541">
        <v>8</v>
      </c>
      <c r="O541">
        <v>26</v>
      </c>
      <c r="P541">
        <v>34</v>
      </c>
      <c r="Q541" t="s">
        <v>64</v>
      </c>
      <c r="R541" t="s">
        <v>120</v>
      </c>
      <c r="S541" t="s">
        <v>22</v>
      </c>
      <c r="T541" t="s">
        <v>30</v>
      </c>
      <c r="U541" t="s">
        <v>124</v>
      </c>
    </row>
    <row r="542" spans="1:21" x14ac:dyDescent="0.3">
      <c r="A542">
        <v>145</v>
      </c>
      <c r="B542" s="1">
        <v>40550</v>
      </c>
      <c r="C542">
        <v>1</v>
      </c>
      <c r="D542">
        <v>0</v>
      </c>
      <c r="E542">
        <v>1</v>
      </c>
      <c r="F542">
        <v>7</v>
      </c>
      <c r="G542" t="b">
        <v>0</v>
      </c>
      <c r="H542">
        <v>5</v>
      </c>
      <c r="I542">
        <v>1</v>
      </c>
      <c r="J542">
        <v>0.2</v>
      </c>
      <c r="K542">
        <v>0.21210000000000001</v>
      </c>
      <c r="L542">
        <v>0.69</v>
      </c>
      <c r="M542">
        <v>0.1343</v>
      </c>
      <c r="N542">
        <v>8</v>
      </c>
      <c r="O542">
        <v>76</v>
      </c>
      <c r="P542">
        <v>84</v>
      </c>
      <c r="Q542" t="s">
        <v>62</v>
      </c>
      <c r="R542" t="s">
        <v>120</v>
      </c>
      <c r="S542" t="s">
        <v>22</v>
      </c>
      <c r="T542" t="s">
        <v>30</v>
      </c>
      <c r="U542" t="s">
        <v>123</v>
      </c>
    </row>
    <row r="543" spans="1:21" x14ac:dyDescent="0.3">
      <c r="A543">
        <v>146</v>
      </c>
      <c r="B543" s="1">
        <v>40550</v>
      </c>
      <c r="C543">
        <v>1</v>
      </c>
      <c r="D543">
        <v>0</v>
      </c>
      <c r="E543">
        <v>1</v>
      </c>
      <c r="F543">
        <v>8</v>
      </c>
      <c r="G543" t="b">
        <v>0</v>
      </c>
      <c r="H543">
        <v>5</v>
      </c>
      <c r="I543">
        <v>1</v>
      </c>
      <c r="J543">
        <v>0.2</v>
      </c>
      <c r="K543">
        <v>0.19700000000000001</v>
      </c>
      <c r="L543">
        <v>0.51</v>
      </c>
      <c r="M543">
        <v>0.25369999999999998</v>
      </c>
      <c r="N543">
        <v>20</v>
      </c>
      <c r="O543">
        <v>190</v>
      </c>
      <c r="P543">
        <v>210</v>
      </c>
      <c r="Q543" t="s">
        <v>62</v>
      </c>
      <c r="R543" t="s">
        <v>120</v>
      </c>
      <c r="S543" t="s">
        <v>22</v>
      </c>
      <c r="T543" t="s">
        <v>30</v>
      </c>
      <c r="U543" t="s">
        <v>123</v>
      </c>
    </row>
    <row r="544" spans="1:21" x14ac:dyDescent="0.3">
      <c r="A544">
        <v>147</v>
      </c>
      <c r="B544" s="1">
        <v>40550</v>
      </c>
      <c r="C544">
        <v>1</v>
      </c>
      <c r="D544">
        <v>0</v>
      </c>
      <c r="E544">
        <v>1</v>
      </c>
      <c r="F544">
        <v>9</v>
      </c>
      <c r="G544" t="b">
        <v>0</v>
      </c>
      <c r="H544">
        <v>5</v>
      </c>
      <c r="I544">
        <v>1</v>
      </c>
      <c r="J544">
        <v>0.2</v>
      </c>
      <c r="K544">
        <v>0.18179999999999999</v>
      </c>
      <c r="L544">
        <v>0.47</v>
      </c>
      <c r="M544">
        <v>0.29849999999999999</v>
      </c>
      <c r="N544">
        <v>9</v>
      </c>
      <c r="O544">
        <v>125</v>
      </c>
      <c r="P544">
        <v>134</v>
      </c>
      <c r="Q544" t="s">
        <v>62</v>
      </c>
      <c r="R544" t="s">
        <v>120</v>
      </c>
      <c r="S544" t="s">
        <v>22</v>
      </c>
      <c r="T544" t="s">
        <v>30</v>
      </c>
      <c r="U544" t="s">
        <v>123</v>
      </c>
    </row>
    <row r="545" spans="1:21" x14ac:dyDescent="0.3">
      <c r="A545">
        <v>148</v>
      </c>
      <c r="B545" s="1">
        <v>40550</v>
      </c>
      <c r="C545">
        <v>1</v>
      </c>
      <c r="D545">
        <v>0</v>
      </c>
      <c r="E545">
        <v>1</v>
      </c>
      <c r="F545">
        <v>10</v>
      </c>
      <c r="G545" t="b">
        <v>0</v>
      </c>
      <c r="H545">
        <v>5</v>
      </c>
      <c r="I545">
        <v>1</v>
      </c>
      <c r="J545">
        <v>0.22</v>
      </c>
      <c r="K545">
        <v>0.19700000000000001</v>
      </c>
      <c r="L545">
        <v>0.37</v>
      </c>
      <c r="M545">
        <v>0.32840000000000003</v>
      </c>
      <c r="N545">
        <v>16</v>
      </c>
      <c r="O545">
        <v>47</v>
      </c>
      <c r="P545">
        <v>63</v>
      </c>
      <c r="Q545" t="s">
        <v>62</v>
      </c>
      <c r="R545" t="s">
        <v>120</v>
      </c>
      <c r="S545" t="s">
        <v>22</v>
      </c>
      <c r="T545" t="s">
        <v>30</v>
      </c>
      <c r="U545" t="s">
        <v>123</v>
      </c>
    </row>
    <row r="546" spans="1:21" x14ac:dyDescent="0.3">
      <c r="A546">
        <v>149</v>
      </c>
      <c r="B546" s="1">
        <v>40550</v>
      </c>
      <c r="C546">
        <v>1</v>
      </c>
      <c r="D546">
        <v>0</v>
      </c>
      <c r="E546">
        <v>1</v>
      </c>
      <c r="F546">
        <v>11</v>
      </c>
      <c r="G546" t="b">
        <v>0</v>
      </c>
      <c r="H546">
        <v>5</v>
      </c>
      <c r="I546">
        <v>2</v>
      </c>
      <c r="J546">
        <v>0.2</v>
      </c>
      <c r="K546">
        <v>0.19700000000000001</v>
      </c>
      <c r="L546">
        <v>0.4</v>
      </c>
      <c r="M546">
        <v>0.22389999999999999</v>
      </c>
      <c r="N546">
        <v>19</v>
      </c>
      <c r="O546">
        <v>48</v>
      </c>
      <c r="P546">
        <v>67</v>
      </c>
      <c r="Q546" t="s">
        <v>64</v>
      </c>
      <c r="R546" t="s">
        <v>120</v>
      </c>
      <c r="S546" t="s">
        <v>22</v>
      </c>
      <c r="T546" t="s">
        <v>30</v>
      </c>
      <c r="U546" t="s">
        <v>124</v>
      </c>
    </row>
    <row r="547" spans="1:21" x14ac:dyDescent="0.3">
      <c r="A547">
        <v>150</v>
      </c>
      <c r="B547" s="1">
        <v>40550</v>
      </c>
      <c r="C547">
        <v>1</v>
      </c>
      <c r="D547">
        <v>0</v>
      </c>
      <c r="E547">
        <v>1</v>
      </c>
      <c r="F547">
        <v>12</v>
      </c>
      <c r="G547" t="b">
        <v>0</v>
      </c>
      <c r="H547">
        <v>5</v>
      </c>
      <c r="I547">
        <v>2</v>
      </c>
      <c r="J547">
        <v>0.2</v>
      </c>
      <c r="K547">
        <v>0.19700000000000001</v>
      </c>
      <c r="L547">
        <v>0.37</v>
      </c>
      <c r="M547">
        <v>0.25369999999999998</v>
      </c>
      <c r="N547">
        <v>9</v>
      </c>
      <c r="O547">
        <v>50</v>
      </c>
      <c r="P547">
        <v>59</v>
      </c>
      <c r="Q547" t="s">
        <v>64</v>
      </c>
      <c r="R547" t="s">
        <v>120</v>
      </c>
      <c r="S547" t="s">
        <v>22</v>
      </c>
      <c r="T547" t="s">
        <v>30</v>
      </c>
      <c r="U547" t="s">
        <v>124</v>
      </c>
    </row>
    <row r="548" spans="1:21" x14ac:dyDescent="0.3">
      <c r="A548">
        <v>151</v>
      </c>
      <c r="B548" s="1">
        <v>40550</v>
      </c>
      <c r="C548">
        <v>1</v>
      </c>
      <c r="D548">
        <v>0</v>
      </c>
      <c r="E548">
        <v>1</v>
      </c>
      <c r="F548">
        <v>13</v>
      </c>
      <c r="G548" t="b">
        <v>0</v>
      </c>
      <c r="H548">
        <v>5</v>
      </c>
      <c r="I548">
        <v>2</v>
      </c>
      <c r="J548">
        <v>0.2</v>
      </c>
      <c r="K548">
        <v>0.18179999999999999</v>
      </c>
      <c r="L548">
        <v>0.37</v>
      </c>
      <c r="M548">
        <v>0.28360000000000002</v>
      </c>
      <c r="N548">
        <v>9</v>
      </c>
      <c r="O548">
        <v>64</v>
      </c>
      <c r="P548">
        <v>73</v>
      </c>
      <c r="Q548" t="s">
        <v>64</v>
      </c>
      <c r="R548" t="s">
        <v>120</v>
      </c>
      <c r="S548" t="s">
        <v>22</v>
      </c>
      <c r="T548" t="s">
        <v>30</v>
      </c>
      <c r="U548" t="s">
        <v>124</v>
      </c>
    </row>
    <row r="549" spans="1:21" x14ac:dyDescent="0.3">
      <c r="A549">
        <v>152</v>
      </c>
      <c r="B549" s="1">
        <v>40550</v>
      </c>
      <c r="C549">
        <v>1</v>
      </c>
      <c r="D549">
        <v>0</v>
      </c>
      <c r="E549">
        <v>1</v>
      </c>
      <c r="F549">
        <v>14</v>
      </c>
      <c r="G549" t="b">
        <v>0</v>
      </c>
      <c r="H549">
        <v>5</v>
      </c>
      <c r="I549">
        <v>2</v>
      </c>
      <c r="J549">
        <v>0.2</v>
      </c>
      <c r="K549">
        <v>0.19700000000000001</v>
      </c>
      <c r="L549">
        <v>0.4</v>
      </c>
      <c r="M549">
        <v>0.25369999999999998</v>
      </c>
      <c r="N549">
        <v>7</v>
      </c>
      <c r="O549">
        <v>43</v>
      </c>
      <c r="P549">
        <v>50</v>
      </c>
      <c r="Q549" t="s">
        <v>64</v>
      </c>
      <c r="R549" t="s">
        <v>120</v>
      </c>
      <c r="S549" t="s">
        <v>22</v>
      </c>
      <c r="T549" t="s">
        <v>30</v>
      </c>
      <c r="U549" t="s">
        <v>124</v>
      </c>
    </row>
    <row r="550" spans="1:21" x14ac:dyDescent="0.3">
      <c r="A550">
        <v>153</v>
      </c>
      <c r="B550" s="1">
        <v>40550</v>
      </c>
      <c r="C550">
        <v>1</v>
      </c>
      <c r="D550">
        <v>0</v>
      </c>
      <c r="E550">
        <v>1</v>
      </c>
      <c r="F550">
        <v>15</v>
      </c>
      <c r="G550" t="b">
        <v>0</v>
      </c>
      <c r="H550">
        <v>5</v>
      </c>
      <c r="I550">
        <v>2</v>
      </c>
      <c r="J550">
        <v>0.2</v>
      </c>
      <c r="K550">
        <v>0.21210000000000001</v>
      </c>
      <c r="L550">
        <v>0.37</v>
      </c>
      <c r="M550">
        <v>0.16420000000000001</v>
      </c>
      <c r="N550">
        <v>9</v>
      </c>
      <c r="O550">
        <v>63</v>
      </c>
      <c r="P550">
        <v>72</v>
      </c>
      <c r="Q550" t="s">
        <v>64</v>
      </c>
      <c r="R550" t="s">
        <v>120</v>
      </c>
      <c r="S550" t="s">
        <v>22</v>
      </c>
      <c r="T550" t="s">
        <v>30</v>
      </c>
      <c r="U550" t="s">
        <v>124</v>
      </c>
    </row>
    <row r="551" spans="1:21" x14ac:dyDescent="0.3">
      <c r="A551">
        <v>154</v>
      </c>
      <c r="B551" s="1">
        <v>40550</v>
      </c>
      <c r="C551">
        <v>1</v>
      </c>
      <c r="D551">
        <v>0</v>
      </c>
      <c r="E551">
        <v>1</v>
      </c>
      <c r="F551">
        <v>16</v>
      </c>
      <c r="G551" t="b">
        <v>0</v>
      </c>
      <c r="H551">
        <v>5</v>
      </c>
      <c r="I551">
        <v>2</v>
      </c>
      <c r="J551">
        <v>0.2</v>
      </c>
      <c r="K551">
        <v>0.21210000000000001</v>
      </c>
      <c r="L551">
        <v>0.37</v>
      </c>
      <c r="M551">
        <v>0.16420000000000001</v>
      </c>
      <c r="N551">
        <v>5</v>
      </c>
      <c r="O551">
        <v>82</v>
      </c>
      <c r="P551">
        <v>87</v>
      </c>
      <c r="Q551" t="s">
        <v>64</v>
      </c>
      <c r="R551" t="s">
        <v>120</v>
      </c>
      <c r="S551" t="s">
        <v>22</v>
      </c>
      <c r="T551" t="s">
        <v>30</v>
      </c>
      <c r="U551" t="s">
        <v>124</v>
      </c>
    </row>
    <row r="552" spans="1:21" x14ac:dyDescent="0.3">
      <c r="A552">
        <v>155</v>
      </c>
      <c r="B552" s="1">
        <v>40550</v>
      </c>
      <c r="C552">
        <v>1</v>
      </c>
      <c r="D552">
        <v>0</v>
      </c>
      <c r="E552">
        <v>1</v>
      </c>
      <c r="F552">
        <v>17</v>
      </c>
      <c r="G552" t="b">
        <v>0</v>
      </c>
      <c r="H552">
        <v>5</v>
      </c>
      <c r="I552">
        <v>2</v>
      </c>
      <c r="J552">
        <v>0.2</v>
      </c>
      <c r="K552">
        <v>0.2576</v>
      </c>
      <c r="L552">
        <v>0.37</v>
      </c>
      <c r="M552">
        <v>0</v>
      </c>
      <c r="N552">
        <v>9</v>
      </c>
      <c r="O552">
        <v>178</v>
      </c>
      <c r="P552">
        <v>187</v>
      </c>
      <c r="Q552" t="s">
        <v>64</v>
      </c>
      <c r="R552" t="s">
        <v>120</v>
      </c>
      <c r="S552" t="s">
        <v>22</v>
      </c>
      <c r="T552" t="s">
        <v>30</v>
      </c>
      <c r="U552" t="s">
        <v>124</v>
      </c>
    </row>
    <row r="553" spans="1:21" x14ac:dyDescent="0.3">
      <c r="A553">
        <v>156</v>
      </c>
      <c r="B553" s="1">
        <v>40550</v>
      </c>
      <c r="C553">
        <v>1</v>
      </c>
      <c r="D553">
        <v>0</v>
      </c>
      <c r="E553">
        <v>1</v>
      </c>
      <c r="F553">
        <v>18</v>
      </c>
      <c r="G553" t="b">
        <v>0</v>
      </c>
      <c r="H553">
        <v>5</v>
      </c>
      <c r="I553">
        <v>1</v>
      </c>
      <c r="J553">
        <v>0.2</v>
      </c>
      <c r="K553">
        <v>0.2273</v>
      </c>
      <c r="L553">
        <v>0.4</v>
      </c>
      <c r="M553">
        <v>8.9599999999999999E-2</v>
      </c>
      <c r="N553">
        <v>7</v>
      </c>
      <c r="O553">
        <v>116</v>
      </c>
      <c r="P553">
        <v>123</v>
      </c>
      <c r="Q553" t="s">
        <v>62</v>
      </c>
      <c r="R553" t="s">
        <v>120</v>
      </c>
      <c r="S553" t="s">
        <v>22</v>
      </c>
      <c r="T553" t="s">
        <v>30</v>
      </c>
      <c r="U553" t="s">
        <v>123</v>
      </c>
    </row>
    <row r="554" spans="1:21" x14ac:dyDescent="0.3">
      <c r="A554">
        <v>157</v>
      </c>
      <c r="B554" s="1">
        <v>40550</v>
      </c>
      <c r="C554">
        <v>1</v>
      </c>
      <c r="D554">
        <v>0</v>
      </c>
      <c r="E554">
        <v>1</v>
      </c>
      <c r="F554">
        <v>19</v>
      </c>
      <c r="G554" t="b">
        <v>0</v>
      </c>
      <c r="H554">
        <v>5</v>
      </c>
      <c r="I554">
        <v>1</v>
      </c>
      <c r="J554">
        <v>0.16</v>
      </c>
      <c r="K554">
        <v>0.19700000000000001</v>
      </c>
      <c r="L554">
        <v>0.55000000000000004</v>
      </c>
      <c r="M554">
        <v>8.9599999999999999E-2</v>
      </c>
      <c r="N554">
        <v>3</v>
      </c>
      <c r="O554">
        <v>92</v>
      </c>
      <c r="P554">
        <v>95</v>
      </c>
      <c r="Q554" t="s">
        <v>62</v>
      </c>
      <c r="R554" t="s">
        <v>120</v>
      </c>
      <c r="S554" t="s">
        <v>22</v>
      </c>
      <c r="T554" t="s">
        <v>30</v>
      </c>
      <c r="U554" t="s">
        <v>123</v>
      </c>
    </row>
    <row r="555" spans="1:21" x14ac:dyDescent="0.3">
      <c r="A555">
        <v>158</v>
      </c>
      <c r="B555" s="1">
        <v>40550</v>
      </c>
      <c r="C555">
        <v>1</v>
      </c>
      <c r="D555">
        <v>0</v>
      </c>
      <c r="E555">
        <v>1</v>
      </c>
      <c r="F555">
        <v>20</v>
      </c>
      <c r="G555" t="b">
        <v>0</v>
      </c>
      <c r="H555">
        <v>5</v>
      </c>
      <c r="I555">
        <v>1</v>
      </c>
      <c r="J555">
        <v>0.18</v>
      </c>
      <c r="K555">
        <v>0.21210000000000001</v>
      </c>
      <c r="L555">
        <v>0.47</v>
      </c>
      <c r="M555">
        <v>0.1045</v>
      </c>
      <c r="N555">
        <v>1</v>
      </c>
      <c r="O555">
        <v>50</v>
      </c>
      <c r="P555">
        <v>51</v>
      </c>
      <c r="Q555" t="s">
        <v>62</v>
      </c>
      <c r="R555" t="s">
        <v>120</v>
      </c>
      <c r="S555" t="s">
        <v>22</v>
      </c>
      <c r="T555" t="s">
        <v>30</v>
      </c>
      <c r="U555" t="s">
        <v>123</v>
      </c>
    </row>
    <row r="556" spans="1:21" x14ac:dyDescent="0.3">
      <c r="A556">
        <v>159</v>
      </c>
      <c r="B556" s="1">
        <v>40550</v>
      </c>
      <c r="C556">
        <v>1</v>
      </c>
      <c r="D556">
        <v>0</v>
      </c>
      <c r="E556">
        <v>1</v>
      </c>
      <c r="F556">
        <v>21</v>
      </c>
      <c r="G556" t="b">
        <v>0</v>
      </c>
      <c r="H556">
        <v>5</v>
      </c>
      <c r="I556">
        <v>1</v>
      </c>
      <c r="J556">
        <v>0.18</v>
      </c>
      <c r="K556">
        <v>0.19700000000000001</v>
      </c>
      <c r="L556">
        <v>0.47</v>
      </c>
      <c r="M556">
        <v>0.1343</v>
      </c>
      <c r="N556">
        <v>0</v>
      </c>
      <c r="O556">
        <v>39</v>
      </c>
      <c r="P556">
        <v>39</v>
      </c>
      <c r="Q556" t="s">
        <v>62</v>
      </c>
      <c r="R556" t="s">
        <v>120</v>
      </c>
      <c r="S556" t="s">
        <v>22</v>
      </c>
      <c r="T556" t="s">
        <v>30</v>
      </c>
      <c r="U556" t="s">
        <v>123</v>
      </c>
    </row>
    <row r="557" spans="1:21" x14ac:dyDescent="0.3">
      <c r="A557">
        <v>160</v>
      </c>
      <c r="B557" s="1">
        <v>40550</v>
      </c>
      <c r="C557">
        <v>1</v>
      </c>
      <c r="D557">
        <v>0</v>
      </c>
      <c r="E557">
        <v>1</v>
      </c>
      <c r="F557">
        <v>22</v>
      </c>
      <c r="G557" t="b">
        <v>0</v>
      </c>
      <c r="H557">
        <v>5</v>
      </c>
      <c r="I557">
        <v>2</v>
      </c>
      <c r="J557">
        <v>0.18</v>
      </c>
      <c r="K557">
        <v>0.19700000000000001</v>
      </c>
      <c r="L557">
        <v>0.43</v>
      </c>
      <c r="M557">
        <v>0.16420000000000001</v>
      </c>
      <c r="N557">
        <v>2</v>
      </c>
      <c r="O557">
        <v>34</v>
      </c>
      <c r="P557">
        <v>36</v>
      </c>
      <c r="Q557" t="s">
        <v>64</v>
      </c>
      <c r="R557" t="s">
        <v>120</v>
      </c>
      <c r="S557" t="s">
        <v>22</v>
      </c>
      <c r="T557" t="s">
        <v>30</v>
      </c>
      <c r="U557" t="s">
        <v>124</v>
      </c>
    </row>
    <row r="558" spans="1:21" x14ac:dyDescent="0.3">
      <c r="A558">
        <v>161</v>
      </c>
      <c r="B558" s="1">
        <v>40550</v>
      </c>
      <c r="C558">
        <v>1</v>
      </c>
      <c r="D558">
        <v>0</v>
      </c>
      <c r="E558">
        <v>1</v>
      </c>
      <c r="F558">
        <v>23</v>
      </c>
      <c r="G558" t="b">
        <v>0</v>
      </c>
      <c r="H558">
        <v>5</v>
      </c>
      <c r="I558">
        <v>2</v>
      </c>
      <c r="J558">
        <v>0.18</v>
      </c>
      <c r="K558">
        <v>0.19700000000000001</v>
      </c>
      <c r="L558">
        <v>0.51</v>
      </c>
      <c r="M558">
        <v>0.16420000000000001</v>
      </c>
      <c r="N558">
        <v>1</v>
      </c>
      <c r="O558">
        <v>14</v>
      </c>
      <c r="P558">
        <v>15</v>
      </c>
      <c r="Q558" t="s">
        <v>64</v>
      </c>
      <c r="R558" t="s">
        <v>120</v>
      </c>
      <c r="S558" t="s">
        <v>22</v>
      </c>
      <c r="T558" t="s">
        <v>30</v>
      </c>
      <c r="U558" t="s">
        <v>124</v>
      </c>
    </row>
    <row r="559" spans="1:21" x14ac:dyDescent="0.3">
      <c r="A559">
        <v>302</v>
      </c>
      <c r="B559" s="1">
        <v>40557</v>
      </c>
      <c r="C559">
        <v>1</v>
      </c>
      <c r="D559">
        <v>0</v>
      </c>
      <c r="E559">
        <v>1</v>
      </c>
      <c r="F559">
        <v>0</v>
      </c>
      <c r="G559" t="b">
        <v>0</v>
      </c>
      <c r="H559">
        <v>5</v>
      </c>
      <c r="I559">
        <v>1</v>
      </c>
      <c r="J559">
        <v>0.12</v>
      </c>
      <c r="K559">
        <v>0.13639999999999999</v>
      </c>
      <c r="L559">
        <v>0.5</v>
      </c>
      <c r="M559">
        <v>0.19400000000000001</v>
      </c>
      <c r="N559">
        <v>0</v>
      </c>
      <c r="O559">
        <v>14</v>
      </c>
      <c r="P559">
        <v>14</v>
      </c>
      <c r="Q559" t="s">
        <v>62</v>
      </c>
      <c r="R559" t="s">
        <v>120</v>
      </c>
      <c r="S559" t="s">
        <v>22</v>
      </c>
      <c r="T559" t="s">
        <v>30</v>
      </c>
      <c r="U559" t="s">
        <v>123</v>
      </c>
    </row>
    <row r="560" spans="1:21" x14ac:dyDescent="0.3">
      <c r="A560">
        <v>303</v>
      </c>
      <c r="B560" s="1">
        <v>40557</v>
      </c>
      <c r="C560">
        <v>1</v>
      </c>
      <c r="D560">
        <v>0</v>
      </c>
      <c r="E560">
        <v>1</v>
      </c>
      <c r="F560">
        <v>1</v>
      </c>
      <c r="G560" t="b">
        <v>0</v>
      </c>
      <c r="H560">
        <v>5</v>
      </c>
      <c r="I560">
        <v>1</v>
      </c>
      <c r="J560">
        <v>0.1</v>
      </c>
      <c r="K560">
        <v>0.1212</v>
      </c>
      <c r="L560">
        <v>0.54</v>
      </c>
      <c r="M560">
        <v>0.16420000000000001</v>
      </c>
      <c r="N560">
        <v>0</v>
      </c>
      <c r="O560">
        <v>5</v>
      </c>
      <c r="P560">
        <v>5</v>
      </c>
      <c r="Q560" t="s">
        <v>62</v>
      </c>
      <c r="R560" t="s">
        <v>120</v>
      </c>
      <c r="S560" t="s">
        <v>22</v>
      </c>
      <c r="T560" t="s">
        <v>30</v>
      </c>
      <c r="U560" t="s">
        <v>123</v>
      </c>
    </row>
    <row r="561" spans="1:21" x14ac:dyDescent="0.3">
      <c r="A561">
        <v>304</v>
      </c>
      <c r="B561" s="1">
        <v>40557</v>
      </c>
      <c r="C561">
        <v>1</v>
      </c>
      <c r="D561">
        <v>0</v>
      </c>
      <c r="E561">
        <v>1</v>
      </c>
      <c r="F561">
        <v>2</v>
      </c>
      <c r="G561" t="b">
        <v>0</v>
      </c>
      <c r="H561">
        <v>5</v>
      </c>
      <c r="I561">
        <v>1</v>
      </c>
      <c r="J561">
        <v>0.1</v>
      </c>
      <c r="K561">
        <v>0.1212</v>
      </c>
      <c r="L561">
        <v>0.54</v>
      </c>
      <c r="M561">
        <v>0.1343</v>
      </c>
      <c r="N561">
        <v>0</v>
      </c>
      <c r="O561">
        <v>1</v>
      </c>
      <c r="P561">
        <v>1</v>
      </c>
      <c r="Q561" t="s">
        <v>62</v>
      </c>
      <c r="R561" t="s">
        <v>120</v>
      </c>
      <c r="S561" t="s">
        <v>22</v>
      </c>
      <c r="T561" t="s">
        <v>30</v>
      </c>
      <c r="U561" t="s">
        <v>123</v>
      </c>
    </row>
    <row r="562" spans="1:21" x14ac:dyDescent="0.3">
      <c r="A562">
        <v>305</v>
      </c>
      <c r="B562" s="1">
        <v>40557</v>
      </c>
      <c r="C562">
        <v>1</v>
      </c>
      <c r="D562">
        <v>0</v>
      </c>
      <c r="E562">
        <v>1</v>
      </c>
      <c r="F562">
        <v>3</v>
      </c>
      <c r="G562" t="b">
        <v>0</v>
      </c>
      <c r="H562">
        <v>5</v>
      </c>
      <c r="I562">
        <v>1</v>
      </c>
      <c r="J562">
        <v>0.1</v>
      </c>
      <c r="K562">
        <v>0.13639999999999999</v>
      </c>
      <c r="L562">
        <v>0.54</v>
      </c>
      <c r="M562">
        <v>0.1045</v>
      </c>
      <c r="N562">
        <v>0</v>
      </c>
      <c r="O562">
        <v>1</v>
      </c>
      <c r="P562">
        <v>1</v>
      </c>
      <c r="Q562" t="s">
        <v>62</v>
      </c>
      <c r="R562" t="s">
        <v>120</v>
      </c>
      <c r="S562" t="s">
        <v>22</v>
      </c>
      <c r="T562" t="s">
        <v>30</v>
      </c>
      <c r="U562" t="s">
        <v>123</v>
      </c>
    </row>
    <row r="563" spans="1:21" x14ac:dyDescent="0.3">
      <c r="A563">
        <v>306</v>
      </c>
      <c r="B563" s="1">
        <v>40557</v>
      </c>
      <c r="C563">
        <v>1</v>
      </c>
      <c r="D563">
        <v>0</v>
      </c>
      <c r="E563">
        <v>1</v>
      </c>
      <c r="F563">
        <v>5</v>
      </c>
      <c r="G563" t="b">
        <v>0</v>
      </c>
      <c r="H563">
        <v>5</v>
      </c>
      <c r="I563">
        <v>1</v>
      </c>
      <c r="J563">
        <v>0.1</v>
      </c>
      <c r="K563">
        <v>0.13639999999999999</v>
      </c>
      <c r="L563">
        <v>0.54</v>
      </c>
      <c r="M563">
        <v>8.9599999999999999E-2</v>
      </c>
      <c r="N563">
        <v>0</v>
      </c>
      <c r="O563">
        <v>8</v>
      </c>
      <c r="P563">
        <v>8</v>
      </c>
      <c r="Q563" t="s">
        <v>62</v>
      </c>
      <c r="R563" t="s">
        <v>120</v>
      </c>
      <c r="S563" t="s">
        <v>22</v>
      </c>
      <c r="T563" t="s">
        <v>30</v>
      </c>
      <c r="U563" t="s">
        <v>123</v>
      </c>
    </row>
    <row r="564" spans="1:21" x14ac:dyDescent="0.3">
      <c r="A564">
        <v>307</v>
      </c>
      <c r="B564" s="1">
        <v>40557</v>
      </c>
      <c r="C564">
        <v>1</v>
      </c>
      <c r="D564">
        <v>0</v>
      </c>
      <c r="E564">
        <v>1</v>
      </c>
      <c r="F564">
        <v>6</v>
      </c>
      <c r="G564" t="b">
        <v>0</v>
      </c>
      <c r="H564">
        <v>5</v>
      </c>
      <c r="I564">
        <v>1</v>
      </c>
      <c r="J564">
        <v>0.1</v>
      </c>
      <c r="K564">
        <v>0.18179999999999999</v>
      </c>
      <c r="L564">
        <v>0.54</v>
      </c>
      <c r="M564">
        <v>0</v>
      </c>
      <c r="N564">
        <v>0</v>
      </c>
      <c r="O564">
        <v>17</v>
      </c>
      <c r="P564">
        <v>17</v>
      </c>
      <c r="Q564" t="s">
        <v>62</v>
      </c>
      <c r="R564" t="s">
        <v>120</v>
      </c>
      <c r="S564" t="s">
        <v>22</v>
      </c>
      <c r="T564" t="s">
        <v>30</v>
      </c>
      <c r="U564" t="s">
        <v>123</v>
      </c>
    </row>
    <row r="565" spans="1:21" x14ac:dyDescent="0.3">
      <c r="A565">
        <v>308</v>
      </c>
      <c r="B565" s="1">
        <v>40557</v>
      </c>
      <c r="C565">
        <v>1</v>
      </c>
      <c r="D565">
        <v>0</v>
      </c>
      <c r="E565">
        <v>1</v>
      </c>
      <c r="F565">
        <v>7</v>
      </c>
      <c r="G565" t="b">
        <v>0</v>
      </c>
      <c r="H565">
        <v>5</v>
      </c>
      <c r="I565">
        <v>1</v>
      </c>
      <c r="J565">
        <v>0.1</v>
      </c>
      <c r="K565">
        <v>0.1212</v>
      </c>
      <c r="L565">
        <v>0.74</v>
      </c>
      <c r="M565">
        <v>0.16420000000000001</v>
      </c>
      <c r="N565">
        <v>0</v>
      </c>
      <c r="O565">
        <v>70</v>
      </c>
      <c r="P565">
        <v>70</v>
      </c>
      <c r="Q565" t="s">
        <v>62</v>
      </c>
      <c r="R565" t="s">
        <v>120</v>
      </c>
      <c r="S565" t="s">
        <v>22</v>
      </c>
      <c r="T565" t="s">
        <v>30</v>
      </c>
      <c r="U565" t="s">
        <v>123</v>
      </c>
    </row>
    <row r="566" spans="1:21" x14ac:dyDescent="0.3">
      <c r="A566">
        <v>309</v>
      </c>
      <c r="B566" s="1">
        <v>40557</v>
      </c>
      <c r="C566">
        <v>1</v>
      </c>
      <c r="D566">
        <v>0</v>
      </c>
      <c r="E566">
        <v>1</v>
      </c>
      <c r="F566">
        <v>8</v>
      </c>
      <c r="G566" t="b">
        <v>0</v>
      </c>
      <c r="H566">
        <v>5</v>
      </c>
      <c r="I566">
        <v>1</v>
      </c>
      <c r="J566">
        <v>0.12</v>
      </c>
      <c r="K566">
        <v>0.16669999999999999</v>
      </c>
      <c r="L566">
        <v>0.68</v>
      </c>
      <c r="M566">
        <v>0</v>
      </c>
      <c r="N566">
        <v>2</v>
      </c>
      <c r="O566">
        <v>156</v>
      </c>
      <c r="P566">
        <v>158</v>
      </c>
      <c r="Q566" t="s">
        <v>62</v>
      </c>
      <c r="R566" t="s">
        <v>120</v>
      </c>
      <c r="S566" t="s">
        <v>22</v>
      </c>
      <c r="T566" t="s">
        <v>30</v>
      </c>
      <c r="U566" t="s">
        <v>123</v>
      </c>
    </row>
    <row r="567" spans="1:21" x14ac:dyDescent="0.3">
      <c r="A567">
        <v>310</v>
      </c>
      <c r="B567" s="1">
        <v>40557</v>
      </c>
      <c r="C567">
        <v>1</v>
      </c>
      <c r="D567">
        <v>0</v>
      </c>
      <c r="E567">
        <v>1</v>
      </c>
      <c r="F567">
        <v>9</v>
      </c>
      <c r="G567" t="b">
        <v>0</v>
      </c>
      <c r="H567">
        <v>5</v>
      </c>
      <c r="I567">
        <v>1</v>
      </c>
      <c r="J567">
        <v>0.14000000000000001</v>
      </c>
      <c r="K567">
        <v>0.1515</v>
      </c>
      <c r="L567">
        <v>0.69</v>
      </c>
      <c r="M567">
        <v>0.1343</v>
      </c>
      <c r="N567">
        <v>0</v>
      </c>
      <c r="O567">
        <v>117</v>
      </c>
      <c r="P567">
        <v>117</v>
      </c>
      <c r="Q567" t="s">
        <v>62</v>
      </c>
      <c r="R567" t="s">
        <v>120</v>
      </c>
      <c r="S567" t="s">
        <v>22</v>
      </c>
      <c r="T567" t="s">
        <v>30</v>
      </c>
      <c r="U567" t="s">
        <v>123</v>
      </c>
    </row>
    <row r="568" spans="1:21" x14ac:dyDescent="0.3">
      <c r="A568">
        <v>311</v>
      </c>
      <c r="B568" s="1">
        <v>40557</v>
      </c>
      <c r="C568">
        <v>1</v>
      </c>
      <c r="D568">
        <v>0</v>
      </c>
      <c r="E568">
        <v>1</v>
      </c>
      <c r="F568">
        <v>10</v>
      </c>
      <c r="G568" t="b">
        <v>0</v>
      </c>
      <c r="H568">
        <v>5</v>
      </c>
      <c r="I568">
        <v>1</v>
      </c>
      <c r="J568">
        <v>0.18</v>
      </c>
      <c r="K568">
        <v>0.18179999999999999</v>
      </c>
      <c r="L568">
        <v>0.55000000000000004</v>
      </c>
      <c r="M568">
        <v>0.19400000000000001</v>
      </c>
      <c r="N568">
        <v>4</v>
      </c>
      <c r="O568">
        <v>40</v>
      </c>
      <c r="P568">
        <v>44</v>
      </c>
      <c r="Q568" t="s">
        <v>62</v>
      </c>
      <c r="R568" t="s">
        <v>120</v>
      </c>
      <c r="S568" t="s">
        <v>22</v>
      </c>
      <c r="T568" t="s">
        <v>30</v>
      </c>
      <c r="U568" t="s">
        <v>123</v>
      </c>
    </row>
    <row r="569" spans="1:21" x14ac:dyDescent="0.3">
      <c r="A569">
        <v>312</v>
      </c>
      <c r="B569" s="1">
        <v>40557</v>
      </c>
      <c r="C569">
        <v>1</v>
      </c>
      <c r="D569">
        <v>0</v>
      </c>
      <c r="E569">
        <v>1</v>
      </c>
      <c r="F569">
        <v>11</v>
      </c>
      <c r="G569" t="b">
        <v>0</v>
      </c>
      <c r="H569">
        <v>5</v>
      </c>
      <c r="I569">
        <v>1</v>
      </c>
      <c r="J569">
        <v>0.18</v>
      </c>
      <c r="K569">
        <v>0.16669999999999999</v>
      </c>
      <c r="L569">
        <v>0.51</v>
      </c>
      <c r="M569">
        <v>0.28360000000000002</v>
      </c>
      <c r="N569">
        <v>6</v>
      </c>
      <c r="O569">
        <v>47</v>
      </c>
      <c r="P569">
        <v>53</v>
      </c>
      <c r="Q569" t="s">
        <v>62</v>
      </c>
      <c r="R569" t="s">
        <v>120</v>
      </c>
      <c r="S569" t="s">
        <v>22</v>
      </c>
      <c r="T569" t="s">
        <v>30</v>
      </c>
      <c r="U569" t="s">
        <v>123</v>
      </c>
    </row>
    <row r="570" spans="1:21" x14ac:dyDescent="0.3">
      <c r="A570">
        <v>313</v>
      </c>
      <c r="B570" s="1">
        <v>40557</v>
      </c>
      <c r="C570">
        <v>1</v>
      </c>
      <c r="D570">
        <v>0</v>
      </c>
      <c r="E570">
        <v>1</v>
      </c>
      <c r="F570">
        <v>12</v>
      </c>
      <c r="G570" t="b">
        <v>0</v>
      </c>
      <c r="H570">
        <v>5</v>
      </c>
      <c r="I570">
        <v>1</v>
      </c>
      <c r="J570">
        <v>0.2</v>
      </c>
      <c r="K570">
        <v>0.19700000000000001</v>
      </c>
      <c r="L570">
        <v>0.44</v>
      </c>
      <c r="M570">
        <v>0.25369999999999998</v>
      </c>
      <c r="N570">
        <v>2</v>
      </c>
      <c r="O570">
        <v>59</v>
      </c>
      <c r="P570">
        <v>61</v>
      </c>
      <c r="Q570" t="s">
        <v>62</v>
      </c>
      <c r="R570" t="s">
        <v>120</v>
      </c>
      <c r="S570" t="s">
        <v>22</v>
      </c>
      <c r="T570" t="s">
        <v>30</v>
      </c>
      <c r="U570" t="s">
        <v>123</v>
      </c>
    </row>
    <row r="571" spans="1:21" x14ac:dyDescent="0.3">
      <c r="A571">
        <v>314</v>
      </c>
      <c r="B571" s="1">
        <v>40557</v>
      </c>
      <c r="C571">
        <v>1</v>
      </c>
      <c r="D571">
        <v>0</v>
      </c>
      <c r="E571">
        <v>1</v>
      </c>
      <c r="F571">
        <v>13</v>
      </c>
      <c r="G571" t="b">
        <v>0</v>
      </c>
      <c r="H571">
        <v>5</v>
      </c>
      <c r="I571">
        <v>1</v>
      </c>
      <c r="J571">
        <v>0.22</v>
      </c>
      <c r="K571">
        <v>0.19700000000000001</v>
      </c>
      <c r="L571">
        <v>0.37</v>
      </c>
      <c r="M571">
        <v>0.3881</v>
      </c>
      <c r="N571">
        <v>4</v>
      </c>
      <c r="O571">
        <v>73</v>
      </c>
      <c r="P571">
        <v>77</v>
      </c>
      <c r="Q571" t="s">
        <v>62</v>
      </c>
      <c r="R571" t="s">
        <v>120</v>
      </c>
      <c r="S571" t="s">
        <v>22</v>
      </c>
      <c r="T571" t="s">
        <v>30</v>
      </c>
      <c r="U571" t="s">
        <v>123</v>
      </c>
    </row>
    <row r="572" spans="1:21" x14ac:dyDescent="0.3">
      <c r="A572">
        <v>315</v>
      </c>
      <c r="B572" s="1">
        <v>40557</v>
      </c>
      <c r="C572">
        <v>1</v>
      </c>
      <c r="D572">
        <v>0</v>
      </c>
      <c r="E572">
        <v>1</v>
      </c>
      <c r="F572">
        <v>14</v>
      </c>
      <c r="G572" t="b">
        <v>0</v>
      </c>
      <c r="H572">
        <v>5</v>
      </c>
      <c r="I572">
        <v>1</v>
      </c>
      <c r="J572">
        <v>0.22</v>
      </c>
      <c r="K572">
        <v>0.21210000000000001</v>
      </c>
      <c r="L572">
        <v>0.41</v>
      </c>
      <c r="M572">
        <v>0.28360000000000002</v>
      </c>
      <c r="N572">
        <v>5</v>
      </c>
      <c r="O572">
        <v>59</v>
      </c>
      <c r="P572">
        <v>64</v>
      </c>
      <c r="Q572" t="s">
        <v>62</v>
      </c>
      <c r="R572" t="s">
        <v>120</v>
      </c>
      <c r="S572" t="s">
        <v>22</v>
      </c>
      <c r="T572" t="s">
        <v>30</v>
      </c>
      <c r="U572" t="s">
        <v>123</v>
      </c>
    </row>
    <row r="573" spans="1:21" x14ac:dyDescent="0.3">
      <c r="A573">
        <v>316</v>
      </c>
      <c r="B573" s="1">
        <v>40557</v>
      </c>
      <c r="C573">
        <v>1</v>
      </c>
      <c r="D573">
        <v>0</v>
      </c>
      <c r="E573">
        <v>1</v>
      </c>
      <c r="F573">
        <v>15</v>
      </c>
      <c r="G573" t="b">
        <v>0</v>
      </c>
      <c r="H573">
        <v>5</v>
      </c>
      <c r="I573">
        <v>1</v>
      </c>
      <c r="J573">
        <v>0.24</v>
      </c>
      <c r="K573">
        <v>0.2424</v>
      </c>
      <c r="L573">
        <v>0.38</v>
      </c>
      <c r="M573">
        <v>0.16420000000000001</v>
      </c>
      <c r="N573">
        <v>9</v>
      </c>
      <c r="O573">
        <v>59</v>
      </c>
      <c r="P573">
        <v>68</v>
      </c>
      <c r="Q573" t="s">
        <v>62</v>
      </c>
      <c r="R573" t="s">
        <v>120</v>
      </c>
      <c r="S573" t="s">
        <v>22</v>
      </c>
      <c r="T573" t="s">
        <v>30</v>
      </c>
      <c r="U573" t="s">
        <v>123</v>
      </c>
    </row>
    <row r="574" spans="1:21" x14ac:dyDescent="0.3">
      <c r="A574">
        <v>317</v>
      </c>
      <c r="B574" s="1">
        <v>40557</v>
      </c>
      <c r="C574">
        <v>1</v>
      </c>
      <c r="D574">
        <v>0</v>
      </c>
      <c r="E574">
        <v>1</v>
      </c>
      <c r="F574">
        <v>16</v>
      </c>
      <c r="G574" t="b">
        <v>0</v>
      </c>
      <c r="H574">
        <v>5</v>
      </c>
      <c r="I574">
        <v>1</v>
      </c>
      <c r="J574">
        <v>0.22</v>
      </c>
      <c r="K574">
        <v>0.2424</v>
      </c>
      <c r="L574">
        <v>0.41</v>
      </c>
      <c r="M574">
        <v>0.1045</v>
      </c>
      <c r="N574">
        <v>3</v>
      </c>
      <c r="O574">
        <v>87</v>
      </c>
      <c r="P574">
        <v>90</v>
      </c>
      <c r="Q574" t="s">
        <v>62</v>
      </c>
      <c r="R574" t="s">
        <v>120</v>
      </c>
      <c r="S574" t="s">
        <v>22</v>
      </c>
      <c r="T574" t="s">
        <v>30</v>
      </c>
      <c r="U574" t="s">
        <v>123</v>
      </c>
    </row>
    <row r="575" spans="1:21" x14ac:dyDescent="0.3">
      <c r="A575">
        <v>318</v>
      </c>
      <c r="B575" s="1">
        <v>40557</v>
      </c>
      <c r="C575">
        <v>1</v>
      </c>
      <c r="D575">
        <v>0</v>
      </c>
      <c r="E575">
        <v>1</v>
      </c>
      <c r="F575">
        <v>17</v>
      </c>
      <c r="G575" t="b">
        <v>0</v>
      </c>
      <c r="H575">
        <v>5</v>
      </c>
      <c r="I575">
        <v>1</v>
      </c>
      <c r="J575">
        <v>0.22</v>
      </c>
      <c r="K575">
        <v>0.2273</v>
      </c>
      <c r="L575">
        <v>0.41</v>
      </c>
      <c r="M575">
        <v>0.16420000000000001</v>
      </c>
      <c r="N575">
        <v>4</v>
      </c>
      <c r="O575">
        <v>155</v>
      </c>
      <c r="P575">
        <v>159</v>
      </c>
      <c r="Q575" t="s">
        <v>62</v>
      </c>
      <c r="R575" t="s">
        <v>120</v>
      </c>
      <c r="S575" t="s">
        <v>22</v>
      </c>
      <c r="T575" t="s">
        <v>30</v>
      </c>
      <c r="U575" t="s">
        <v>123</v>
      </c>
    </row>
    <row r="576" spans="1:21" x14ac:dyDescent="0.3">
      <c r="A576">
        <v>319</v>
      </c>
      <c r="B576" s="1">
        <v>40557</v>
      </c>
      <c r="C576">
        <v>1</v>
      </c>
      <c r="D576">
        <v>0</v>
      </c>
      <c r="E576">
        <v>1</v>
      </c>
      <c r="F576">
        <v>18</v>
      </c>
      <c r="G576" t="b">
        <v>0</v>
      </c>
      <c r="H576">
        <v>5</v>
      </c>
      <c r="I576">
        <v>1</v>
      </c>
      <c r="J576">
        <v>0.2</v>
      </c>
      <c r="K576">
        <v>0.2576</v>
      </c>
      <c r="L576">
        <v>0.47</v>
      </c>
      <c r="M576">
        <v>0</v>
      </c>
      <c r="N576">
        <v>5</v>
      </c>
      <c r="O576">
        <v>134</v>
      </c>
      <c r="P576">
        <v>139</v>
      </c>
      <c r="Q576" t="s">
        <v>62</v>
      </c>
      <c r="R576" t="s">
        <v>120</v>
      </c>
      <c r="S576" t="s">
        <v>22</v>
      </c>
      <c r="T576" t="s">
        <v>30</v>
      </c>
      <c r="U576" t="s">
        <v>123</v>
      </c>
    </row>
    <row r="577" spans="1:21" x14ac:dyDescent="0.3">
      <c r="A577">
        <v>320</v>
      </c>
      <c r="B577" s="1">
        <v>40557</v>
      </c>
      <c r="C577">
        <v>1</v>
      </c>
      <c r="D577">
        <v>0</v>
      </c>
      <c r="E577">
        <v>1</v>
      </c>
      <c r="F577">
        <v>19</v>
      </c>
      <c r="G577" t="b">
        <v>0</v>
      </c>
      <c r="H577">
        <v>5</v>
      </c>
      <c r="I577">
        <v>1</v>
      </c>
      <c r="J577">
        <v>0.16</v>
      </c>
      <c r="K577">
        <v>0.19700000000000001</v>
      </c>
      <c r="L577">
        <v>0.59</v>
      </c>
      <c r="M577">
        <v>8.9599999999999999E-2</v>
      </c>
      <c r="N577">
        <v>3</v>
      </c>
      <c r="O577">
        <v>89</v>
      </c>
      <c r="P577">
        <v>92</v>
      </c>
      <c r="Q577" t="s">
        <v>62</v>
      </c>
      <c r="R577" t="s">
        <v>120</v>
      </c>
      <c r="S577" t="s">
        <v>22</v>
      </c>
      <c r="T577" t="s">
        <v>30</v>
      </c>
      <c r="U577" t="s">
        <v>123</v>
      </c>
    </row>
    <row r="578" spans="1:21" x14ac:dyDescent="0.3">
      <c r="A578">
        <v>321</v>
      </c>
      <c r="B578" s="1">
        <v>40557</v>
      </c>
      <c r="C578">
        <v>1</v>
      </c>
      <c r="D578">
        <v>0</v>
      </c>
      <c r="E578">
        <v>1</v>
      </c>
      <c r="F578">
        <v>20</v>
      </c>
      <c r="G578" t="b">
        <v>0</v>
      </c>
      <c r="H578">
        <v>5</v>
      </c>
      <c r="I578">
        <v>1</v>
      </c>
      <c r="J578">
        <v>0.18</v>
      </c>
      <c r="K578">
        <v>0.2424</v>
      </c>
      <c r="L578">
        <v>0.59</v>
      </c>
      <c r="M578">
        <v>0</v>
      </c>
      <c r="N578">
        <v>0</v>
      </c>
      <c r="O578">
        <v>68</v>
      </c>
      <c r="P578">
        <v>68</v>
      </c>
      <c r="Q578" t="s">
        <v>62</v>
      </c>
      <c r="R578" t="s">
        <v>120</v>
      </c>
      <c r="S578" t="s">
        <v>22</v>
      </c>
      <c r="T578" t="s">
        <v>30</v>
      </c>
      <c r="U578" t="s">
        <v>123</v>
      </c>
    </row>
    <row r="579" spans="1:21" x14ac:dyDescent="0.3">
      <c r="A579">
        <v>322</v>
      </c>
      <c r="B579" s="1">
        <v>40557</v>
      </c>
      <c r="C579">
        <v>1</v>
      </c>
      <c r="D579">
        <v>0</v>
      </c>
      <c r="E579">
        <v>1</v>
      </c>
      <c r="F579">
        <v>21</v>
      </c>
      <c r="G579" t="b">
        <v>0</v>
      </c>
      <c r="H579">
        <v>5</v>
      </c>
      <c r="I579">
        <v>1</v>
      </c>
      <c r="J579">
        <v>0.16</v>
      </c>
      <c r="K579">
        <v>0.2273</v>
      </c>
      <c r="L579">
        <v>0.69</v>
      </c>
      <c r="M579">
        <v>0</v>
      </c>
      <c r="N579">
        <v>4</v>
      </c>
      <c r="O579">
        <v>48</v>
      </c>
      <c r="P579">
        <v>52</v>
      </c>
      <c r="Q579" t="s">
        <v>62</v>
      </c>
      <c r="R579" t="s">
        <v>120</v>
      </c>
      <c r="S579" t="s">
        <v>22</v>
      </c>
      <c r="T579" t="s">
        <v>30</v>
      </c>
      <c r="U579" t="s">
        <v>123</v>
      </c>
    </row>
    <row r="580" spans="1:21" x14ac:dyDescent="0.3">
      <c r="A580">
        <v>323</v>
      </c>
      <c r="B580" s="1">
        <v>40557</v>
      </c>
      <c r="C580">
        <v>1</v>
      </c>
      <c r="D580">
        <v>0</v>
      </c>
      <c r="E580">
        <v>1</v>
      </c>
      <c r="F580">
        <v>22</v>
      </c>
      <c r="G580" t="b">
        <v>0</v>
      </c>
      <c r="H580">
        <v>5</v>
      </c>
      <c r="I580">
        <v>2</v>
      </c>
      <c r="J580">
        <v>0.16</v>
      </c>
      <c r="K580">
        <v>0.2273</v>
      </c>
      <c r="L580">
        <v>0.69</v>
      </c>
      <c r="M580">
        <v>0</v>
      </c>
      <c r="N580">
        <v>2</v>
      </c>
      <c r="O580">
        <v>34</v>
      </c>
      <c r="P580">
        <v>36</v>
      </c>
      <c r="Q580" t="s">
        <v>64</v>
      </c>
      <c r="R580" t="s">
        <v>120</v>
      </c>
      <c r="S580" t="s">
        <v>22</v>
      </c>
      <c r="T580" t="s">
        <v>30</v>
      </c>
      <c r="U580" t="s">
        <v>124</v>
      </c>
    </row>
    <row r="581" spans="1:21" x14ac:dyDescent="0.3">
      <c r="A581">
        <v>324</v>
      </c>
      <c r="B581" s="1">
        <v>40557</v>
      </c>
      <c r="C581">
        <v>1</v>
      </c>
      <c r="D581">
        <v>0</v>
      </c>
      <c r="E581">
        <v>1</v>
      </c>
      <c r="F581">
        <v>23</v>
      </c>
      <c r="G581" t="b">
        <v>0</v>
      </c>
      <c r="H581">
        <v>5</v>
      </c>
      <c r="I581">
        <v>2</v>
      </c>
      <c r="J581">
        <v>0.18</v>
      </c>
      <c r="K581">
        <v>0.2424</v>
      </c>
      <c r="L581">
        <v>0.55000000000000004</v>
      </c>
      <c r="M581">
        <v>0</v>
      </c>
      <c r="N581">
        <v>1</v>
      </c>
      <c r="O581">
        <v>26</v>
      </c>
      <c r="P581">
        <v>27</v>
      </c>
      <c r="Q581" t="s">
        <v>64</v>
      </c>
      <c r="R581" t="s">
        <v>120</v>
      </c>
      <c r="S581" t="s">
        <v>22</v>
      </c>
      <c r="T581" t="s">
        <v>30</v>
      </c>
      <c r="U581" t="s">
        <v>124</v>
      </c>
    </row>
    <row r="582" spans="1:21" x14ac:dyDescent="0.3">
      <c r="A582">
        <v>456</v>
      </c>
      <c r="B582" s="1">
        <v>40564</v>
      </c>
      <c r="C582">
        <v>1</v>
      </c>
      <c r="D582">
        <v>0</v>
      </c>
      <c r="E582">
        <v>1</v>
      </c>
      <c r="F582">
        <v>0</v>
      </c>
      <c r="G582" t="b">
        <v>0</v>
      </c>
      <c r="H582">
        <v>5</v>
      </c>
      <c r="I582">
        <v>2</v>
      </c>
      <c r="J582">
        <v>0.24</v>
      </c>
      <c r="K582">
        <v>0.2273</v>
      </c>
      <c r="L582">
        <v>0.7</v>
      </c>
      <c r="M582">
        <v>0.25369999999999998</v>
      </c>
      <c r="N582">
        <v>1</v>
      </c>
      <c r="O582">
        <v>20</v>
      </c>
      <c r="P582">
        <v>21</v>
      </c>
      <c r="Q582" t="s">
        <v>64</v>
      </c>
      <c r="R582" t="s">
        <v>120</v>
      </c>
      <c r="S582" t="s">
        <v>22</v>
      </c>
      <c r="T582" t="s">
        <v>30</v>
      </c>
      <c r="U582" t="s">
        <v>124</v>
      </c>
    </row>
    <row r="583" spans="1:21" x14ac:dyDescent="0.3">
      <c r="A583">
        <v>457</v>
      </c>
      <c r="B583" s="1">
        <v>40564</v>
      </c>
      <c r="C583">
        <v>1</v>
      </c>
      <c r="D583">
        <v>0</v>
      </c>
      <c r="E583">
        <v>1</v>
      </c>
      <c r="F583">
        <v>1</v>
      </c>
      <c r="G583" t="b">
        <v>0</v>
      </c>
      <c r="H583">
        <v>5</v>
      </c>
      <c r="I583">
        <v>2</v>
      </c>
      <c r="J583">
        <v>0.24</v>
      </c>
      <c r="K583">
        <v>0.2273</v>
      </c>
      <c r="L583">
        <v>0.7</v>
      </c>
      <c r="M583">
        <v>0.25369999999999998</v>
      </c>
      <c r="N583">
        <v>0</v>
      </c>
      <c r="O583">
        <v>6</v>
      </c>
      <c r="P583">
        <v>6</v>
      </c>
      <c r="Q583" t="s">
        <v>64</v>
      </c>
      <c r="R583" t="s">
        <v>120</v>
      </c>
      <c r="S583" t="s">
        <v>22</v>
      </c>
      <c r="T583" t="s">
        <v>30</v>
      </c>
      <c r="U583" t="s">
        <v>124</v>
      </c>
    </row>
    <row r="584" spans="1:21" x14ac:dyDescent="0.3">
      <c r="A584">
        <v>458</v>
      </c>
      <c r="B584" s="1">
        <v>40564</v>
      </c>
      <c r="C584">
        <v>1</v>
      </c>
      <c r="D584">
        <v>0</v>
      </c>
      <c r="E584">
        <v>1</v>
      </c>
      <c r="F584">
        <v>2</v>
      </c>
      <c r="G584" t="b">
        <v>0</v>
      </c>
      <c r="H584">
        <v>5</v>
      </c>
      <c r="I584">
        <v>3</v>
      </c>
      <c r="J584">
        <v>0.24</v>
      </c>
      <c r="K584">
        <v>0.2424</v>
      </c>
      <c r="L584">
        <v>0.75</v>
      </c>
      <c r="M584">
        <v>0.16420000000000001</v>
      </c>
      <c r="N584">
        <v>0</v>
      </c>
      <c r="O584">
        <v>2</v>
      </c>
      <c r="P584">
        <v>2</v>
      </c>
      <c r="Q584" t="s">
        <v>63</v>
      </c>
      <c r="R584" t="s">
        <v>120</v>
      </c>
      <c r="S584" t="s">
        <v>22</v>
      </c>
      <c r="T584" t="s">
        <v>30</v>
      </c>
      <c r="U584" t="s">
        <v>125</v>
      </c>
    </row>
    <row r="585" spans="1:21" x14ac:dyDescent="0.3">
      <c r="A585">
        <v>459</v>
      </c>
      <c r="B585" s="1">
        <v>40564</v>
      </c>
      <c r="C585">
        <v>1</v>
      </c>
      <c r="D585">
        <v>0</v>
      </c>
      <c r="E585">
        <v>1</v>
      </c>
      <c r="F585">
        <v>3</v>
      </c>
      <c r="G585" t="b">
        <v>0</v>
      </c>
      <c r="H585">
        <v>5</v>
      </c>
      <c r="I585">
        <v>3</v>
      </c>
      <c r="J585">
        <v>0.22</v>
      </c>
      <c r="K585">
        <v>0.21210000000000001</v>
      </c>
      <c r="L585">
        <v>0.8</v>
      </c>
      <c r="M585">
        <v>0.29849999999999999</v>
      </c>
      <c r="N585">
        <v>0</v>
      </c>
      <c r="O585">
        <v>1</v>
      </c>
      <c r="P585">
        <v>1</v>
      </c>
      <c r="Q585" t="s">
        <v>63</v>
      </c>
      <c r="R585" t="s">
        <v>120</v>
      </c>
      <c r="S585" t="s">
        <v>22</v>
      </c>
      <c r="T585" t="s">
        <v>30</v>
      </c>
      <c r="U585" t="s">
        <v>125</v>
      </c>
    </row>
    <row r="586" spans="1:21" x14ac:dyDescent="0.3">
      <c r="A586">
        <v>460</v>
      </c>
      <c r="B586" s="1">
        <v>40564</v>
      </c>
      <c r="C586">
        <v>1</v>
      </c>
      <c r="D586">
        <v>0</v>
      </c>
      <c r="E586">
        <v>1</v>
      </c>
      <c r="F586">
        <v>4</v>
      </c>
      <c r="G586" t="b">
        <v>0</v>
      </c>
      <c r="H586">
        <v>5</v>
      </c>
      <c r="I586">
        <v>2</v>
      </c>
      <c r="J586">
        <v>0.22</v>
      </c>
      <c r="K586">
        <v>0.2576</v>
      </c>
      <c r="L586">
        <v>0.87</v>
      </c>
      <c r="M586">
        <v>8.9599999999999999E-2</v>
      </c>
      <c r="N586">
        <v>0</v>
      </c>
      <c r="O586">
        <v>1</v>
      </c>
      <c r="P586">
        <v>1</v>
      </c>
      <c r="Q586" t="s">
        <v>64</v>
      </c>
      <c r="R586" t="s">
        <v>120</v>
      </c>
      <c r="S586" t="s">
        <v>22</v>
      </c>
      <c r="T586" t="s">
        <v>30</v>
      </c>
      <c r="U586" t="s">
        <v>124</v>
      </c>
    </row>
    <row r="587" spans="1:21" x14ac:dyDescent="0.3">
      <c r="A587">
        <v>461</v>
      </c>
      <c r="B587" s="1">
        <v>40564</v>
      </c>
      <c r="C587">
        <v>1</v>
      </c>
      <c r="D587">
        <v>0</v>
      </c>
      <c r="E587">
        <v>1</v>
      </c>
      <c r="F587">
        <v>5</v>
      </c>
      <c r="G587" t="b">
        <v>0</v>
      </c>
      <c r="H587">
        <v>5</v>
      </c>
      <c r="I587">
        <v>1</v>
      </c>
      <c r="J587">
        <v>0.24</v>
      </c>
      <c r="K587">
        <v>0.19700000000000001</v>
      </c>
      <c r="L587">
        <v>0.6</v>
      </c>
      <c r="M587">
        <v>0.41789999999999999</v>
      </c>
      <c r="N587">
        <v>1</v>
      </c>
      <c r="O587">
        <v>4</v>
      </c>
      <c r="P587">
        <v>5</v>
      </c>
      <c r="Q587" t="s">
        <v>62</v>
      </c>
      <c r="R587" t="s">
        <v>120</v>
      </c>
      <c r="S587" t="s">
        <v>22</v>
      </c>
      <c r="T587" t="s">
        <v>30</v>
      </c>
      <c r="U587" t="s">
        <v>123</v>
      </c>
    </row>
    <row r="588" spans="1:21" x14ac:dyDescent="0.3">
      <c r="A588">
        <v>462</v>
      </c>
      <c r="B588" s="1">
        <v>40564</v>
      </c>
      <c r="C588">
        <v>1</v>
      </c>
      <c r="D588">
        <v>0</v>
      </c>
      <c r="E588">
        <v>1</v>
      </c>
      <c r="F588">
        <v>6</v>
      </c>
      <c r="G588" t="b">
        <v>0</v>
      </c>
      <c r="H588">
        <v>5</v>
      </c>
      <c r="I588">
        <v>1</v>
      </c>
      <c r="J588">
        <v>0.22</v>
      </c>
      <c r="K588">
        <v>0.21210000000000001</v>
      </c>
      <c r="L588">
        <v>0.55000000000000004</v>
      </c>
      <c r="M588">
        <v>0.25369999999999998</v>
      </c>
      <c r="N588">
        <v>0</v>
      </c>
      <c r="O588">
        <v>27</v>
      </c>
      <c r="P588">
        <v>27</v>
      </c>
      <c r="Q588" t="s">
        <v>62</v>
      </c>
      <c r="R588" t="s">
        <v>120</v>
      </c>
      <c r="S588" t="s">
        <v>22</v>
      </c>
      <c r="T588" t="s">
        <v>30</v>
      </c>
      <c r="U588" t="s">
        <v>123</v>
      </c>
    </row>
    <row r="589" spans="1:21" x14ac:dyDescent="0.3">
      <c r="A589">
        <v>463</v>
      </c>
      <c r="B589" s="1">
        <v>40564</v>
      </c>
      <c r="C589">
        <v>1</v>
      </c>
      <c r="D589">
        <v>0</v>
      </c>
      <c r="E589">
        <v>1</v>
      </c>
      <c r="F589">
        <v>7</v>
      </c>
      <c r="G589" t="b">
        <v>0</v>
      </c>
      <c r="H589">
        <v>5</v>
      </c>
      <c r="I589">
        <v>1</v>
      </c>
      <c r="J589">
        <v>0.2</v>
      </c>
      <c r="K589">
        <v>0.18179999999999999</v>
      </c>
      <c r="L589">
        <v>0.51</v>
      </c>
      <c r="M589">
        <v>0.28360000000000002</v>
      </c>
      <c r="N589">
        <v>2</v>
      </c>
      <c r="O589">
        <v>66</v>
      </c>
      <c r="P589">
        <v>68</v>
      </c>
      <c r="Q589" t="s">
        <v>62</v>
      </c>
      <c r="R589" t="s">
        <v>120</v>
      </c>
      <c r="S589" t="s">
        <v>22</v>
      </c>
      <c r="T589" t="s">
        <v>30</v>
      </c>
      <c r="U589" t="s">
        <v>123</v>
      </c>
    </row>
    <row r="590" spans="1:21" x14ac:dyDescent="0.3">
      <c r="A590">
        <v>464</v>
      </c>
      <c r="B590" s="1">
        <v>40564</v>
      </c>
      <c r="C590">
        <v>1</v>
      </c>
      <c r="D590">
        <v>0</v>
      </c>
      <c r="E590">
        <v>1</v>
      </c>
      <c r="F590">
        <v>8</v>
      </c>
      <c r="G590" t="b">
        <v>0</v>
      </c>
      <c r="H590">
        <v>5</v>
      </c>
      <c r="I590">
        <v>1</v>
      </c>
      <c r="J590">
        <v>0.2</v>
      </c>
      <c r="K590">
        <v>0.18179999999999999</v>
      </c>
      <c r="L590">
        <v>0.47</v>
      </c>
      <c r="M590">
        <v>0.32840000000000003</v>
      </c>
      <c r="N590">
        <v>7</v>
      </c>
      <c r="O590">
        <v>210</v>
      </c>
      <c r="P590">
        <v>217</v>
      </c>
      <c r="Q590" t="s">
        <v>62</v>
      </c>
      <c r="R590" t="s">
        <v>120</v>
      </c>
      <c r="S590" t="s">
        <v>22</v>
      </c>
      <c r="T590" t="s">
        <v>30</v>
      </c>
      <c r="U590" t="s">
        <v>123</v>
      </c>
    </row>
    <row r="591" spans="1:21" x14ac:dyDescent="0.3">
      <c r="A591">
        <v>465</v>
      </c>
      <c r="B591" s="1">
        <v>40564</v>
      </c>
      <c r="C591">
        <v>1</v>
      </c>
      <c r="D591">
        <v>0</v>
      </c>
      <c r="E591">
        <v>1</v>
      </c>
      <c r="F591">
        <v>9</v>
      </c>
      <c r="G591" t="b">
        <v>0</v>
      </c>
      <c r="H591">
        <v>5</v>
      </c>
      <c r="I591">
        <v>1</v>
      </c>
      <c r="J591">
        <v>0.2</v>
      </c>
      <c r="K591">
        <v>0.18179999999999999</v>
      </c>
      <c r="L591">
        <v>0.51</v>
      </c>
      <c r="M591">
        <v>0.35820000000000002</v>
      </c>
      <c r="N591">
        <v>7</v>
      </c>
      <c r="O591">
        <v>159</v>
      </c>
      <c r="P591">
        <v>166</v>
      </c>
      <c r="Q591" t="s">
        <v>62</v>
      </c>
      <c r="R591" t="s">
        <v>120</v>
      </c>
      <c r="S591" t="s">
        <v>22</v>
      </c>
      <c r="T591" t="s">
        <v>30</v>
      </c>
      <c r="U591" t="s">
        <v>123</v>
      </c>
    </row>
    <row r="592" spans="1:21" x14ac:dyDescent="0.3">
      <c r="A592">
        <v>466</v>
      </c>
      <c r="B592" s="1">
        <v>40564</v>
      </c>
      <c r="C592">
        <v>1</v>
      </c>
      <c r="D592">
        <v>0</v>
      </c>
      <c r="E592">
        <v>1</v>
      </c>
      <c r="F592">
        <v>10</v>
      </c>
      <c r="G592" t="b">
        <v>0</v>
      </c>
      <c r="H592">
        <v>5</v>
      </c>
      <c r="I592">
        <v>1</v>
      </c>
      <c r="J592">
        <v>0.2</v>
      </c>
      <c r="K592">
        <v>0.16669999999999999</v>
      </c>
      <c r="L592">
        <v>0.47</v>
      </c>
      <c r="M592">
        <v>0.4627</v>
      </c>
      <c r="N592">
        <v>6</v>
      </c>
      <c r="O592">
        <v>57</v>
      </c>
      <c r="P592">
        <v>63</v>
      </c>
      <c r="Q592" t="s">
        <v>62</v>
      </c>
      <c r="R592" t="s">
        <v>120</v>
      </c>
      <c r="S592" t="s">
        <v>22</v>
      </c>
      <c r="T592" t="s">
        <v>30</v>
      </c>
      <c r="U592" t="s">
        <v>123</v>
      </c>
    </row>
    <row r="593" spans="1:21" x14ac:dyDescent="0.3">
      <c r="A593">
        <v>467</v>
      </c>
      <c r="B593" s="1">
        <v>40564</v>
      </c>
      <c r="C593">
        <v>1</v>
      </c>
      <c r="D593">
        <v>0</v>
      </c>
      <c r="E593">
        <v>1</v>
      </c>
      <c r="F593">
        <v>11</v>
      </c>
      <c r="G593" t="b">
        <v>0</v>
      </c>
      <c r="H593">
        <v>5</v>
      </c>
      <c r="I593">
        <v>1</v>
      </c>
      <c r="J593">
        <v>0.22</v>
      </c>
      <c r="K593">
        <v>0.18179999999999999</v>
      </c>
      <c r="L593">
        <v>0.41</v>
      </c>
      <c r="M593">
        <v>0.4627</v>
      </c>
      <c r="N593">
        <v>6</v>
      </c>
      <c r="O593">
        <v>53</v>
      </c>
      <c r="P593">
        <v>59</v>
      </c>
      <c r="Q593" t="s">
        <v>62</v>
      </c>
      <c r="R593" t="s">
        <v>120</v>
      </c>
      <c r="S593" t="s">
        <v>22</v>
      </c>
      <c r="T593" t="s">
        <v>30</v>
      </c>
      <c r="U593" t="s">
        <v>123</v>
      </c>
    </row>
    <row r="594" spans="1:21" x14ac:dyDescent="0.3">
      <c r="A594">
        <v>468</v>
      </c>
      <c r="B594" s="1">
        <v>40564</v>
      </c>
      <c r="C594">
        <v>1</v>
      </c>
      <c r="D594">
        <v>0</v>
      </c>
      <c r="E594">
        <v>1</v>
      </c>
      <c r="F594">
        <v>12</v>
      </c>
      <c r="G594" t="b">
        <v>0</v>
      </c>
      <c r="H594">
        <v>5</v>
      </c>
      <c r="I594">
        <v>1</v>
      </c>
      <c r="J594">
        <v>0.22</v>
      </c>
      <c r="K594">
        <v>0.18179999999999999</v>
      </c>
      <c r="L594">
        <v>0.27</v>
      </c>
      <c r="M594">
        <v>0.58209999999999995</v>
      </c>
      <c r="N594">
        <v>11</v>
      </c>
      <c r="O594">
        <v>67</v>
      </c>
      <c r="P594">
        <v>78</v>
      </c>
      <c r="Q594" t="s">
        <v>62</v>
      </c>
      <c r="R594" t="s">
        <v>120</v>
      </c>
      <c r="S594" t="s">
        <v>22</v>
      </c>
      <c r="T594" t="s">
        <v>30</v>
      </c>
      <c r="U594" t="s">
        <v>123</v>
      </c>
    </row>
    <row r="595" spans="1:21" x14ac:dyDescent="0.3">
      <c r="A595">
        <v>469</v>
      </c>
      <c r="B595" s="1">
        <v>40564</v>
      </c>
      <c r="C595">
        <v>1</v>
      </c>
      <c r="D595">
        <v>0</v>
      </c>
      <c r="E595">
        <v>1</v>
      </c>
      <c r="F595">
        <v>13</v>
      </c>
      <c r="G595" t="b">
        <v>0</v>
      </c>
      <c r="H595">
        <v>5</v>
      </c>
      <c r="I595">
        <v>1</v>
      </c>
      <c r="J595">
        <v>0.2</v>
      </c>
      <c r="K595">
        <v>0.1515</v>
      </c>
      <c r="L595">
        <v>0.21</v>
      </c>
      <c r="M595">
        <v>0.58209999999999995</v>
      </c>
      <c r="N595">
        <v>8</v>
      </c>
      <c r="O595">
        <v>65</v>
      </c>
      <c r="P595">
        <v>73</v>
      </c>
      <c r="Q595" t="s">
        <v>62</v>
      </c>
      <c r="R595" t="s">
        <v>120</v>
      </c>
      <c r="S595" t="s">
        <v>22</v>
      </c>
      <c r="T595" t="s">
        <v>30</v>
      </c>
      <c r="U595" t="s">
        <v>123</v>
      </c>
    </row>
    <row r="596" spans="1:21" x14ac:dyDescent="0.3">
      <c r="A596">
        <v>470</v>
      </c>
      <c r="B596" s="1">
        <v>40564</v>
      </c>
      <c r="C596">
        <v>1</v>
      </c>
      <c r="D596">
        <v>0</v>
      </c>
      <c r="E596">
        <v>1</v>
      </c>
      <c r="F596">
        <v>14</v>
      </c>
      <c r="G596" t="b">
        <v>0</v>
      </c>
      <c r="H596">
        <v>5</v>
      </c>
      <c r="I596">
        <v>1</v>
      </c>
      <c r="J596">
        <v>0.2</v>
      </c>
      <c r="K596">
        <v>0.1515</v>
      </c>
      <c r="L596">
        <v>0.25</v>
      </c>
      <c r="M596">
        <v>0.52239999999999998</v>
      </c>
      <c r="N596">
        <v>6</v>
      </c>
      <c r="O596">
        <v>56</v>
      </c>
      <c r="P596">
        <v>62</v>
      </c>
      <c r="Q596" t="s">
        <v>62</v>
      </c>
      <c r="R596" t="s">
        <v>120</v>
      </c>
      <c r="S596" t="s">
        <v>22</v>
      </c>
      <c r="T596" t="s">
        <v>30</v>
      </c>
      <c r="U596" t="s">
        <v>123</v>
      </c>
    </row>
    <row r="597" spans="1:21" x14ac:dyDescent="0.3">
      <c r="A597">
        <v>471</v>
      </c>
      <c r="B597" s="1">
        <v>40564</v>
      </c>
      <c r="C597">
        <v>1</v>
      </c>
      <c r="D597">
        <v>0</v>
      </c>
      <c r="E597">
        <v>1</v>
      </c>
      <c r="F597">
        <v>15</v>
      </c>
      <c r="G597" t="b">
        <v>0</v>
      </c>
      <c r="H597">
        <v>5</v>
      </c>
      <c r="I597">
        <v>1</v>
      </c>
      <c r="J597">
        <v>0.16</v>
      </c>
      <c r="K597">
        <v>0.1212</v>
      </c>
      <c r="L597">
        <v>0.26</v>
      </c>
      <c r="M597">
        <v>0.44779999999999998</v>
      </c>
      <c r="N597">
        <v>4</v>
      </c>
      <c r="O597">
        <v>61</v>
      </c>
      <c r="P597">
        <v>65</v>
      </c>
      <c r="Q597" t="s">
        <v>62</v>
      </c>
      <c r="R597" t="s">
        <v>120</v>
      </c>
      <c r="S597" t="s">
        <v>22</v>
      </c>
      <c r="T597" t="s">
        <v>30</v>
      </c>
      <c r="U597" t="s">
        <v>123</v>
      </c>
    </row>
    <row r="598" spans="1:21" x14ac:dyDescent="0.3">
      <c r="A598">
        <v>472</v>
      </c>
      <c r="B598" s="1">
        <v>40564</v>
      </c>
      <c r="C598">
        <v>1</v>
      </c>
      <c r="D598">
        <v>0</v>
      </c>
      <c r="E598">
        <v>1</v>
      </c>
      <c r="F598">
        <v>16</v>
      </c>
      <c r="G598" t="b">
        <v>0</v>
      </c>
      <c r="H598">
        <v>5</v>
      </c>
      <c r="I598">
        <v>1</v>
      </c>
      <c r="J598">
        <v>0.16</v>
      </c>
      <c r="K598">
        <v>0.13639999999999999</v>
      </c>
      <c r="L598">
        <v>0.26</v>
      </c>
      <c r="M598">
        <v>0.35820000000000002</v>
      </c>
      <c r="N598">
        <v>0</v>
      </c>
      <c r="O598">
        <v>97</v>
      </c>
      <c r="P598">
        <v>97</v>
      </c>
      <c r="Q598" t="s">
        <v>62</v>
      </c>
      <c r="R598" t="s">
        <v>120</v>
      </c>
      <c r="S598" t="s">
        <v>22</v>
      </c>
      <c r="T598" t="s">
        <v>30</v>
      </c>
      <c r="U598" t="s">
        <v>123</v>
      </c>
    </row>
    <row r="599" spans="1:21" x14ac:dyDescent="0.3">
      <c r="A599">
        <v>473</v>
      </c>
      <c r="B599" s="1">
        <v>40564</v>
      </c>
      <c r="C599">
        <v>1</v>
      </c>
      <c r="D599">
        <v>0</v>
      </c>
      <c r="E599">
        <v>1</v>
      </c>
      <c r="F599">
        <v>17</v>
      </c>
      <c r="G599" t="b">
        <v>0</v>
      </c>
      <c r="H599">
        <v>5</v>
      </c>
      <c r="I599">
        <v>1</v>
      </c>
      <c r="J599">
        <v>0.14000000000000001</v>
      </c>
      <c r="K599">
        <v>0.1212</v>
      </c>
      <c r="L599">
        <v>0.28000000000000003</v>
      </c>
      <c r="M599">
        <v>0.35820000000000002</v>
      </c>
      <c r="N599">
        <v>10</v>
      </c>
      <c r="O599">
        <v>151</v>
      </c>
      <c r="P599">
        <v>161</v>
      </c>
      <c r="Q599" t="s">
        <v>62</v>
      </c>
      <c r="R599" t="s">
        <v>120</v>
      </c>
      <c r="S599" t="s">
        <v>22</v>
      </c>
      <c r="T599" t="s">
        <v>30</v>
      </c>
      <c r="U599" t="s">
        <v>123</v>
      </c>
    </row>
    <row r="600" spans="1:21" x14ac:dyDescent="0.3">
      <c r="A600">
        <v>474</v>
      </c>
      <c r="B600" s="1">
        <v>40564</v>
      </c>
      <c r="C600">
        <v>1</v>
      </c>
      <c r="D600">
        <v>0</v>
      </c>
      <c r="E600">
        <v>1</v>
      </c>
      <c r="F600">
        <v>18</v>
      </c>
      <c r="G600" t="b">
        <v>0</v>
      </c>
      <c r="H600">
        <v>5</v>
      </c>
      <c r="I600">
        <v>1</v>
      </c>
      <c r="J600">
        <v>0.12</v>
      </c>
      <c r="K600">
        <v>0.1212</v>
      </c>
      <c r="L600">
        <v>0.3</v>
      </c>
      <c r="M600">
        <v>0.25369999999999998</v>
      </c>
      <c r="N600">
        <v>1</v>
      </c>
      <c r="O600">
        <v>119</v>
      </c>
      <c r="P600">
        <v>120</v>
      </c>
      <c r="Q600" t="s">
        <v>62</v>
      </c>
      <c r="R600" t="s">
        <v>120</v>
      </c>
      <c r="S600" t="s">
        <v>22</v>
      </c>
      <c r="T600" t="s">
        <v>30</v>
      </c>
      <c r="U600" t="s">
        <v>123</v>
      </c>
    </row>
    <row r="601" spans="1:21" x14ac:dyDescent="0.3">
      <c r="A601">
        <v>475</v>
      </c>
      <c r="B601" s="1">
        <v>40564</v>
      </c>
      <c r="C601">
        <v>1</v>
      </c>
      <c r="D601">
        <v>0</v>
      </c>
      <c r="E601">
        <v>1</v>
      </c>
      <c r="F601">
        <v>19</v>
      </c>
      <c r="G601" t="b">
        <v>0</v>
      </c>
      <c r="H601">
        <v>5</v>
      </c>
      <c r="I601">
        <v>1</v>
      </c>
      <c r="J601">
        <v>0.12</v>
      </c>
      <c r="K601">
        <v>0.1061</v>
      </c>
      <c r="L601">
        <v>0.3</v>
      </c>
      <c r="M601">
        <v>0.32840000000000003</v>
      </c>
      <c r="N601">
        <v>3</v>
      </c>
      <c r="O601">
        <v>93</v>
      </c>
      <c r="P601">
        <v>96</v>
      </c>
      <c r="Q601" t="s">
        <v>62</v>
      </c>
      <c r="R601" t="s">
        <v>120</v>
      </c>
      <c r="S601" t="s">
        <v>22</v>
      </c>
      <c r="T601" t="s">
        <v>30</v>
      </c>
      <c r="U601" t="s">
        <v>123</v>
      </c>
    </row>
    <row r="602" spans="1:21" x14ac:dyDescent="0.3">
      <c r="A602">
        <v>476</v>
      </c>
      <c r="B602" s="1">
        <v>40564</v>
      </c>
      <c r="C602">
        <v>1</v>
      </c>
      <c r="D602">
        <v>0</v>
      </c>
      <c r="E602">
        <v>1</v>
      </c>
      <c r="F602">
        <v>20</v>
      </c>
      <c r="G602" t="b">
        <v>0</v>
      </c>
      <c r="H602">
        <v>5</v>
      </c>
      <c r="I602">
        <v>1</v>
      </c>
      <c r="J602">
        <v>0.1</v>
      </c>
      <c r="K602">
        <v>7.5800000000000006E-2</v>
      </c>
      <c r="L602">
        <v>0.33</v>
      </c>
      <c r="M602">
        <v>0.41789999999999999</v>
      </c>
      <c r="N602">
        <v>1</v>
      </c>
      <c r="O602">
        <v>52</v>
      </c>
      <c r="P602">
        <v>53</v>
      </c>
      <c r="Q602" t="s">
        <v>62</v>
      </c>
      <c r="R602" t="s">
        <v>120</v>
      </c>
      <c r="S602" t="s">
        <v>22</v>
      </c>
      <c r="T602" t="s">
        <v>30</v>
      </c>
      <c r="U602" t="s">
        <v>123</v>
      </c>
    </row>
    <row r="603" spans="1:21" x14ac:dyDescent="0.3">
      <c r="A603">
        <v>477</v>
      </c>
      <c r="B603" s="1">
        <v>40564</v>
      </c>
      <c r="C603">
        <v>1</v>
      </c>
      <c r="D603">
        <v>0</v>
      </c>
      <c r="E603">
        <v>1</v>
      </c>
      <c r="F603">
        <v>21</v>
      </c>
      <c r="G603" t="b">
        <v>0</v>
      </c>
      <c r="H603">
        <v>5</v>
      </c>
      <c r="I603">
        <v>1</v>
      </c>
      <c r="J603">
        <v>0.08</v>
      </c>
      <c r="K603">
        <v>7.5800000000000006E-2</v>
      </c>
      <c r="L603">
        <v>0.38</v>
      </c>
      <c r="M603">
        <v>0.28360000000000002</v>
      </c>
      <c r="N603">
        <v>0</v>
      </c>
      <c r="O603">
        <v>41</v>
      </c>
      <c r="P603">
        <v>41</v>
      </c>
      <c r="Q603" t="s">
        <v>62</v>
      </c>
      <c r="R603" t="s">
        <v>120</v>
      </c>
      <c r="S603" t="s">
        <v>22</v>
      </c>
      <c r="T603" t="s">
        <v>30</v>
      </c>
      <c r="U603" t="s">
        <v>123</v>
      </c>
    </row>
    <row r="604" spans="1:21" x14ac:dyDescent="0.3">
      <c r="A604">
        <v>478</v>
      </c>
      <c r="B604" s="1">
        <v>40564</v>
      </c>
      <c r="C604">
        <v>1</v>
      </c>
      <c r="D604">
        <v>0</v>
      </c>
      <c r="E604">
        <v>1</v>
      </c>
      <c r="F604">
        <v>22</v>
      </c>
      <c r="G604" t="b">
        <v>0</v>
      </c>
      <c r="H604">
        <v>5</v>
      </c>
      <c r="I604">
        <v>1</v>
      </c>
      <c r="J604">
        <v>0.06</v>
      </c>
      <c r="K604">
        <v>3.0300000000000001E-2</v>
      </c>
      <c r="L604">
        <v>0.41</v>
      </c>
      <c r="M604">
        <v>0.3881</v>
      </c>
      <c r="N604">
        <v>1</v>
      </c>
      <c r="O604">
        <v>33</v>
      </c>
      <c r="P604">
        <v>34</v>
      </c>
      <c r="Q604" t="s">
        <v>62</v>
      </c>
      <c r="R604" t="s">
        <v>120</v>
      </c>
      <c r="S604" t="s">
        <v>22</v>
      </c>
      <c r="T604" t="s">
        <v>30</v>
      </c>
      <c r="U604" t="s">
        <v>123</v>
      </c>
    </row>
    <row r="605" spans="1:21" x14ac:dyDescent="0.3">
      <c r="A605">
        <v>479</v>
      </c>
      <c r="B605" s="1">
        <v>40564</v>
      </c>
      <c r="C605">
        <v>1</v>
      </c>
      <c r="D605">
        <v>0</v>
      </c>
      <c r="E605">
        <v>1</v>
      </c>
      <c r="F605">
        <v>23</v>
      </c>
      <c r="G605" t="b">
        <v>0</v>
      </c>
      <c r="H605">
        <v>5</v>
      </c>
      <c r="I605">
        <v>1</v>
      </c>
      <c r="J605">
        <v>0.06</v>
      </c>
      <c r="K605">
        <v>4.5499999999999999E-2</v>
      </c>
      <c r="L605">
        <v>0.38</v>
      </c>
      <c r="M605">
        <v>0.32840000000000003</v>
      </c>
      <c r="N605">
        <v>0</v>
      </c>
      <c r="O605">
        <v>27</v>
      </c>
      <c r="P605">
        <v>27</v>
      </c>
      <c r="Q605" t="s">
        <v>62</v>
      </c>
      <c r="R605" t="s">
        <v>120</v>
      </c>
      <c r="S605" t="s">
        <v>22</v>
      </c>
      <c r="T605" t="s">
        <v>30</v>
      </c>
      <c r="U605" t="s">
        <v>123</v>
      </c>
    </row>
    <row r="606" spans="1:21" x14ac:dyDescent="0.3">
      <c r="A606">
        <v>596</v>
      </c>
      <c r="B606" s="1">
        <v>40571</v>
      </c>
      <c r="C606">
        <v>1</v>
      </c>
      <c r="D606">
        <v>0</v>
      </c>
      <c r="E606">
        <v>1</v>
      </c>
      <c r="F606">
        <v>0</v>
      </c>
      <c r="G606" t="b">
        <v>0</v>
      </c>
      <c r="H606">
        <v>5</v>
      </c>
      <c r="I606">
        <v>2</v>
      </c>
      <c r="J606">
        <v>0.2</v>
      </c>
      <c r="K606">
        <v>0.21210000000000001</v>
      </c>
      <c r="L606">
        <v>0.75</v>
      </c>
      <c r="M606">
        <v>0.1343</v>
      </c>
      <c r="N606">
        <v>0</v>
      </c>
      <c r="O606">
        <v>9</v>
      </c>
      <c r="P606">
        <v>9</v>
      </c>
      <c r="Q606" t="s">
        <v>64</v>
      </c>
      <c r="R606" t="s">
        <v>120</v>
      </c>
      <c r="S606" t="s">
        <v>22</v>
      </c>
      <c r="T606" t="s">
        <v>30</v>
      </c>
      <c r="U606" t="s">
        <v>124</v>
      </c>
    </row>
    <row r="607" spans="1:21" x14ac:dyDescent="0.3">
      <c r="A607">
        <v>597</v>
      </c>
      <c r="B607" s="1">
        <v>40571</v>
      </c>
      <c r="C607">
        <v>1</v>
      </c>
      <c r="D607">
        <v>0</v>
      </c>
      <c r="E607">
        <v>1</v>
      </c>
      <c r="F607">
        <v>1</v>
      </c>
      <c r="G607" t="b">
        <v>0</v>
      </c>
      <c r="H607">
        <v>5</v>
      </c>
      <c r="I607">
        <v>2</v>
      </c>
      <c r="J607">
        <v>0.2</v>
      </c>
      <c r="K607">
        <v>0.21210000000000001</v>
      </c>
      <c r="L607">
        <v>0.75</v>
      </c>
      <c r="M607">
        <v>0.1343</v>
      </c>
      <c r="N607">
        <v>1</v>
      </c>
      <c r="O607">
        <v>2</v>
      </c>
      <c r="P607">
        <v>3</v>
      </c>
      <c r="Q607" t="s">
        <v>64</v>
      </c>
      <c r="R607" t="s">
        <v>120</v>
      </c>
      <c r="S607" t="s">
        <v>22</v>
      </c>
      <c r="T607" t="s">
        <v>30</v>
      </c>
      <c r="U607" t="s">
        <v>124</v>
      </c>
    </row>
    <row r="608" spans="1:21" x14ac:dyDescent="0.3">
      <c r="A608">
        <v>598</v>
      </c>
      <c r="B608" s="1">
        <v>40571</v>
      </c>
      <c r="C608">
        <v>1</v>
      </c>
      <c r="D608">
        <v>0</v>
      </c>
      <c r="E608">
        <v>1</v>
      </c>
      <c r="F608">
        <v>2</v>
      </c>
      <c r="G608" t="b">
        <v>0</v>
      </c>
      <c r="H608">
        <v>5</v>
      </c>
      <c r="I608">
        <v>2</v>
      </c>
      <c r="J608">
        <v>0.2</v>
      </c>
      <c r="K608">
        <v>0.21210000000000001</v>
      </c>
      <c r="L608">
        <v>0.75</v>
      </c>
      <c r="M608">
        <v>0.16420000000000001</v>
      </c>
      <c r="N608">
        <v>0</v>
      </c>
      <c r="O608">
        <v>2</v>
      </c>
      <c r="P608">
        <v>2</v>
      </c>
      <c r="Q608" t="s">
        <v>64</v>
      </c>
      <c r="R608" t="s">
        <v>120</v>
      </c>
      <c r="S608" t="s">
        <v>22</v>
      </c>
      <c r="T608" t="s">
        <v>30</v>
      </c>
      <c r="U608" t="s">
        <v>124</v>
      </c>
    </row>
    <row r="609" spans="1:21" x14ac:dyDescent="0.3">
      <c r="A609">
        <v>599</v>
      </c>
      <c r="B609" s="1">
        <v>40571</v>
      </c>
      <c r="C609">
        <v>1</v>
      </c>
      <c r="D609">
        <v>0</v>
      </c>
      <c r="E609">
        <v>1</v>
      </c>
      <c r="F609">
        <v>3</v>
      </c>
      <c r="G609" t="b">
        <v>0</v>
      </c>
      <c r="H609">
        <v>5</v>
      </c>
      <c r="I609">
        <v>2</v>
      </c>
      <c r="J609">
        <v>0.2</v>
      </c>
      <c r="K609">
        <v>0.2273</v>
      </c>
      <c r="L609">
        <v>0.75</v>
      </c>
      <c r="M609">
        <v>0.1045</v>
      </c>
      <c r="N609">
        <v>1</v>
      </c>
      <c r="O609">
        <v>0</v>
      </c>
      <c r="P609">
        <v>1</v>
      </c>
      <c r="Q609" t="s">
        <v>64</v>
      </c>
      <c r="R609" t="s">
        <v>120</v>
      </c>
      <c r="S609" t="s">
        <v>22</v>
      </c>
      <c r="T609" t="s">
        <v>30</v>
      </c>
      <c r="U609" t="s">
        <v>124</v>
      </c>
    </row>
    <row r="610" spans="1:21" x14ac:dyDescent="0.3">
      <c r="A610">
        <v>600</v>
      </c>
      <c r="B610" s="1">
        <v>40571</v>
      </c>
      <c r="C610">
        <v>1</v>
      </c>
      <c r="D610">
        <v>0</v>
      </c>
      <c r="E610">
        <v>1</v>
      </c>
      <c r="F610">
        <v>5</v>
      </c>
      <c r="G610" t="b">
        <v>0</v>
      </c>
      <c r="H610">
        <v>5</v>
      </c>
      <c r="I610">
        <v>2</v>
      </c>
      <c r="J610">
        <v>0.18</v>
      </c>
      <c r="K610">
        <v>0.21210000000000001</v>
      </c>
      <c r="L610">
        <v>0.8</v>
      </c>
      <c r="M610">
        <v>0.1045</v>
      </c>
      <c r="N610">
        <v>0</v>
      </c>
      <c r="O610">
        <v>4</v>
      </c>
      <c r="P610">
        <v>4</v>
      </c>
      <c r="Q610" t="s">
        <v>64</v>
      </c>
      <c r="R610" t="s">
        <v>120</v>
      </c>
      <c r="S610" t="s">
        <v>22</v>
      </c>
      <c r="T610" t="s">
        <v>30</v>
      </c>
      <c r="U610" t="s">
        <v>124</v>
      </c>
    </row>
    <row r="611" spans="1:21" x14ac:dyDescent="0.3">
      <c r="A611">
        <v>601</v>
      </c>
      <c r="B611" s="1">
        <v>40571</v>
      </c>
      <c r="C611">
        <v>1</v>
      </c>
      <c r="D611">
        <v>0</v>
      </c>
      <c r="E611">
        <v>1</v>
      </c>
      <c r="F611">
        <v>6</v>
      </c>
      <c r="G611" t="b">
        <v>0</v>
      </c>
      <c r="H611">
        <v>5</v>
      </c>
      <c r="I611">
        <v>2</v>
      </c>
      <c r="J611">
        <v>0.18</v>
      </c>
      <c r="K611">
        <v>0.19700000000000001</v>
      </c>
      <c r="L611">
        <v>0.8</v>
      </c>
      <c r="M611">
        <v>0.1343</v>
      </c>
      <c r="N611">
        <v>0</v>
      </c>
      <c r="O611">
        <v>16</v>
      </c>
      <c r="P611">
        <v>16</v>
      </c>
      <c r="Q611" t="s">
        <v>64</v>
      </c>
      <c r="R611" t="s">
        <v>120</v>
      </c>
      <c r="S611" t="s">
        <v>22</v>
      </c>
      <c r="T611" t="s">
        <v>30</v>
      </c>
      <c r="U611" t="s">
        <v>124</v>
      </c>
    </row>
    <row r="612" spans="1:21" x14ac:dyDescent="0.3">
      <c r="A612">
        <v>602</v>
      </c>
      <c r="B612" s="1">
        <v>40571</v>
      </c>
      <c r="C612">
        <v>1</v>
      </c>
      <c r="D612">
        <v>0</v>
      </c>
      <c r="E612">
        <v>1</v>
      </c>
      <c r="F612">
        <v>7</v>
      </c>
      <c r="G612" t="b">
        <v>0</v>
      </c>
      <c r="H612">
        <v>5</v>
      </c>
      <c r="I612">
        <v>2</v>
      </c>
      <c r="J612">
        <v>0.16</v>
      </c>
      <c r="K612">
        <v>0.19700000000000001</v>
      </c>
      <c r="L612">
        <v>0.86</v>
      </c>
      <c r="M612">
        <v>8.9599999999999999E-2</v>
      </c>
      <c r="N612">
        <v>2</v>
      </c>
      <c r="O612">
        <v>58</v>
      </c>
      <c r="P612">
        <v>60</v>
      </c>
      <c r="Q612" t="s">
        <v>64</v>
      </c>
      <c r="R612" t="s">
        <v>120</v>
      </c>
      <c r="S612" t="s">
        <v>22</v>
      </c>
      <c r="T612" t="s">
        <v>30</v>
      </c>
      <c r="U612" t="s">
        <v>124</v>
      </c>
    </row>
    <row r="613" spans="1:21" x14ac:dyDescent="0.3">
      <c r="A613">
        <v>603</v>
      </c>
      <c r="B613" s="1">
        <v>40571</v>
      </c>
      <c r="C613">
        <v>1</v>
      </c>
      <c r="D613">
        <v>0</v>
      </c>
      <c r="E613">
        <v>1</v>
      </c>
      <c r="F613">
        <v>8</v>
      </c>
      <c r="G613" t="b">
        <v>0</v>
      </c>
      <c r="H613">
        <v>5</v>
      </c>
      <c r="I613">
        <v>2</v>
      </c>
      <c r="J613">
        <v>0.16</v>
      </c>
      <c r="K613">
        <v>0.19700000000000001</v>
      </c>
      <c r="L613">
        <v>0.86</v>
      </c>
      <c r="M613">
        <v>8.9599999999999999E-2</v>
      </c>
      <c r="N613">
        <v>2</v>
      </c>
      <c r="O613">
        <v>155</v>
      </c>
      <c r="P613">
        <v>157</v>
      </c>
      <c r="Q613" t="s">
        <v>64</v>
      </c>
      <c r="R613" t="s">
        <v>120</v>
      </c>
      <c r="S613" t="s">
        <v>22</v>
      </c>
      <c r="T613" t="s">
        <v>30</v>
      </c>
      <c r="U613" t="s">
        <v>124</v>
      </c>
    </row>
    <row r="614" spans="1:21" x14ac:dyDescent="0.3">
      <c r="A614">
        <v>604</v>
      </c>
      <c r="B614" s="1">
        <v>40571</v>
      </c>
      <c r="C614">
        <v>1</v>
      </c>
      <c r="D614">
        <v>0</v>
      </c>
      <c r="E614">
        <v>1</v>
      </c>
      <c r="F614">
        <v>9</v>
      </c>
      <c r="G614" t="b">
        <v>0</v>
      </c>
      <c r="H614">
        <v>5</v>
      </c>
      <c r="I614">
        <v>3</v>
      </c>
      <c r="J614">
        <v>0.18</v>
      </c>
      <c r="K614">
        <v>0.21210000000000001</v>
      </c>
      <c r="L614">
        <v>0.86</v>
      </c>
      <c r="M614">
        <v>8.9599999999999999E-2</v>
      </c>
      <c r="N614">
        <v>6</v>
      </c>
      <c r="O614">
        <v>95</v>
      </c>
      <c r="P614">
        <v>101</v>
      </c>
      <c r="Q614" t="s">
        <v>63</v>
      </c>
      <c r="R614" t="s">
        <v>120</v>
      </c>
      <c r="S614" t="s">
        <v>22</v>
      </c>
      <c r="T614" t="s">
        <v>30</v>
      </c>
      <c r="U614" t="s">
        <v>125</v>
      </c>
    </row>
    <row r="615" spans="1:21" x14ac:dyDescent="0.3">
      <c r="A615">
        <v>605</v>
      </c>
      <c r="B615" s="1">
        <v>40571</v>
      </c>
      <c r="C615">
        <v>1</v>
      </c>
      <c r="D615">
        <v>0</v>
      </c>
      <c r="E615">
        <v>1</v>
      </c>
      <c r="F615">
        <v>10</v>
      </c>
      <c r="G615" t="b">
        <v>0</v>
      </c>
      <c r="H615">
        <v>5</v>
      </c>
      <c r="I615">
        <v>3</v>
      </c>
      <c r="J615">
        <v>0.18</v>
      </c>
      <c r="K615">
        <v>0.21210000000000001</v>
      </c>
      <c r="L615">
        <v>0.86</v>
      </c>
      <c r="M615">
        <v>0.1045</v>
      </c>
      <c r="N615">
        <v>0</v>
      </c>
      <c r="O615">
        <v>49</v>
      </c>
      <c r="P615">
        <v>49</v>
      </c>
      <c r="Q615" t="s">
        <v>63</v>
      </c>
      <c r="R615" t="s">
        <v>120</v>
      </c>
      <c r="S615" t="s">
        <v>22</v>
      </c>
      <c r="T615" t="s">
        <v>30</v>
      </c>
      <c r="U615" t="s">
        <v>125</v>
      </c>
    </row>
    <row r="616" spans="1:21" x14ac:dyDescent="0.3">
      <c r="A616">
        <v>606</v>
      </c>
      <c r="B616" s="1">
        <v>40571</v>
      </c>
      <c r="C616">
        <v>1</v>
      </c>
      <c r="D616">
        <v>0</v>
      </c>
      <c r="E616">
        <v>1</v>
      </c>
      <c r="F616">
        <v>11</v>
      </c>
      <c r="G616" t="b">
        <v>0</v>
      </c>
      <c r="H616">
        <v>5</v>
      </c>
      <c r="I616">
        <v>3</v>
      </c>
      <c r="J616">
        <v>0.18</v>
      </c>
      <c r="K616">
        <v>0.21210000000000001</v>
      </c>
      <c r="L616">
        <v>0.93</v>
      </c>
      <c r="M616">
        <v>0.1045</v>
      </c>
      <c r="N616">
        <v>0</v>
      </c>
      <c r="O616">
        <v>30</v>
      </c>
      <c r="P616">
        <v>30</v>
      </c>
      <c r="Q616" t="s">
        <v>63</v>
      </c>
      <c r="R616" t="s">
        <v>120</v>
      </c>
      <c r="S616" t="s">
        <v>22</v>
      </c>
      <c r="T616" t="s">
        <v>30</v>
      </c>
      <c r="U616" t="s">
        <v>125</v>
      </c>
    </row>
    <row r="617" spans="1:21" x14ac:dyDescent="0.3">
      <c r="A617">
        <v>607</v>
      </c>
      <c r="B617" s="1">
        <v>40571</v>
      </c>
      <c r="C617">
        <v>1</v>
      </c>
      <c r="D617">
        <v>0</v>
      </c>
      <c r="E617">
        <v>1</v>
      </c>
      <c r="F617">
        <v>12</v>
      </c>
      <c r="G617" t="b">
        <v>0</v>
      </c>
      <c r="H617">
        <v>5</v>
      </c>
      <c r="I617">
        <v>3</v>
      </c>
      <c r="J617">
        <v>0.18</v>
      </c>
      <c r="K617">
        <v>0.21210000000000001</v>
      </c>
      <c r="L617">
        <v>0.93</v>
      </c>
      <c r="M617">
        <v>0.1045</v>
      </c>
      <c r="N617">
        <v>1</v>
      </c>
      <c r="O617">
        <v>28</v>
      </c>
      <c r="P617">
        <v>29</v>
      </c>
      <c r="Q617" t="s">
        <v>63</v>
      </c>
      <c r="R617" t="s">
        <v>120</v>
      </c>
      <c r="S617" t="s">
        <v>22</v>
      </c>
      <c r="T617" t="s">
        <v>30</v>
      </c>
      <c r="U617" t="s">
        <v>125</v>
      </c>
    </row>
    <row r="618" spans="1:21" x14ac:dyDescent="0.3">
      <c r="A618">
        <v>608</v>
      </c>
      <c r="B618" s="1">
        <v>40571</v>
      </c>
      <c r="C618">
        <v>1</v>
      </c>
      <c r="D618">
        <v>0</v>
      </c>
      <c r="E618">
        <v>1</v>
      </c>
      <c r="F618">
        <v>13</v>
      </c>
      <c r="G618" t="b">
        <v>0</v>
      </c>
      <c r="H618">
        <v>5</v>
      </c>
      <c r="I618">
        <v>3</v>
      </c>
      <c r="J618">
        <v>0.18</v>
      </c>
      <c r="K618">
        <v>0.21210000000000001</v>
      </c>
      <c r="L618">
        <v>0.93</v>
      </c>
      <c r="M618">
        <v>0.1045</v>
      </c>
      <c r="N618">
        <v>0</v>
      </c>
      <c r="O618">
        <v>31</v>
      </c>
      <c r="P618">
        <v>31</v>
      </c>
      <c r="Q618" t="s">
        <v>63</v>
      </c>
      <c r="R618" t="s">
        <v>120</v>
      </c>
      <c r="S618" t="s">
        <v>22</v>
      </c>
      <c r="T618" t="s">
        <v>30</v>
      </c>
      <c r="U618" t="s">
        <v>125</v>
      </c>
    </row>
    <row r="619" spans="1:21" x14ac:dyDescent="0.3">
      <c r="A619">
        <v>609</v>
      </c>
      <c r="B619" s="1">
        <v>40571</v>
      </c>
      <c r="C619">
        <v>1</v>
      </c>
      <c r="D619">
        <v>0</v>
      </c>
      <c r="E619">
        <v>1</v>
      </c>
      <c r="F619">
        <v>14</v>
      </c>
      <c r="G619" t="b">
        <v>0</v>
      </c>
      <c r="H619">
        <v>5</v>
      </c>
      <c r="I619">
        <v>3</v>
      </c>
      <c r="J619">
        <v>0.22</v>
      </c>
      <c r="K619">
        <v>0.2727</v>
      </c>
      <c r="L619">
        <v>0.8</v>
      </c>
      <c r="M619">
        <v>0</v>
      </c>
      <c r="N619">
        <v>2</v>
      </c>
      <c r="O619">
        <v>36</v>
      </c>
      <c r="P619">
        <v>38</v>
      </c>
      <c r="Q619" t="s">
        <v>63</v>
      </c>
      <c r="R619" t="s">
        <v>120</v>
      </c>
      <c r="S619" t="s">
        <v>22</v>
      </c>
      <c r="T619" t="s">
        <v>30</v>
      </c>
      <c r="U619" t="s">
        <v>125</v>
      </c>
    </row>
    <row r="620" spans="1:21" x14ac:dyDescent="0.3">
      <c r="A620">
        <v>610</v>
      </c>
      <c r="B620" s="1">
        <v>40571</v>
      </c>
      <c r="C620">
        <v>1</v>
      </c>
      <c r="D620">
        <v>0</v>
      </c>
      <c r="E620">
        <v>1</v>
      </c>
      <c r="F620">
        <v>15</v>
      </c>
      <c r="G620" t="b">
        <v>0</v>
      </c>
      <c r="H620">
        <v>5</v>
      </c>
      <c r="I620">
        <v>2</v>
      </c>
      <c r="J620">
        <v>0.2</v>
      </c>
      <c r="K620">
        <v>0.2576</v>
      </c>
      <c r="L620">
        <v>0.86</v>
      </c>
      <c r="M620">
        <v>0</v>
      </c>
      <c r="N620">
        <v>1</v>
      </c>
      <c r="O620">
        <v>40</v>
      </c>
      <c r="P620">
        <v>41</v>
      </c>
      <c r="Q620" t="s">
        <v>64</v>
      </c>
      <c r="R620" t="s">
        <v>120</v>
      </c>
      <c r="S620" t="s">
        <v>22</v>
      </c>
      <c r="T620" t="s">
        <v>30</v>
      </c>
      <c r="U620" t="s">
        <v>124</v>
      </c>
    </row>
    <row r="621" spans="1:21" x14ac:dyDescent="0.3">
      <c r="A621">
        <v>611</v>
      </c>
      <c r="B621" s="1">
        <v>40571</v>
      </c>
      <c r="C621">
        <v>1</v>
      </c>
      <c r="D621">
        <v>0</v>
      </c>
      <c r="E621">
        <v>1</v>
      </c>
      <c r="F621">
        <v>16</v>
      </c>
      <c r="G621" t="b">
        <v>0</v>
      </c>
      <c r="H621">
        <v>5</v>
      </c>
      <c r="I621">
        <v>1</v>
      </c>
      <c r="J621">
        <v>0.22</v>
      </c>
      <c r="K621">
        <v>0.2727</v>
      </c>
      <c r="L621">
        <v>0.8</v>
      </c>
      <c r="M621">
        <v>0</v>
      </c>
      <c r="N621">
        <v>10</v>
      </c>
      <c r="O621">
        <v>70</v>
      </c>
      <c r="P621">
        <v>80</v>
      </c>
      <c r="Q621" t="s">
        <v>62</v>
      </c>
      <c r="R621" t="s">
        <v>120</v>
      </c>
      <c r="S621" t="s">
        <v>22</v>
      </c>
      <c r="T621" t="s">
        <v>30</v>
      </c>
      <c r="U621" t="s">
        <v>123</v>
      </c>
    </row>
    <row r="622" spans="1:21" x14ac:dyDescent="0.3">
      <c r="A622">
        <v>612</v>
      </c>
      <c r="B622" s="1">
        <v>40571</v>
      </c>
      <c r="C622">
        <v>1</v>
      </c>
      <c r="D622">
        <v>0</v>
      </c>
      <c r="E622">
        <v>1</v>
      </c>
      <c r="F622">
        <v>17</v>
      </c>
      <c r="G622" t="b">
        <v>0</v>
      </c>
      <c r="H622">
        <v>5</v>
      </c>
      <c r="I622">
        <v>1</v>
      </c>
      <c r="J622">
        <v>0.24</v>
      </c>
      <c r="K622">
        <v>0.2424</v>
      </c>
      <c r="L622">
        <v>0.75</v>
      </c>
      <c r="M622">
        <v>0.1343</v>
      </c>
      <c r="N622">
        <v>2</v>
      </c>
      <c r="O622">
        <v>147</v>
      </c>
      <c r="P622">
        <v>149</v>
      </c>
      <c r="Q622" t="s">
        <v>62</v>
      </c>
      <c r="R622" t="s">
        <v>120</v>
      </c>
      <c r="S622" t="s">
        <v>22</v>
      </c>
      <c r="T622" t="s">
        <v>30</v>
      </c>
      <c r="U622" t="s">
        <v>123</v>
      </c>
    </row>
    <row r="623" spans="1:21" x14ac:dyDescent="0.3">
      <c r="A623">
        <v>613</v>
      </c>
      <c r="B623" s="1">
        <v>40571</v>
      </c>
      <c r="C623">
        <v>1</v>
      </c>
      <c r="D623">
        <v>0</v>
      </c>
      <c r="E623">
        <v>1</v>
      </c>
      <c r="F623">
        <v>18</v>
      </c>
      <c r="G623" t="b">
        <v>0</v>
      </c>
      <c r="H623">
        <v>5</v>
      </c>
      <c r="I623">
        <v>1</v>
      </c>
      <c r="J623">
        <v>0.24</v>
      </c>
      <c r="K623">
        <v>0.2273</v>
      </c>
      <c r="L623">
        <v>0.75</v>
      </c>
      <c r="M623">
        <v>0.19400000000000001</v>
      </c>
      <c r="N623">
        <v>2</v>
      </c>
      <c r="O623">
        <v>107</v>
      </c>
      <c r="P623">
        <v>109</v>
      </c>
      <c r="Q623" t="s">
        <v>62</v>
      </c>
      <c r="R623" t="s">
        <v>120</v>
      </c>
      <c r="S623" t="s">
        <v>22</v>
      </c>
      <c r="T623" t="s">
        <v>30</v>
      </c>
      <c r="U623" t="s">
        <v>123</v>
      </c>
    </row>
    <row r="624" spans="1:21" x14ac:dyDescent="0.3">
      <c r="A624">
        <v>614</v>
      </c>
      <c r="B624" s="1">
        <v>40571</v>
      </c>
      <c r="C624">
        <v>1</v>
      </c>
      <c r="D624">
        <v>0</v>
      </c>
      <c r="E624">
        <v>1</v>
      </c>
      <c r="F624">
        <v>19</v>
      </c>
      <c r="G624" t="b">
        <v>0</v>
      </c>
      <c r="H624">
        <v>5</v>
      </c>
      <c r="I624">
        <v>2</v>
      </c>
      <c r="J624">
        <v>0.24</v>
      </c>
      <c r="K624">
        <v>0.2424</v>
      </c>
      <c r="L624">
        <v>0.75</v>
      </c>
      <c r="M624">
        <v>0.1343</v>
      </c>
      <c r="N624">
        <v>5</v>
      </c>
      <c r="O624">
        <v>84</v>
      </c>
      <c r="P624">
        <v>89</v>
      </c>
      <c r="Q624" t="s">
        <v>64</v>
      </c>
      <c r="R624" t="s">
        <v>120</v>
      </c>
      <c r="S624" t="s">
        <v>22</v>
      </c>
      <c r="T624" t="s">
        <v>30</v>
      </c>
      <c r="U624" t="s">
        <v>124</v>
      </c>
    </row>
    <row r="625" spans="1:21" x14ac:dyDescent="0.3">
      <c r="A625">
        <v>615</v>
      </c>
      <c r="B625" s="1">
        <v>40571</v>
      </c>
      <c r="C625">
        <v>1</v>
      </c>
      <c r="D625">
        <v>0</v>
      </c>
      <c r="E625">
        <v>1</v>
      </c>
      <c r="F625">
        <v>20</v>
      </c>
      <c r="G625" t="b">
        <v>0</v>
      </c>
      <c r="H625">
        <v>5</v>
      </c>
      <c r="I625">
        <v>2</v>
      </c>
      <c r="J625">
        <v>0.24</v>
      </c>
      <c r="K625">
        <v>0.2273</v>
      </c>
      <c r="L625">
        <v>0.7</v>
      </c>
      <c r="M625">
        <v>0.19400000000000001</v>
      </c>
      <c r="N625">
        <v>1</v>
      </c>
      <c r="O625">
        <v>61</v>
      </c>
      <c r="P625">
        <v>62</v>
      </c>
      <c r="Q625" t="s">
        <v>64</v>
      </c>
      <c r="R625" t="s">
        <v>120</v>
      </c>
      <c r="S625" t="s">
        <v>22</v>
      </c>
      <c r="T625" t="s">
        <v>30</v>
      </c>
      <c r="U625" t="s">
        <v>124</v>
      </c>
    </row>
    <row r="626" spans="1:21" x14ac:dyDescent="0.3">
      <c r="A626">
        <v>616</v>
      </c>
      <c r="B626" s="1">
        <v>40571</v>
      </c>
      <c r="C626">
        <v>1</v>
      </c>
      <c r="D626">
        <v>0</v>
      </c>
      <c r="E626">
        <v>1</v>
      </c>
      <c r="F626">
        <v>21</v>
      </c>
      <c r="G626" t="b">
        <v>0</v>
      </c>
      <c r="H626">
        <v>5</v>
      </c>
      <c r="I626">
        <v>2</v>
      </c>
      <c r="J626">
        <v>0.22</v>
      </c>
      <c r="K626">
        <v>0.2273</v>
      </c>
      <c r="L626">
        <v>0.75</v>
      </c>
      <c r="M626">
        <v>0.1343</v>
      </c>
      <c r="N626">
        <v>1</v>
      </c>
      <c r="O626">
        <v>57</v>
      </c>
      <c r="P626">
        <v>58</v>
      </c>
      <c r="Q626" t="s">
        <v>64</v>
      </c>
      <c r="R626" t="s">
        <v>120</v>
      </c>
      <c r="S626" t="s">
        <v>22</v>
      </c>
      <c r="T626" t="s">
        <v>30</v>
      </c>
      <c r="U626" t="s">
        <v>124</v>
      </c>
    </row>
    <row r="627" spans="1:21" x14ac:dyDescent="0.3">
      <c r="A627">
        <v>617</v>
      </c>
      <c r="B627" s="1">
        <v>40571</v>
      </c>
      <c r="C627">
        <v>1</v>
      </c>
      <c r="D627">
        <v>0</v>
      </c>
      <c r="E627">
        <v>1</v>
      </c>
      <c r="F627">
        <v>22</v>
      </c>
      <c r="G627" t="b">
        <v>0</v>
      </c>
      <c r="H627">
        <v>5</v>
      </c>
      <c r="I627">
        <v>1</v>
      </c>
      <c r="J627">
        <v>0.24</v>
      </c>
      <c r="K627">
        <v>0.21210000000000001</v>
      </c>
      <c r="L627">
        <v>0.65</v>
      </c>
      <c r="M627">
        <v>0.35820000000000002</v>
      </c>
      <c r="N627">
        <v>0</v>
      </c>
      <c r="O627">
        <v>26</v>
      </c>
      <c r="P627">
        <v>26</v>
      </c>
      <c r="Q627" t="s">
        <v>62</v>
      </c>
      <c r="R627" t="s">
        <v>120</v>
      </c>
      <c r="S627" t="s">
        <v>22</v>
      </c>
      <c r="T627" t="s">
        <v>30</v>
      </c>
      <c r="U627" t="s">
        <v>123</v>
      </c>
    </row>
    <row r="628" spans="1:21" x14ac:dyDescent="0.3">
      <c r="A628">
        <v>618</v>
      </c>
      <c r="B628" s="1">
        <v>40571</v>
      </c>
      <c r="C628">
        <v>1</v>
      </c>
      <c r="D628">
        <v>0</v>
      </c>
      <c r="E628">
        <v>1</v>
      </c>
      <c r="F628">
        <v>23</v>
      </c>
      <c r="G628" t="b">
        <v>0</v>
      </c>
      <c r="H628">
        <v>5</v>
      </c>
      <c r="I628">
        <v>1</v>
      </c>
      <c r="J628">
        <v>0.24</v>
      </c>
      <c r="K628">
        <v>0.2273</v>
      </c>
      <c r="L628">
        <v>0.6</v>
      </c>
      <c r="M628">
        <v>0.22389999999999999</v>
      </c>
      <c r="N628">
        <v>1</v>
      </c>
      <c r="O628">
        <v>22</v>
      </c>
      <c r="P628">
        <v>23</v>
      </c>
      <c r="Q628" t="s">
        <v>62</v>
      </c>
      <c r="R628" t="s">
        <v>120</v>
      </c>
      <c r="S628" t="s">
        <v>22</v>
      </c>
      <c r="T628" t="s">
        <v>30</v>
      </c>
      <c r="U628" t="s">
        <v>123</v>
      </c>
    </row>
    <row r="629" spans="1:21" x14ac:dyDescent="0.3">
      <c r="A629">
        <v>759</v>
      </c>
      <c r="B629" s="1">
        <v>40578</v>
      </c>
      <c r="C629">
        <v>1</v>
      </c>
      <c r="D629">
        <v>0</v>
      </c>
      <c r="E629">
        <v>2</v>
      </c>
      <c r="F629">
        <v>0</v>
      </c>
      <c r="G629" t="b">
        <v>0</v>
      </c>
      <c r="H629">
        <v>5</v>
      </c>
      <c r="I629">
        <v>2</v>
      </c>
      <c r="J629">
        <v>0.2</v>
      </c>
      <c r="K629">
        <v>0.2576</v>
      </c>
      <c r="L629">
        <v>0.44</v>
      </c>
      <c r="M629">
        <v>0</v>
      </c>
      <c r="N629">
        <v>3</v>
      </c>
      <c r="O629">
        <v>10</v>
      </c>
      <c r="P629">
        <v>13</v>
      </c>
      <c r="Q629" t="s">
        <v>64</v>
      </c>
      <c r="R629" t="s">
        <v>120</v>
      </c>
      <c r="S629" t="s">
        <v>22</v>
      </c>
      <c r="T629" t="s">
        <v>29</v>
      </c>
      <c r="U629" t="s">
        <v>124</v>
      </c>
    </row>
    <row r="630" spans="1:21" x14ac:dyDescent="0.3">
      <c r="A630">
        <v>760</v>
      </c>
      <c r="B630" s="1">
        <v>40578</v>
      </c>
      <c r="C630">
        <v>1</v>
      </c>
      <c r="D630">
        <v>0</v>
      </c>
      <c r="E630">
        <v>2</v>
      </c>
      <c r="F630">
        <v>1</v>
      </c>
      <c r="G630" t="b">
        <v>0</v>
      </c>
      <c r="H630">
        <v>5</v>
      </c>
      <c r="I630">
        <v>2</v>
      </c>
      <c r="J630">
        <v>0.16</v>
      </c>
      <c r="K630">
        <v>0.2273</v>
      </c>
      <c r="L630">
        <v>0.59</v>
      </c>
      <c r="M630">
        <v>0</v>
      </c>
      <c r="N630">
        <v>0</v>
      </c>
      <c r="O630">
        <v>7</v>
      </c>
      <c r="P630">
        <v>7</v>
      </c>
      <c r="Q630" t="s">
        <v>64</v>
      </c>
      <c r="R630" t="s">
        <v>120</v>
      </c>
      <c r="S630" t="s">
        <v>22</v>
      </c>
      <c r="T630" t="s">
        <v>29</v>
      </c>
      <c r="U630" t="s">
        <v>124</v>
      </c>
    </row>
    <row r="631" spans="1:21" x14ac:dyDescent="0.3">
      <c r="A631">
        <v>761</v>
      </c>
      <c r="B631" s="1">
        <v>40578</v>
      </c>
      <c r="C631">
        <v>1</v>
      </c>
      <c r="D631">
        <v>0</v>
      </c>
      <c r="E631">
        <v>2</v>
      </c>
      <c r="F631">
        <v>2</v>
      </c>
      <c r="G631" t="b">
        <v>0</v>
      </c>
      <c r="H631">
        <v>5</v>
      </c>
      <c r="I631">
        <v>2</v>
      </c>
      <c r="J631">
        <v>0.14000000000000001</v>
      </c>
      <c r="K631">
        <v>0.16669999999999999</v>
      </c>
      <c r="L631">
        <v>0.63</v>
      </c>
      <c r="M631">
        <v>0.1045</v>
      </c>
      <c r="N631">
        <v>0</v>
      </c>
      <c r="O631">
        <v>1</v>
      </c>
      <c r="P631">
        <v>1</v>
      </c>
      <c r="Q631" t="s">
        <v>64</v>
      </c>
      <c r="R631" t="s">
        <v>120</v>
      </c>
      <c r="S631" t="s">
        <v>22</v>
      </c>
      <c r="T631" t="s">
        <v>29</v>
      </c>
      <c r="U631" t="s">
        <v>124</v>
      </c>
    </row>
    <row r="632" spans="1:21" x14ac:dyDescent="0.3">
      <c r="A632">
        <v>762</v>
      </c>
      <c r="B632" s="1">
        <v>40578</v>
      </c>
      <c r="C632">
        <v>1</v>
      </c>
      <c r="D632">
        <v>0</v>
      </c>
      <c r="E632">
        <v>2</v>
      </c>
      <c r="F632">
        <v>3</v>
      </c>
      <c r="G632" t="b">
        <v>0</v>
      </c>
      <c r="H632">
        <v>5</v>
      </c>
      <c r="I632">
        <v>2</v>
      </c>
      <c r="J632">
        <v>0.14000000000000001</v>
      </c>
      <c r="K632">
        <v>0.16669999999999999</v>
      </c>
      <c r="L632">
        <v>0.63</v>
      </c>
      <c r="M632">
        <v>0.1045</v>
      </c>
      <c r="N632">
        <v>0</v>
      </c>
      <c r="O632">
        <v>1</v>
      </c>
      <c r="P632">
        <v>1</v>
      </c>
      <c r="Q632" t="s">
        <v>64</v>
      </c>
      <c r="R632" t="s">
        <v>120</v>
      </c>
      <c r="S632" t="s">
        <v>22</v>
      </c>
      <c r="T632" t="s">
        <v>29</v>
      </c>
      <c r="U632" t="s">
        <v>124</v>
      </c>
    </row>
    <row r="633" spans="1:21" x14ac:dyDescent="0.3">
      <c r="A633">
        <v>763</v>
      </c>
      <c r="B633" s="1">
        <v>40578</v>
      </c>
      <c r="C633">
        <v>1</v>
      </c>
      <c r="D633">
        <v>0</v>
      </c>
      <c r="E633">
        <v>2</v>
      </c>
      <c r="F633">
        <v>5</v>
      </c>
      <c r="G633" t="b">
        <v>0</v>
      </c>
      <c r="H633">
        <v>5</v>
      </c>
      <c r="I633">
        <v>2</v>
      </c>
      <c r="J633">
        <v>0.14000000000000001</v>
      </c>
      <c r="K633">
        <v>0.1515</v>
      </c>
      <c r="L633">
        <v>0.63</v>
      </c>
      <c r="M633">
        <v>0.1343</v>
      </c>
      <c r="N633">
        <v>0</v>
      </c>
      <c r="O633">
        <v>7</v>
      </c>
      <c r="P633">
        <v>7</v>
      </c>
      <c r="Q633" t="s">
        <v>64</v>
      </c>
      <c r="R633" t="s">
        <v>120</v>
      </c>
      <c r="S633" t="s">
        <v>22</v>
      </c>
      <c r="T633" t="s">
        <v>29</v>
      </c>
      <c r="U633" t="s">
        <v>124</v>
      </c>
    </row>
    <row r="634" spans="1:21" x14ac:dyDescent="0.3">
      <c r="A634">
        <v>764</v>
      </c>
      <c r="B634" s="1">
        <v>40578</v>
      </c>
      <c r="C634">
        <v>1</v>
      </c>
      <c r="D634">
        <v>0</v>
      </c>
      <c r="E634">
        <v>2</v>
      </c>
      <c r="F634">
        <v>6</v>
      </c>
      <c r="G634" t="b">
        <v>0</v>
      </c>
      <c r="H634">
        <v>5</v>
      </c>
      <c r="I634">
        <v>2</v>
      </c>
      <c r="J634">
        <v>0.16</v>
      </c>
      <c r="K634">
        <v>0.2273</v>
      </c>
      <c r="L634">
        <v>0.55000000000000004</v>
      </c>
      <c r="M634">
        <v>0</v>
      </c>
      <c r="N634">
        <v>2</v>
      </c>
      <c r="O634">
        <v>26</v>
      </c>
      <c r="P634">
        <v>28</v>
      </c>
      <c r="Q634" t="s">
        <v>64</v>
      </c>
      <c r="R634" t="s">
        <v>120</v>
      </c>
      <c r="S634" t="s">
        <v>22</v>
      </c>
      <c r="T634" t="s">
        <v>29</v>
      </c>
      <c r="U634" t="s">
        <v>124</v>
      </c>
    </row>
    <row r="635" spans="1:21" x14ac:dyDescent="0.3">
      <c r="A635">
        <v>765</v>
      </c>
      <c r="B635" s="1">
        <v>40578</v>
      </c>
      <c r="C635">
        <v>1</v>
      </c>
      <c r="D635">
        <v>0</v>
      </c>
      <c r="E635">
        <v>2</v>
      </c>
      <c r="F635">
        <v>7</v>
      </c>
      <c r="G635" t="b">
        <v>0</v>
      </c>
      <c r="H635">
        <v>5</v>
      </c>
      <c r="I635">
        <v>1</v>
      </c>
      <c r="J635">
        <v>0.14000000000000001</v>
      </c>
      <c r="K635">
        <v>0.21210000000000001</v>
      </c>
      <c r="L635">
        <v>0.59</v>
      </c>
      <c r="M635">
        <v>0</v>
      </c>
      <c r="N635">
        <v>0</v>
      </c>
      <c r="O635">
        <v>87</v>
      </c>
      <c r="P635">
        <v>87</v>
      </c>
      <c r="Q635" t="s">
        <v>62</v>
      </c>
      <c r="R635" t="s">
        <v>120</v>
      </c>
      <c r="S635" t="s">
        <v>22</v>
      </c>
      <c r="T635" t="s">
        <v>29</v>
      </c>
      <c r="U635" t="s">
        <v>123</v>
      </c>
    </row>
    <row r="636" spans="1:21" x14ac:dyDescent="0.3">
      <c r="A636">
        <v>766</v>
      </c>
      <c r="B636" s="1">
        <v>40578</v>
      </c>
      <c r="C636">
        <v>1</v>
      </c>
      <c r="D636">
        <v>0</v>
      </c>
      <c r="E636">
        <v>2</v>
      </c>
      <c r="F636">
        <v>8</v>
      </c>
      <c r="G636" t="b">
        <v>0</v>
      </c>
      <c r="H636">
        <v>5</v>
      </c>
      <c r="I636">
        <v>1</v>
      </c>
      <c r="J636">
        <v>0.14000000000000001</v>
      </c>
      <c r="K636">
        <v>0.1515</v>
      </c>
      <c r="L636">
        <v>0.74</v>
      </c>
      <c r="M636">
        <v>0.1343</v>
      </c>
      <c r="N636">
        <v>3</v>
      </c>
      <c r="O636">
        <v>217</v>
      </c>
      <c r="P636">
        <v>220</v>
      </c>
      <c r="Q636" t="s">
        <v>62</v>
      </c>
      <c r="R636" t="s">
        <v>120</v>
      </c>
      <c r="S636" t="s">
        <v>22</v>
      </c>
      <c r="T636" t="s">
        <v>29</v>
      </c>
      <c r="U636" t="s">
        <v>123</v>
      </c>
    </row>
    <row r="637" spans="1:21" x14ac:dyDescent="0.3">
      <c r="A637">
        <v>767</v>
      </c>
      <c r="B637" s="1">
        <v>40578</v>
      </c>
      <c r="C637">
        <v>1</v>
      </c>
      <c r="D637">
        <v>0</v>
      </c>
      <c r="E637">
        <v>2</v>
      </c>
      <c r="F637">
        <v>9</v>
      </c>
      <c r="G637" t="b">
        <v>0</v>
      </c>
      <c r="H637">
        <v>5</v>
      </c>
      <c r="I637">
        <v>2</v>
      </c>
      <c r="J637">
        <v>0.16</v>
      </c>
      <c r="K637">
        <v>0.18179999999999999</v>
      </c>
      <c r="L637">
        <v>0.8</v>
      </c>
      <c r="M637">
        <v>0.1343</v>
      </c>
      <c r="N637">
        <v>3</v>
      </c>
      <c r="O637">
        <v>124</v>
      </c>
      <c r="P637">
        <v>127</v>
      </c>
      <c r="Q637" t="s">
        <v>64</v>
      </c>
      <c r="R637" t="s">
        <v>120</v>
      </c>
      <c r="S637" t="s">
        <v>22</v>
      </c>
      <c r="T637" t="s">
        <v>29</v>
      </c>
      <c r="U637" t="s">
        <v>124</v>
      </c>
    </row>
    <row r="638" spans="1:21" x14ac:dyDescent="0.3">
      <c r="A638">
        <v>768</v>
      </c>
      <c r="B638" s="1">
        <v>40578</v>
      </c>
      <c r="C638">
        <v>1</v>
      </c>
      <c r="D638">
        <v>0</v>
      </c>
      <c r="E638">
        <v>2</v>
      </c>
      <c r="F638">
        <v>10</v>
      </c>
      <c r="G638" t="b">
        <v>0</v>
      </c>
      <c r="H638">
        <v>5</v>
      </c>
      <c r="I638">
        <v>2</v>
      </c>
      <c r="J638">
        <v>0.2</v>
      </c>
      <c r="K638">
        <v>0.21210000000000001</v>
      </c>
      <c r="L638">
        <v>0.51</v>
      </c>
      <c r="M638">
        <v>0.1343</v>
      </c>
      <c r="N638">
        <v>5</v>
      </c>
      <c r="O638">
        <v>46</v>
      </c>
      <c r="P638">
        <v>51</v>
      </c>
      <c r="Q638" t="s">
        <v>64</v>
      </c>
      <c r="R638" t="s">
        <v>120</v>
      </c>
      <c r="S638" t="s">
        <v>22</v>
      </c>
      <c r="T638" t="s">
        <v>29</v>
      </c>
      <c r="U638" t="s">
        <v>124</v>
      </c>
    </row>
    <row r="639" spans="1:21" x14ac:dyDescent="0.3">
      <c r="A639">
        <v>769</v>
      </c>
      <c r="B639" s="1">
        <v>40578</v>
      </c>
      <c r="C639">
        <v>1</v>
      </c>
      <c r="D639">
        <v>0</v>
      </c>
      <c r="E639">
        <v>2</v>
      </c>
      <c r="F639">
        <v>11</v>
      </c>
      <c r="G639" t="b">
        <v>0</v>
      </c>
      <c r="H639">
        <v>5</v>
      </c>
      <c r="I639">
        <v>1</v>
      </c>
      <c r="J639">
        <v>0.22</v>
      </c>
      <c r="K639">
        <v>0.2273</v>
      </c>
      <c r="L639">
        <v>0.51</v>
      </c>
      <c r="M639">
        <v>0.16420000000000001</v>
      </c>
      <c r="N639">
        <v>3</v>
      </c>
      <c r="O639">
        <v>61</v>
      </c>
      <c r="P639">
        <v>64</v>
      </c>
      <c r="Q639" t="s">
        <v>62</v>
      </c>
      <c r="R639" t="s">
        <v>120</v>
      </c>
      <c r="S639" t="s">
        <v>22</v>
      </c>
      <c r="T639" t="s">
        <v>29</v>
      </c>
      <c r="U639" t="s">
        <v>123</v>
      </c>
    </row>
    <row r="640" spans="1:21" x14ac:dyDescent="0.3">
      <c r="A640">
        <v>770</v>
      </c>
      <c r="B640" s="1">
        <v>40578</v>
      </c>
      <c r="C640">
        <v>1</v>
      </c>
      <c r="D640">
        <v>0</v>
      </c>
      <c r="E640">
        <v>2</v>
      </c>
      <c r="F640">
        <v>12</v>
      </c>
      <c r="G640" t="b">
        <v>0</v>
      </c>
      <c r="H640">
        <v>5</v>
      </c>
      <c r="I640">
        <v>2</v>
      </c>
      <c r="J640">
        <v>0.24</v>
      </c>
      <c r="K640">
        <v>0.2424</v>
      </c>
      <c r="L640">
        <v>0.48</v>
      </c>
      <c r="M640">
        <v>0.16420000000000001</v>
      </c>
      <c r="N640">
        <v>8</v>
      </c>
      <c r="O640">
        <v>78</v>
      </c>
      <c r="P640">
        <v>86</v>
      </c>
      <c r="Q640" t="s">
        <v>64</v>
      </c>
      <c r="R640" t="s">
        <v>120</v>
      </c>
      <c r="S640" t="s">
        <v>22</v>
      </c>
      <c r="T640" t="s">
        <v>29</v>
      </c>
      <c r="U640" t="s">
        <v>124</v>
      </c>
    </row>
    <row r="641" spans="1:21" x14ac:dyDescent="0.3">
      <c r="A641">
        <v>771</v>
      </c>
      <c r="B641" s="1">
        <v>40578</v>
      </c>
      <c r="C641">
        <v>1</v>
      </c>
      <c r="D641">
        <v>0</v>
      </c>
      <c r="E641">
        <v>2</v>
      </c>
      <c r="F641">
        <v>13</v>
      </c>
      <c r="G641" t="b">
        <v>0</v>
      </c>
      <c r="H641">
        <v>5</v>
      </c>
      <c r="I641">
        <v>2</v>
      </c>
      <c r="J641">
        <v>0.26</v>
      </c>
      <c r="K641">
        <v>0.2576</v>
      </c>
      <c r="L641">
        <v>0.5</v>
      </c>
      <c r="M641">
        <v>0.22389999999999999</v>
      </c>
      <c r="N641">
        <v>9</v>
      </c>
      <c r="O641">
        <v>73</v>
      </c>
      <c r="P641">
        <v>82</v>
      </c>
      <c r="Q641" t="s">
        <v>64</v>
      </c>
      <c r="R641" t="s">
        <v>120</v>
      </c>
      <c r="S641" t="s">
        <v>22</v>
      </c>
      <c r="T641" t="s">
        <v>29</v>
      </c>
      <c r="U641" t="s">
        <v>124</v>
      </c>
    </row>
    <row r="642" spans="1:21" x14ac:dyDescent="0.3">
      <c r="A642">
        <v>772</v>
      </c>
      <c r="B642" s="1">
        <v>40578</v>
      </c>
      <c r="C642">
        <v>1</v>
      </c>
      <c r="D642">
        <v>0</v>
      </c>
      <c r="E642">
        <v>2</v>
      </c>
      <c r="F642">
        <v>14</v>
      </c>
      <c r="G642" t="b">
        <v>0</v>
      </c>
      <c r="H642">
        <v>5</v>
      </c>
      <c r="I642">
        <v>2</v>
      </c>
      <c r="J642">
        <v>0.28000000000000003</v>
      </c>
      <c r="K642">
        <v>0.2727</v>
      </c>
      <c r="L642">
        <v>0.45</v>
      </c>
      <c r="M642">
        <v>0.16420000000000001</v>
      </c>
      <c r="N642">
        <v>15</v>
      </c>
      <c r="O642">
        <v>76</v>
      </c>
      <c r="P642">
        <v>91</v>
      </c>
      <c r="Q642" t="s">
        <v>64</v>
      </c>
      <c r="R642" t="s">
        <v>120</v>
      </c>
      <c r="S642" t="s">
        <v>22</v>
      </c>
      <c r="T642" t="s">
        <v>29</v>
      </c>
      <c r="U642" t="s">
        <v>124</v>
      </c>
    </row>
    <row r="643" spans="1:21" x14ac:dyDescent="0.3">
      <c r="A643">
        <v>773</v>
      </c>
      <c r="B643" s="1">
        <v>40578</v>
      </c>
      <c r="C643">
        <v>1</v>
      </c>
      <c r="D643">
        <v>0</v>
      </c>
      <c r="E643">
        <v>2</v>
      </c>
      <c r="F643">
        <v>15</v>
      </c>
      <c r="G643" t="b">
        <v>0</v>
      </c>
      <c r="H643">
        <v>5</v>
      </c>
      <c r="I643">
        <v>2</v>
      </c>
      <c r="J643">
        <v>0.28000000000000003</v>
      </c>
      <c r="K643">
        <v>0.2727</v>
      </c>
      <c r="L643">
        <v>0.48</v>
      </c>
      <c r="M643">
        <v>0.25369999999999998</v>
      </c>
      <c r="N643">
        <v>9</v>
      </c>
      <c r="O643">
        <v>81</v>
      </c>
      <c r="P643">
        <v>90</v>
      </c>
      <c r="Q643" t="s">
        <v>64</v>
      </c>
      <c r="R643" t="s">
        <v>120</v>
      </c>
      <c r="S643" t="s">
        <v>22</v>
      </c>
      <c r="T643" t="s">
        <v>29</v>
      </c>
      <c r="U643" t="s">
        <v>124</v>
      </c>
    </row>
    <row r="644" spans="1:21" x14ac:dyDescent="0.3">
      <c r="A644">
        <v>774</v>
      </c>
      <c r="B644" s="1">
        <v>40578</v>
      </c>
      <c r="C644">
        <v>1</v>
      </c>
      <c r="D644">
        <v>0</v>
      </c>
      <c r="E644">
        <v>2</v>
      </c>
      <c r="F644">
        <v>16</v>
      </c>
      <c r="G644" t="b">
        <v>0</v>
      </c>
      <c r="H644">
        <v>5</v>
      </c>
      <c r="I644">
        <v>2</v>
      </c>
      <c r="J644">
        <v>0.3</v>
      </c>
      <c r="K644">
        <v>0.28789999999999999</v>
      </c>
      <c r="L644">
        <v>0.42</v>
      </c>
      <c r="M644">
        <v>0.22389999999999999</v>
      </c>
      <c r="N644">
        <v>8</v>
      </c>
      <c r="O644">
        <v>91</v>
      </c>
      <c r="P644">
        <v>99</v>
      </c>
      <c r="Q644" t="s">
        <v>64</v>
      </c>
      <c r="R644" t="s">
        <v>120</v>
      </c>
      <c r="S644" t="s">
        <v>22</v>
      </c>
      <c r="T644" t="s">
        <v>29</v>
      </c>
      <c r="U644" t="s">
        <v>124</v>
      </c>
    </row>
    <row r="645" spans="1:21" x14ac:dyDescent="0.3">
      <c r="A645">
        <v>775</v>
      </c>
      <c r="B645" s="1">
        <v>40578</v>
      </c>
      <c r="C645">
        <v>1</v>
      </c>
      <c r="D645">
        <v>0</v>
      </c>
      <c r="E645">
        <v>2</v>
      </c>
      <c r="F645">
        <v>17</v>
      </c>
      <c r="G645" t="b">
        <v>0</v>
      </c>
      <c r="H645">
        <v>5</v>
      </c>
      <c r="I645">
        <v>2</v>
      </c>
      <c r="J645">
        <v>0.26</v>
      </c>
      <c r="K645">
        <v>0.2727</v>
      </c>
      <c r="L645">
        <v>0.56000000000000005</v>
      </c>
      <c r="M645">
        <v>0.1343</v>
      </c>
      <c r="N645">
        <v>10</v>
      </c>
      <c r="O645">
        <v>195</v>
      </c>
      <c r="P645">
        <v>205</v>
      </c>
      <c r="Q645" t="s">
        <v>64</v>
      </c>
      <c r="R645" t="s">
        <v>120</v>
      </c>
      <c r="S645" t="s">
        <v>22</v>
      </c>
      <c r="T645" t="s">
        <v>29</v>
      </c>
      <c r="U645" t="s">
        <v>124</v>
      </c>
    </row>
    <row r="646" spans="1:21" x14ac:dyDescent="0.3">
      <c r="A646">
        <v>776</v>
      </c>
      <c r="B646" s="1">
        <v>40578</v>
      </c>
      <c r="C646">
        <v>1</v>
      </c>
      <c r="D646">
        <v>0</v>
      </c>
      <c r="E646">
        <v>2</v>
      </c>
      <c r="F646">
        <v>18</v>
      </c>
      <c r="G646" t="b">
        <v>0</v>
      </c>
      <c r="H646">
        <v>5</v>
      </c>
      <c r="I646">
        <v>2</v>
      </c>
      <c r="J646">
        <v>0.24</v>
      </c>
      <c r="K646">
        <v>0.2576</v>
      </c>
      <c r="L646">
        <v>0.6</v>
      </c>
      <c r="M646">
        <v>0.1045</v>
      </c>
      <c r="N646">
        <v>3</v>
      </c>
      <c r="O646">
        <v>152</v>
      </c>
      <c r="P646">
        <v>155</v>
      </c>
      <c r="Q646" t="s">
        <v>64</v>
      </c>
      <c r="R646" t="s">
        <v>120</v>
      </c>
      <c r="S646" t="s">
        <v>22</v>
      </c>
      <c r="T646" t="s">
        <v>29</v>
      </c>
      <c r="U646" t="s">
        <v>124</v>
      </c>
    </row>
    <row r="647" spans="1:21" x14ac:dyDescent="0.3">
      <c r="A647">
        <v>777</v>
      </c>
      <c r="B647" s="1">
        <v>40578</v>
      </c>
      <c r="C647">
        <v>1</v>
      </c>
      <c r="D647">
        <v>0</v>
      </c>
      <c r="E647">
        <v>2</v>
      </c>
      <c r="F647">
        <v>19</v>
      </c>
      <c r="G647" t="b">
        <v>0</v>
      </c>
      <c r="H647">
        <v>5</v>
      </c>
      <c r="I647">
        <v>2</v>
      </c>
      <c r="J647">
        <v>0.24</v>
      </c>
      <c r="K647">
        <v>0.2424</v>
      </c>
      <c r="L647">
        <v>0.65</v>
      </c>
      <c r="M647">
        <v>0.1343</v>
      </c>
      <c r="N647">
        <v>1</v>
      </c>
      <c r="O647">
        <v>102</v>
      </c>
      <c r="P647">
        <v>103</v>
      </c>
      <c r="Q647" t="s">
        <v>64</v>
      </c>
      <c r="R647" t="s">
        <v>120</v>
      </c>
      <c r="S647" t="s">
        <v>22</v>
      </c>
      <c r="T647" t="s">
        <v>29</v>
      </c>
      <c r="U647" t="s">
        <v>124</v>
      </c>
    </row>
    <row r="648" spans="1:21" x14ac:dyDescent="0.3">
      <c r="A648">
        <v>778</v>
      </c>
      <c r="B648" s="1">
        <v>40578</v>
      </c>
      <c r="C648">
        <v>1</v>
      </c>
      <c r="D648">
        <v>0</v>
      </c>
      <c r="E648">
        <v>2</v>
      </c>
      <c r="F648">
        <v>20</v>
      </c>
      <c r="G648" t="b">
        <v>0</v>
      </c>
      <c r="H648">
        <v>5</v>
      </c>
      <c r="I648">
        <v>2</v>
      </c>
      <c r="J648">
        <v>0.24</v>
      </c>
      <c r="K648">
        <v>0.2424</v>
      </c>
      <c r="L648">
        <v>0.65</v>
      </c>
      <c r="M648">
        <v>0.16420000000000001</v>
      </c>
      <c r="N648">
        <v>2</v>
      </c>
      <c r="O648">
        <v>69</v>
      </c>
      <c r="P648">
        <v>71</v>
      </c>
      <c r="Q648" t="s">
        <v>64</v>
      </c>
      <c r="R648" t="s">
        <v>120</v>
      </c>
      <c r="S648" t="s">
        <v>22</v>
      </c>
      <c r="T648" t="s">
        <v>29</v>
      </c>
      <c r="U648" t="s">
        <v>124</v>
      </c>
    </row>
    <row r="649" spans="1:21" x14ac:dyDescent="0.3">
      <c r="A649">
        <v>779</v>
      </c>
      <c r="B649" s="1">
        <v>40578</v>
      </c>
      <c r="C649">
        <v>1</v>
      </c>
      <c r="D649">
        <v>0</v>
      </c>
      <c r="E649">
        <v>2</v>
      </c>
      <c r="F649">
        <v>21</v>
      </c>
      <c r="G649" t="b">
        <v>0</v>
      </c>
      <c r="H649">
        <v>5</v>
      </c>
      <c r="I649">
        <v>2</v>
      </c>
      <c r="J649">
        <v>0.24</v>
      </c>
      <c r="K649">
        <v>0.2424</v>
      </c>
      <c r="L649">
        <v>0.7</v>
      </c>
      <c r="M649">
        <v>0.16420000000000001</v>
      </c>
      <c r="N649">
        <v>2</v>
      </c>
      <c r="O649">
        <v>41</v>
      </c>
      <c r="P649">
        <v>43</v>
      </c>
      <c r="Q649" t="s">
        <v>64</v>
      </c>
      <c r="R649" t="s">
        <v>120</v>
      </c>
      <c r="S649" t="s">
        <v>22</v>
      </c>
      <c r="T649" t="s">
        <v>29</v>
      </c>
      <c r="U649" t="s">
        <v>124</v>
      </c>
    </row>
    <row r="650" spans="1:21" x14ac:dyDescent="0.3">
      <c r="A650">
        <v>780</v>
      </c>
      <c r="B650" s="1">
        <v>40578</v>
      </c>
      <c r="C650">
        <v>1</v>
      </c>
      <c r="D650">
        <v>0</v>
      </c>
      <c r="E650">
        <v>2</v>
      </c>
      <c r="F650">
        <v>22</v>
      </c>
      <c r="G650" t="b">
        <v>0</v>
      </c>
      <c r="H650">
        <v>5</v>
      </c>
      <c r="I650">
        <v>2</v>
      </c>
      <c r="J650">
        <v>0.24</v>
      </c>
      <c r="K650">
        <v>0.2424</v>
      </c>
      <c r="L650">
        <v>0.65</v>
      </c>
      <c r="M650">
        <v>0.16420000000000001</v>
      </c>
      <c r="N650">
        <v>1</v>
      </c>
      <c r="O650">
        <v>45</v>
      </c>
      <c r="P650">
        <v>46</v>
      </c>
      <c r="Q650" t="s">
        <v>64</v>
      </c>
      <c r="R650" t="s">
        <v>120</v>
      </c>
      <c r="S650" t="s">
        <v>22</v>
      </c>
      <c r="T650" t="s">
        <v>29</v>
      </c>
      <c r="U650" t="s">
        <v>124</v>
      </c>
    </row>
    <row r="651" spans="1:21" x14ac:dyDescent="0.3">
      <c r="A651">
        <v>781</v>
      </c>
      <c r="B651" s="1">
        <v>40578</v>
      </c>
      <c r="C651">
        <v>1</v>
      </c>
      <c r="D651">
        <v>0</v>
      </c>
      <c r="E651">
        <v>2</v>
      </c>
      <c r="F651">
        <v>23</v>
      </c>
      <c r="G651" t="b">
        <v>0</v>
      </c>
      <c r="H651">
        <v>5</v>
      </c>
      <c r="I651">
        <v>2</v>
      </c>
      <c r="J651">
        <v>0.24</v>
      </c>
      <c r="K651">
        <v>0.2424</v>
      </c>
      <c r="L651">
        <v>0.7</v>
      </c>
      <c r="M651">
        <v>0.1343</v>
      </c>
      <c r="N651">
        <v>1</v>
      </c>
      <c r="O651">
        <v>30</v>
      </c>
      <c r="P651">
        <v>31</v>
      </c>
      <c r="Q651" t="s">
        <v>64</v>
      </c>
      <c r="R651" t="s">
        <v>120</v>
      </c>
      <c r="S651" t="s">
        <v>22</v>
      </c>
      <c r="T651" t="s">
        <v>29</v>
      </c>
      <c r="U651" t="s">
        <v>124</v>
      </c>
    </row>
    <row r="652" spans="1:21" x14ac:dyDescent="0.3">
      <c r="A652">
        <v>924</v>
      </c>
      <c r="B652" s="1">
        <v>40585</v>
      </c>
      <c r="C652">
        <v>1</v>
      </c>
      <c r="D652">
        <v>0</v>
      </c>
      <c r="E652">
        <v>2</v>
      </c>
      <c r="F652">
        <v>0</v>
      </c>
      <c r="G652" t="b">
        <v>0</v>
      </c>
      <c r="H652">
        <v>5</v>
      </c>
      <c r="I652">
        <v>1</v>
      </c>
      <c r="J652">
        <v>0.1</v>
      </c>
      <c r="K652">
        <v>0.13639999999999999</v>
      </c>
      <c r="L652">
        <v>0.49</v>
      </c>
      <c r="M652">
        <v>0.1045</v>
      </c>
      <c r="N652">
        <v>2</v>
      </c>
      <c r="O652">
        <v>12</v>
      </c>
      <c r="P652">
        <v>14</v>
      </c>
      <c r="Q652" t="s">
        <v>62</v>
      </c>
      <c r="R652" t="s">
        <v>120</v>
      </c>
      <c r="S652" t="s">
        <v>22</v>
      </c>
      <c r="T652" t="s">
        <v>29</v>
      </c>
      <c r="U652" t="s">
        <v>123</v>
      </c>
    </row>
    <row r="653" spans="1:21" x14ac:dyDescent="0.3">
      <c r="A653">
        <v>925</v>
      </c>
      <c r="B653" s="1">
        <v>40585</v>
      </c>
      <c r="C653">
        <v>1</v>
      </c>
      <c r="D653">
        <v>0</v>
      </c>
      <c r="E653">
        <v>2</v>
      </c>
      <c r="F653">
        <v>1</v>
      </c>
      <c r="G653" t="b">
        <v>0</v>
      </c>
      <c r="H653">
        <v>5</v>
      </c>
      <c r="I653">
        <v>1</v>
      </c>
      <c r="J653">
        <v>0.1</v>
      </c>
      <c r="K653">
        <v>0.13639999999999999</v>
      </c>
      <c r="L653">
        <v>0.54</v>
      </c>
      <c r="M653">
        <v>8.9599999999999999E-2</v>
      </c>
      <c r="N653">
        <v>1</v>
      </c>
      <c r="O653">
        <v>6</v>
      </c>
      <c r="P653">
        <v>7</v>
      </c>
      <c r="Q653" t="s">
        <v>62</v>
      </c>
      <c r="R653" t="s">
        <v>120</v>
      </c>
      <c r="S653" t="s">
        <v>22</v>
      </c>
      <c r="T653" t="s">
        <v>29</v>
      </c>
      <c r="U653" t="s">
        <v>123</v>
      </c>
    </row>
    <row r="654" spans="1:21" x14ac:dyDescent="0.3">
      <c r="A654">
        <v>926</v>
      </c>
      <c r="B654" s="1">
        <v>40585</v>
      </c>
      <c r="C654">
        <v>1</v>
      </c>
      <c r="D654">
        <v>0</v>
      </c>
      <c r="E654">
        <v>2</v>
      </c>
      <c r="F654">
        <v>2</v>
      </c>
      <c r="G654" t="b">
        <v>0</v>
      </c>
      <c r="H654">
        <v>5</v>
      </c>
      <c r="I654">
        <v>1</v>
      </c>
      <c r="J654">
        <v>0.1</v>
      </c>
      <c r="K654">
        <v>0.13639999999999999</v>
      </c>
      <c r="L654">
        <v>0.54</v>
      </c>
      <c r="M654">
        <v>8.9599999999999999E-2</v>
      </c>
      <c r="N654">
        <v>0</v>
      </c>
      <c r="O654">
        <v>3</v>
      </c>
      <c r="P654">
        <v>3</v>
      </c>
      <c r="Q654" t="s">
        <v>62</v>
      </c>
      <c r="R654" t="s">
        <v>120</v>
      </c>
      <c r="S654" t="s">
        <v>22</v>
      </c>
      <c r="T654" t="s">
        <v>29</v>
      </c>
      <c r="U654" t="s">
        <v>123</v>
      </c>
    </row>
    <row r="655" spans="1:21" x14ac:dyDescent="0.3">
      <c r="A655">
        <v>927</v>
      </c>
      <c r="B655" s="1">
        <v>40585</v>
      </c>
      <c r="C655">
        <v>1</v>
      </c>
      <c r="D655">
        <v>0</v>
      </c>
      <c r="E655">
        <v>2</v>
      </c>
      <c r="F655">
        <v>5</v>
      </c>
      <c r="G655" t="b">
        <v>0</v>
      </c>
      <c r="H655">
        <v>5</v>
      </c>
      <c r="I655">
        <v>1</v>
      </c>
      <c r="J655">
        <v>0.08</v>
      </c>
      <c r="K655">
        <v>0.1212</v>
      </c>
      <c r="L655">
        <v>0.63</v>
      </c>
      <c r="M655">
        <v>8.9599999999999999E-2</v>
      </c>
      <c r="N655">
        <v>0</v>
      </c>
      <c r="O655">
        <v>4</v>
      </c>
      <c r="P655">
        <v>4</v>
      </c>
      <c r="Q655" t="s">
        <v>62</v>
      </c>
      <c r="R655" t="s">
        <v>120</v>
      </c>
      <c r="S655" t="s">
        <v>22</v>
      </c>
      <c r="T655" t="s">
        <v>29</v>
      </c>
      <c r="U655" t="s">
        <v>123</v>
      </c>
    </row>
    <row r="656" spans="1:21" x14ac:dyDescent="0.3">
      <c r="A656">
        <v>928</v>
      </c>
      <c r="B656" s="1">
        <v>40585</v>
      </c>
      <c r="C656">
        <v>1</v>
      </c>
      <c r="D656">
        <v>0</v>
      </c>
      <c r="E656">
        <v>2</v>
      </c>
      <c r="F656">
        <v>6</v>
      </c>
      <c r="G656" t="b">
        <v>0</v>
      </c>
      <c r="H656">
        <v>5</v>
      </c>
      <c r="I656">
        <v>1</v>
      </c>
      <c r="J656">
        <v>0.1</v>
      </c>
      <c r="K656">
        <v>0.18179999999999999</v>
      </c>
      <c r="L656">
        <v>0.68</v>
      </c>
      <c r="M656">
        <v>0</v>
      </c>
      <c r="N656">
        <v>1</v>
      </c>
      <c r="O656">
        <v>23</v>
      </c>
      <c r="P656">
        <v>24</v>
      </c>
      <c r="Q656" t="s">
        <v>62</v>
      </c>
      <c r="R656" t="s">
        <v>120</v>
      </c>
      <c r="S656" t="s">
        <v>22</v>
      </c>
      <c r="T656" t="s">
        <v>29</v>
      </c>
      <c r="U656" t="s">
        <v>123</v>
      </c>
    </row>
    <row r="657" spans="1:21" x14ac:dyDescent="0.3">
      <c r="A657">
        <v>929</v>
      </c>
      <c r="B657" s="1">
        <v>40585</v>
      </c>
      <c r="C657">
        <v>1</v>
      </c>
      <c r="D657">
        <v>0</v>
      </c>
      <c r="E657">
        <v>2</v>
      </c>
      <c r="F657">
        <v>7</v>
      </c>
      <c r="G657" t="b">
        <v>0</v>
      </c>
      <c r="H657">
        <v>5</v>
      </c>
      <c r="I657">
        <v>1</v>
      </c>
      <c r="J657">
        <v>0.08</v>
      </c>
      <c r="K657">
        <v>0.16669999999999999</v>
      </c>
      <c r="L657">
        <v>0.73</v>
      </c>
      <c r="M657">
        <v>0</v>
      </c>
      <c r="N657">
        <v>1</v>
      </c>
      <c r="O657">
        <v>73</v>
      </c>
      <c r="P657">
        <v>74</v>
      </c>
      <c r="Q657" t="s">
        <v>62</v>
      </c>
      <c r="R657" t="s">
        <v>120</v>
      </c>
      <c r="S657" t="s">
        <v>22</v>
      </c>
      <c r="T657" t="s">
        <v>29</v>
      </c>
      <c r="U657" t="s">
        <v>123</v>
      </c>
    </row>
    <row r="658" spans="1:21" x14ac:dyDescent="0.3">
      <c r="A658">
        <v>930</v>
      </c>
      <c r="B658" s="1">
        <v>40585</v>
      </c>
      <c r="C658">
        <v>1</v>
      </c>
      <c r="D658">
        <v>0</v>
      </c>
      <c r="E658">
        <v>2</v>
      </c>
      <c r="F658">
        <v>8</v>
      </c>
      <c r="G658" t="b">
        <v>0</v>
      </c>
      <c r="H658">
        <v>5</v>
      </c>
      <c r="I658">
        <v>1</v>
      </c>
      <c r="J658">
        <v>0.1</v>
      </c>
      <c r="K658">
        <v>0.1212</v>
      </c>
      <c r="L658">
        <v>0.74</v>
      </c>
      <c r="M658">
        <v>0.16420000000000001</v>
      </c>
      <c r="N658">
        <v>4</v>
      </c>
      <c r="O658">
        <v>212</v>
      </c>
      <c r="P658">
        <v>216</v>
      </c>
      <c r="Q658" t="s">
        <v>62</v>
      </c>
      <c r="R658" t="s">
        <v>120</v>
      </c>
      <c r="S658" t="s">
        <v>22</v>
      </c>
      <c r="T658" t="s">
        <v>29</v>
      </c>
      <c r="U658" t="s">
        <v>123</v>
      </c>
    </row>
    <row r="659" spans="1:21" x14ac:dyDescent="0.3">
      <c r="A659">
        <v>931</v>
      </c>
      <c r="B659" s="1">
        <v>40585</v>
      </c>
      <c r="C659">
        <v>1</v>
      </c>
      <c r="D659">
        <v>0</v>
      </c>
      <c r="E659">
        <v>2</v>
      </c>
      <c r="F659">
        <v>9</v>
      </c>
      <c r="G659" t="b">
        <v>0</v>
      </c>
      <c r="H659">
        <v>5</v>
      </c>
      <c r="I659">
        <v>1</v>
      </c>
      <c r="J659">
        <v>0.12</v>
      </c>
      <c r="K659">
        <v>0.1212</v>
      </c>
      <c r="L659">
        <v>0.74</v>
      </c>
      <c r="M659">
        <v>0.22389999999999999</v>
      </c>
      <c r="N659">
        <v>8</v>
      </c>
      <c r="O659">
        <v>132</v>
      </c>
      <c r="P659">
        <v>140</v>
      </c>
      <c r="Q659" t="s">
        <v>62</v>
      </c>
      <c r="R659" t="s">
        <v>120</v>
      </c>
      <c r="S659" t="s">
        <v>22</v>
      </c>
      <c r="T659" t="s">
        <v>29</v>
      </c>
      <c r="U659" t="s">
        <v>123</v>
      </c>
    </row>
    <row r="660" spans="1:21" x14ac:dyDescent="0.3">
      <c r="A660">
        <v>932</v>
      </c>
      <c r="B660" s="1">
        <v>40585</v>
      </c>
      <c r="C660">
        <v>1</v>
      </c>
      <c r="D660">
        <v>0</v>
      </c>
      <c r="E660">
        <v>2</v>
      </c>
      <c r="F660">
        <v>10</v>
      </c>
      <c r="G660" t="b">
        <v>0</v>
      </c>
      <c r="H660">
        <v>5</v>
      </c>
      <c r="I660">
        <v>1</v>
      </c>
      <c r="J660">
        <v>0.14000000000000001</v>
      </c>
      <c r="K660">
        <v>0.13639999999999999</v>
      </c>
      <c r="L660">
        <v>0.69</v>
      </c>
      <c r="M660">
        <v>0.19400000000000001</v>
      </c>
      <c r="N660">
        <v>5</v>
      </c>
      <c r="O660">
        <v>39</v>
      </c>
      <c r="P660">
        <v>44</v>
      </c>
      <c r="Q660" t="s">
        <v>62</v>
      </c>
      <c r="R660" t="s">
        <v>120</v>
      </c>
      <c r="S660" t="s">
        <v>22</v>
      </c>
      <c r="T660" t="s">
        <v>29</v>
      </c>
      <c r="U660" t="s">
        <v>123</v>
      </c>
    </row>
    <row r="661" spans="1:21" x14ac:dyDescent="0.3">
      <c r="A661">
        <v>933</v>
      </c>
      <c r="B661" s="1">
        <v>40585</v>
      </c>
      <c r="C661">
        <v>1</v>
      </c>
      <c r="D661">
        <v>0</v>
      </c>
      <c r="E661">
        <v>2</v>
      </c>
      <c r="F661">
        <v>11</v>
      </c>
      <c r="G661" t="b">
        <v>0</v>
      </c>
      <c r="H661">
        <v>5</v>
      </c>
      <c r="I661">
        <v>1</v>
      </c>
      <c r="J661">
        <v>0.22</v>
      </c>
      <c r="K661">
        <v>0.2273</v>
      </c>
      <c r="L661">
        <v>0.47</v>
      </c>
      <c r="M661">
        <v>0.1343</v>
      </c>
      <c r="N661">
        <v>12</v>
      </c>
      <c r="O661">
        <v>52</v>
      </c>
      <c r="P661">
        <v>64</v>
      </c>
      <c r="Q661" t="s">
        <v>62</v>
      </c>
      <c r="R661" t="s">
        <v>120</v>
      </c>
      <c r="S661" t="s">
        <v>22</v>
      </c>
      <c r="T661" t="s">
        <v>29</v>
      </c>
      <c r="U661" t="s">
        <v>123</v>
      </c>
    </row>
    <row r="662" spans="1:21" x14ac:dyDescent="0.3">
      <c r="A662">
        <v>934</v>
      </c>
      <c r="B662" s="1">
        <v>40585</v>
      </c>
      <c r="C662">
        <v>1</v>
      </c>
      <c r="D662">
        <v>0</v>
      </c>
      <c r="E662">
        <v>2</v>
      </c>
      <c r="F662">
        <v>12</v>
      </c>
      <c r="G662" t="b">
        <v>0</v>
      </c>
      <c r="H662">
        <v>5</v>
      </c>
      <c r="I662">
        <v>1</v>
      </c>
      <c r="J662">
        <v>0.22</v>
      </c>
      <c r="K662">
        <v>0.2273</v>
      </c>
      <c r="L662">
        <v>0.47</v>
      </c>
      <c r="M662">
        <v>0.1343</v>
      </c>
      <c r="N662">
        <v>7</v>
      </c>
      <c r="O662">
        <v>64</v>
      </c>
      <c r="P662">
        <v>71</v>
      </c>
      <c r="Q662" t="s">
        <v>62</v>
      </c>
      <c r="R662" t="s">
        <v>120</v>
      </c>
      <c r="S662" t="s">
        <v>22</v>
      </c>
      <c r="T662" t="s">
        <v>29</v>
      </c>
      <c r="U662" t="s">
        <v>123</v>
      </c>
    </row>
    <row r="663" spans="1:21" x14ac:dyDescent="0.3">
      <c r="A663">
        <v>935</v>
      </c>
      <c r="B663" s="1">
        <v>40585</v>
      </c>
      <c r="C663">
        <v>1</v>
      </c>
      <c r="D663">
        <v>0</v>
      </c>
      <c r="E663">
        <v>2</v>
      </c>
      <c r="F663">
        <v>13</v>
      </c>
      <c r="G663" t="b">
        <v>0</v>
      </c>
      <c r="H663">
        <v>5</v>
      </c>
      <c r="I663">
        <v>1</v>
      </c>
      <c r="J663">
        <v>0.24</v>
      </c>
      <c r="K663">
        <v>0.2273</v>
      </c>
      <c r="L663">
        <v>0.35</v>
      </c>
      <c r="M663">
        <v>0.19400000000000001</v>
      </c>
      <c r="N663">
        <v>21</v>
      </c>
      <c r="O663">
        <v>89</v>
      </c>
      <c r="P663">
        <v>110</v>
      </c>
      <c r="Q663" t="s">
        <v>62</v>
      </c>
      <c r="R663" t="s">
        <v>120</v>
      </c>
      <c r="S663" t="s">
        <v>22</v>
      </c>
      <c r="T663" t="s">
        <v>29</v>
      </c>
      <c r="U663" t="s">
        <v>123</v>
      </c>
    </row>
    <row r="664" spans="1:21" x14ac:dyDescent="0.3">
      <c r="A664">
        <v>936</v>
      </c>
      <c r="B664" s="1">
        <v>40585</v>
      </c>
      <c r="C664">
        <v>1</v>
      </c>
      <c r="D664">
        <v>0</v>
      </c>
      <c r="E664">
        <v>2</v>
      </c>
      <c r="F664">
        <v>14</v>
      </c>
      <c r="G664" t="b">
        <v>0</v>
      </c>
      <c r="H664">
        <v>5</v>
      </c>
      <c r="I664">
        <v>1</v>
      </c>
      <c r="J664">
        <v>0.3</v>
      </c>
      <c r="K664">
        <v>0.28789999999999999</v>
      </c>
      <c r="L664">
        <v>0.26</v>
      </c>
      <c r="M664">
        <v>0.25369999999999998</v>
      </c>
      <c r="N664">
        <v>17</v>
      </c>
      <c r="O664">
        <v>67</v>
      </c>
      <c r="P664">
        <v>84</v>
      </c>
      <c r="Q664" t="s">
        <v>62</v>
      </c>
      <c r="R664" t="s">
        <v>120</v>
      </c>
      <c r="S664" t="s">
        <v>22</v>
      </c>
      <c r="T664" t="s">
        <v>29</v>
      </c>
      <c r="U664" t="s">
        <v>123</v>
      </c>
    </row>
    <row r="665" spans="1:21" x14ac:dyDescent="0.3">
      <c r="A665">
        <v>937</v>
      </c>
      <c r="B665" s="1">
        <v>40585</v>
      </c>
      <c r="C665">
        <v>1</v>
      </c>
      <c r="D665">
        <v>0</v>
      </c>
      <c r="E665">
        <v>2</v>
      </c>
      <c r="F665">
        <v>15</v>
      </c>
      <c r="G665" t="b">
        <v>0</v>
      </c>
      <c r="H665">
        <v>5</v>
      </c>
      <c r="I665">
        <v>1</v>
      </c>
      <c r="J665">
        <v>0.32</v>
      </c>
      <c r="K665">
        <v>0.31819999999999998</v>
      </c>
      <c r="L665">
        <v>0.21</v>
      </c>
      <c r="M665">
        <v>0.16420000000000001</v>
      </c>
      <c r="N665">
        <v>12</v>
      </c>
      <c r="O665">
        <v>62</v>
      </c>
      <c r="P665">
        <v>74</v>
      </c>
      <c r="Q665" t="s">
        <v>62</v>
      </c>
      <c r="R665" t="s">
        <v>120</v>
      </c>
      <c r="S665" t="s">
        <v>22</v>
      </c>
      <c r="T665" t="s">
        <v>29</v>
      </c>
      <c r="U665" t="s">
        <v>123</v>
      </c>
    </row>
    <row r="666" spans="1:21" x14ac:dyDescent="0.3">
      <c r="A666">
        <v>938</v>
      </c>
      <c r="B666" s="1">
        <v>40585</v>
      </c>
      <c r="C666">
        <v>1</v>
      </c>
      <c r="D666">
        <v>0</v>
      </c>
      <c r="E666">
        <v>2</v>
      </c>
      <c r="F666">
        <v>16</v>
      </c>
      <c r="G666" t="b">
        <v>0</v>
      </c>
      <c r="H666">
        <v>5</v>
      </c>
      <c r="I666">
        <v>1</v>
      </c>
      <c r="J666">
        <v>0.3</v>
      </c>
      <c r="K666">
        <v>0.28789999999999999</v>
      </c>
      <c r="L666">
        <v>0.28000000000000003</v>
      </c>
      <c r="M666">
        <v>0.19400000000000001</v>
      </c>
      <c r="N666">
        <v>14</v>
      </c>
      <c r="O666">
        <v>111</v>
      </c>
      <c r="P666">
        <v>125</v>
      </c>
      <c r="Q666" t="s">
        <v>62</v>
      </c>
      <c r="R666" t="s">
        <v>120</v>
      </c>
      <c r="S666" t="s">
        <v>22</v>
      </c>
      <c r="T666" t="s">
        <v>29</v>
      </c>
      <c r="U666" t="s">
        <v>123</v>
      </c>
    </row>
    <row r="667" spans="1:21" x14ac:dyDescent="0.3">
      <c r="A667">
        <v>939</v>
      </c>
      <c r="B667" s="1">
        <v>40585</v>
      </c>
      <c r="C667">
        <v>1</v>
      </c>
      <c r="D667">
        <v>0</v>
      </c>
      <c r="E667">
        <v>2</v>
      </c>
      <c r="F667">
        <v>17</v>
      </c>
      <c r="G667" t="b">
        <v>0</v>
      </c>
      <c r="H667">
        <v>5</v>
      </c>
      <c r="I667">
        <v>1</v>
      </c>
      <c r="J667">
        <v>0.3</v>
      </c>
      <c r="K667">
        <v>0.33329999999999999</v>
      </c>
      <c r="L667">
        <v>0.24</v>
      </c>
      <c r="M667">
        <v>0</v>
      </c>
      <c r="N667">
        <v>18</v>
      </c>
      <c r="O667">
        <v>193</v>
      </c>
      <c r="P667">
        <v>211</v>
      </c>
      <c r="Q667" t="s">
        <v>62</v>
      </c>
      <c r="R667" t="s">
        <v>120</v>
      </c>
      <c r="S667" t="s">
        <v>22</v>
      </c>
      <c r="T667" t="s">
        <v>29</v>
      </c>
      <c r="U667" t="s">
        <v>123</v>
      </c>
    </row>
    <row r="668" spans="1:21" x14ac:dyDescent="0.3">
      <c r="A668">
        <v>940</v>
      </c>
      <c r="B668" s="1">
        <v>40585</v>
      </c>
      <c r="C668">
        <v>1</v>
      </c>
      <c r="D668">
        <v>0</v>
      </c>
      <c r="E668">
        <v>2</v>
      </c>
      <c r="F668">
        <v>18</v>
      </c>
      <c r="G668" t="b">
        <v>0</v>
      </c>
      <c r="H668">
        <v>5</v>
      </c>
      <c r="I668">
        <v>1</v>
      </c>
      <c r="J668">
        <v>0.28000000000000003</v>
      </c>
      <c r="K668">
        <v>0.31819999999999998</v>
      </c>
      <c r="L668">
        <v>0.28000000000000003</v>
      </c>
      <c r="M668">
        <v>0</v>
      </c>
      <c r="N668">
        <v>9</v>
      </c>
      <c r="O668">
        <v>165</v>
      </c>
      <c r="P668">
        <v>174</v>
      </c>
      <c r="Q668" t="s">
        <v>62</v>
      </c>
      <c r="R668" t="s">
        <v>120</v>
      </c>
      <c r="S668" t="s">
        <v>22</v>
      </c>
      <c r="T668" t="s">
        <v>29</v>
      </c>
      <c r="U668" t="s">
        <v>123</v>
      </c>
    </row>
    <row r="669" spans="1:21" x14ac:dyDescent="0.3">
      <c r="A669">
        <v>941</v>
      </c>
      <c r="B669" s="1">
        <v>40585</v>
      </c>
      <c r="C669">
        <v>1</v>
      </c>
      <c r="D669">
        <v>0</v>
      </c>
      <c r="E669">
        <v>2</v>
      </c>
      <c r="F669">
        <v>19</v>
      </c>
      <c r="G669" t="b">
        <v>0</v>
      </c>
      <c r="H669">
        <v>5</v>
      </c>
      <c r="I669">
        <v>1</v>
      </c>
      <c r="J669">
        <v>0.26</v>
      </c>
      <c r="K669">
        <v>0.30299999999999999</v>
      </c>
      <c r="L669">
        <v>0.33</v>
      </c>
      <c r="M669">
        <v>0</v>
      </c>
      <c r="N669">
        <v>7</v>
      </c>
      <c r="O669">
        <v>94</v>
      </c>
      <c r="P669">
        <v>101</v>
      </c>
      <c r="Q669" t="s">
        <v>62</v>
      </c>
      <c r="R669" t="s">
        <v>120</v>
      </c>
      <c r="S669" t="s">
        <v>22</v>
      </c>
      <c r="T669" t="s">
        <v>29</v>
      </c>
      <c r="U669" t="s">
        <v>123</v>
      </c>
    </row>
    <row r="670" spans="1:21" x14ac:dyDescent="0.3">
      <c r="A670">
        <v>942</v>
      </c>
      <c r="B670" s="1">
        <v>40585</v>
      </c>
      <c r="C670">
        <v>1</v>
      </c>
      <c r="D670">
        <v>0</v>
      </c>
      <c r="E670">
        <v>2</v>
      </c>
      <c r="F670">
        <v>20</v>
      </c>
      <c r="G670" t="b">
        <v>0</v>
      </c>
      <c r="H670">
        <v>5</v>
      </c>
      <c r="I670">
        <v>1</v>
      </c>
      <c r="J670">
        <v>0.22</v>
      </c>
      <c r="K670">
        <v>0.2273</v>
      </c>
      <c r="L670">
        <v>0.55000000000000004</v>
      </c>
      <c r="M670">
        <v>0.1343</v>
      </c>
      <c r="N670">
        <v>2</v>
      </c>
      <c r="O670">
        <v>61</v>
      </c>
      <c r="P670">
        <v>63</v>
      </c>
      <c r="Q670" t="s">
        <v>62</v>
      </c>
      <c r="R670" t="s">
        <v>120</v>
      </c>
      <c r="S670" t="s">
        <v>22</v>
      </c>
      <c r="T670" t="s">
        <v>29</v>
      </c>
      <c r="U670" t="s">
        <v>123</v>
      </c>
    </row>
    <row r="671" spans="1:21" x14ac:dyDescent="0.3">
      <c r="A671">
        <v>943</v>
      </c>
      <c r="B671" s="1">
        <v>40585</v>
      </c>
      <c r="C671">
        <v>1</v>
      </c>
      <c r="D671">
        <v>0</v>
      </c>
      <c r="E671">
        <v>2</v>
      </c>
      <c r="F671">
        <v>21</v>
      </c>
      <c r="G671" t="b">
        <v>0</v>
      </c>
      <c r="H671">
        <v>5</v>
      </c>
      <c r="I671">
        <v>1</v>
      </c>
      <c r="J671">
        <v>0.2</v>
      </c>
      <c r="K671">
        <v>0.21210000000000001</v>
      </c>
      <c r="L671">
        <v>0.59</v>
      </c>
      <c r="M671">
        <v>0.1343</v>
      </c>
      <c r="N671">
        <v>1</v>
      </c>
      <c r="O671">
        <v>46</v>
      </c>
      <c r="P671">
        <v>47</v>
      </c>
      <c r="Q671" t="s">
        <v>62</v>
      </c>
      <c r="R671" t="s">
        <v>120</v>
      </c>
      <c r="S671" t="s">
        <v>22</v>
      </c>
      <c r="T671" t="s">
        <v>29</v>
      </c>
      <c r="U671" t="s">
        <v>123</v>
      </c>
    </row>
    <row r="672" spans="1:21" x14ac:dyDescent="0.3">
      <c r="A672">
        <v>944</v>
      </c>
      <c r="B672" s="1">
        <v>40585</v>
      </c>
      <c r="C672">
        <v>1</v>
      </c>
      <c r="D672">
        <v>0</v>
      </c>
      <c r="E672">
        <v>2</v>
      </c>
      <c r="F672">
        <v>22</v>
      </c>
      <c r="G672" t="b">
        <v>0</v>
      </c>
      <c r="H672">
        <v>5</v>
      </c>
      <c r="I672">
        <v>1</v>
      </c>
      <c r="J672">
        <v>0.2</v>
      </c>
      <c r="K672">
        <v>0.2273</v>
      </c>
      <c r="L672">
        <v>0.64</v>
      </c>
      <c r="M672">
        <v>8.9599999999999999E-2</v>
      </c>
      <c r="N672">
        <v>2</v>
      </c>
      <c r="O672">
        <v>41</v>
      </c>
      <c r="P672">
        <v>43</v>
      </c>
      <c r="Q672" t="s">
        <v>62</v>
      </c>
      <c r="R672" t="s">
        <v>120</v>
      </c>
      <c r="S672" t="s">
        <v>22</v>
      </c>
      <c r="T672" t="s">
        <v>29</v>
      </c>
      <c r="U672" t="s">
        <v>123</v>
      </c>
    </row>
    <row r="673" spans="1:21" x14ac:dyDescent="0.3">
      <c r="A673">
        <v>945</v>
      </c>
      <c r="B673" s="1">
        <v>40585</v>
      </c>
      <c r="C673">
        <v>1</v>
      </c>
      <c r="D673">
        <v>0</v>
      </c>
      <c r="E673">
        <v>2</v>
      </c>
      <c r="F673">
        <v>23</v>
      </c>
      <c r="G673" t="b">
        <v>0</v>
      </c>
      <c r="H673">
        <v>5</v>
      </c>
      <c r="I673">
        <v>1</v>
      </c>
      <c r="J673">
        <v>0.18</v>
      </c>
      <c r="K673">
        <v>0.2424</v>
      </c>
      <c r="L673">
        <v>0.69</v>
      </c>
      <c r="M673">
        <v>0</v>
      </c>
      <c r="N673">
        <v>5</v>
      </c>
      <c r="O673">
        <v>48</v>
      </c>
      <c r="P673">
        <v>53</v>
      </c>
      <c r="Q673" t="s">
        <v>62</v>
      </c>
      <c r="R673" t="s">
        <v>120</v>
      </c>
      <c r="S673" t="s">
        <v>22</v>
      </c>
      <c r="T673" t="s">
        <v>29</v>
      </c>
      <c r="U673" t="s">
        <v>123</v>
      </c>
    </row>
    <row r="674" spans="1:21" x14ac:dyDescent="0.3">
      <c r="A674">
        <v>1</v>
      </c>
      <c r="B674" s="1">
        <v>40544</v>
      </c>
      <c r="C674">
        <v>1</v>
      </c>
      <c r="D674">
        <v>0</v>
      </c>
      <c r="E674">
        <v>1</v>
      </c>
      <c r="F674">
        <v>0</v>
      </c>
      <c r="G674" t="b">
        <v>0</v>
      </c>
      <c r="H674">
        <v>6</v>
      </c>
      <c r="I674">
        <v>1</v>
      </c>
      <c r="J674">
        <v>0.24</v>
      </c>
      <c r="K674">
        <v>0.28789999999999999</v>
      </c>
      <c r="L674">
        <v>0.81</v>
      </c>
      <c r="M674">
        <v>0</v>
      </c>
      <c r="N674">
        <v>3</v>
      </c>
      <c r="O674">
        <v>13</v>
      </c>
      <c r="P674">
        <v>16</v>
      </c>
      <c r="Q674" t="s">
        <v>62</v>
      </c>
      <c r="R674" t="s">
        <v>120</v>
      </c>
      <c r="S674" t="s">
        <v>24</v>
      </c>
      <c r="T674" t="s">
        <v>30</v>
      </c>
      <c r="U674" t="s">
        <v>123</v>
      </c>
    </row>
    <row r="675" spans="1:21" x14ac:dyDescent="0.3">
      <c r="A675">
        <v>2</v>
      </c>
      <c r="B675" s="1">
        <v>40544</v>
      </c>
      <c r="C675">
        <v>1</v>
      </c>
      <c r="D675">
        <v>0</v>
      </c>
      <c r="E675">
        <v>1</v>
      </c>
      <c r="F675">
        <v>1</v>
      </c>
      <c r="G675" t="b">
        <v>0</v>
      </c>
      <c r="H675">
        <v>6</v>
      </c>
      <c r="I675">
        <v>1</v>
      </c>
      <c r="J675">
        <v>0.22</v>
      </c>
      <c r="K675">
        <v>0.2727</v>
      </c>
      <c r="L675">
        <v>0.8</v>
      </c>
      <c r="M675">
        <v>0</v>
      </c>
      <c r="N675">
        <v>8</v>
      </c>
      <c r="O675">
        <v>32</v>
      </c>
      <c r="P675">
        <v>40</v>
      </c>
      <c r="Q675" t="s">
        <v>62</v>
      </c>
      <c r="R675" t="s">
        <v>120</v>
      </c>
      <c r="S675" t="s">
        <v>24</v>
      </c>
      <c r="T675" t="s">
        <v>30</v>
      </c>
      <c r="U675" t="s">
        <v>123</v>
      </c>
    </row>
    <row r="676" spans="1:21" x14ac:dyDescent="0.3">
      <c r="A676">
        <v>3</v>
      </c>
      <c r="B676" s="1">
        <v>40544</v>
      </c>
      <c r="C676">
        <v>1</v>
      </c>
      <c r="D676">
        <v>0</v>
      </c>
      <c r="E676">
        <v>1</v>
      </c>
      <c r="F676">
        <v>2</v>
      </c>
      <c r="G676" t="b">
        <v>0</v>
      </c>
      <c r="H676">
        <v>6</v>
      </c>
      <c r="I676">
        <v>1</v>
      </c>
      <c r="J676">
        <v>0.22</v>
      </c>
      <c r="K676">
        <v>0.2727</v>
      </c>
      <c r="L676">
        <v>0.8</v>
      </c>
      <c r="M676">
        <v>0</v>
      </c>
      <c r="N676">
        <v>5</v>
      </c>
      <c r="O676">
        <v>27</v>
      </c>
      <c r="P676">
        <v>32</v>
      </c>
      <c r="Q676" t="s">
        <v>62</v>
      </c>
      <c r="R676" t="s">
        <v>120</v>
      </c>
      <c r="S676" t="s">
        <v>24</v>
      </c>
      <c r="T676" t="s">
        <v>30</v>
      </c>
      <c r="U676" t="s">
        <v>123</v>
      </c>
    </row>
    <row r="677" spans="1:21" x14ac:dyDescent="0.3">
      <c r="A677">
        <v>4</v>
      </c>
      <c r="B677" s="1">
        <v>40544</v>
      </c>
      <c r="C677">
        <v>1</v>
      </c>
      <c r="D677">
        <v>0</v>
      </c>
      <c r="E677">
        <v>1</v>
      </c>
      <c r="F677">
        <v>3</v>
      </c>
      <c r="G677" t="b">
        <v>0</v>
      </c>
      <c r="H677">
        <v>6</v>
      </c>
      <c r="I677">
        <v>1</v>
      </c>
      <c r="J677">
        <v>0.24</v>
      </c>
      <c r="K677">
        <v>0.28789999999999999</v>
      </c>
      <c r="L677">
        <v>0.75</v>
      </c>
      <c r="M677">
        <v>0</v>
      </c>
      <c r="N677">
        <v>3</v>
      </c>
      <c r="O677">
        <v>10</v>
      </c>
      <c r="P677">
        <v>13</v>
      </c>
      <c r="Q677" t="s">
        <v>62</v>
      </c>
      <c r="R677" t="s">
        <v>120</v>
      </c>
      <c r="S677" t="s">
        <v>24</v>
      </c>
      <c r="T677" t="s">
        <v>30</v>
      </c>
      <c r="U677" t="s">
        <v>123</v>
      </c>
    </row>
    <row r="678" spans="1:21" x14ac:dyDescent="0.3">
      <c r="A678">
        <v>5</v>
      </c>
      <c r="B678" s="1">
        <v>40544</v>
      </c>
      <c r="C678">
        <v>1</v>
      </c>
      <c r="D678">
        <v>0</v>
      </c>
      <c r="E678">
        <v>1</v>
      </c>
      <c r="F678">
        <v>4</v>
      </c>
      <c r="G678" t="b">
        <v>0</v>
      </c>
      <c r="H678">
        <v>6</v>
      </c>
      <c r="I678">
        <v>1</v>
      </c>
      <c r="J678">
        <v>0.24</v>
      </c>
      <c r="K678">
        <v>0.28789999999999999</v>
      </c>
      <c r="L678">
        <v>0.75</v>
      </c>
      <c r="M678">
        <v>0</v>
      </c>
      <c r="N678">
        <v>0</v>
      </c>
      <c r="O678">
        <v>1</v>
      </c>
      <c r="P678">
        <v>1</v>
      </c>
      <c r="Q678" t="s">
        <v>62</v>
      </c>
      <c r="R678" t="s">
        <v>120</v>
      </c>
      <c r="S678" t="s">
        <v>24</v>
      </c>
      <c r="T678" t="s">
        <v>30</v>
      </c>
      <c r="U678" t="s">
        <v>123</v>
      </c>
    </row>
    <row r="679" spans="1:21" x14ac:dyDescent="0.3">
      <c r="A679">
        <v>6</v>
      </c>
      <c r="B679" s="1">
        <v>40544</v>
      </c>
      <c r="C679">
        <v>1</v>
      </c>
      <c r="D679">
        <v>0</v>
      </c>
      <c r="E679">
        <v>1</v>
      </c>
      <c r="F679">
        <v>5</v>
      </c>
      <c r="G679" t="b">
        <v>0</v>
      </c>
      <c r="H679">
        <v>6</v>
      </c>
      <c r="I679">
        <v>2</v>
      </c>
      <c r="J679">
        <v>0.24</v>
      </c>
      <c r="K679">
        <v>0.2576</v>
      </c>
      <c r="L679">
        <v>0.75</v>
      </c>
      <c r="M679">
        <v>8.9599999999999999E-2</v>
      </c>
      <c r="N679">
        <v>0</v>
      </c>
      <c r="O679">
        <v>1</v>
      </c>
      <c r="P679">
        <v>1</v>
      </c>
      <c r="Q679" t="s">
        <v>64</v>
      </c>
      <c r="R679" t="s">
        <v>120</v>
      </c>
      <c r="S679" t="s">
        <v>24</v>
      </c>
      <c r="T679" t="s">
        <v>30</v>
      </c>
      <c r="U679" t="s">
        <v>124</v>
      </c>
    </row>
    <row r="680" spans="1:21" x14ac:dyDescent="0.3">
      <c r="A680">
        <v>7</v>
      </c>
      <c r="B680" s="1">
        <v>40544</v>
      </c>
      <c r="C680">
        <v>1</v>
      </c>
      <c r="D680">
        <v>0</v>
      </c>
      <c r="E680">
        <v>1</v>
      </c>
      <c r="F680">
        <v>6</v>
      </c>
      <c r="G680" t="b">
        <v>0</v>
      </c>
      <c r="H680">
        <v>6</v>
      </c>
      <c r="I680">
        <v>1</v>
      </c>
      <c r="J680">
        <v>0.22</v>
      </c>
      <c r="K680">
        <v>0.2727</v>
      </c>
      <c r="L680">
        <v>0.8</v>
      </c>
      <c r="M680">
        <v>0</v>
      </c>
      <c r="N680">
        <v>2</v>
      </c>
      <c r="O680">
        <v>0</v>
      </c>
      <c r="P680">
        <v>2</v>
      </c>
      <c r="Q680" t="s">
        <v>62</v>
      </c>
      <c r="R680" t="s">
        <v>120</v>
      </c>
      <c r="S680" t="s">
        <v>24</v>
      </c>
      <c r="T680" t="s">
        <v>30</v>
      </c>
      <c r="U680" t="s">
        <v>123</v>
      </c>
    </row>
    <row r="681" spans="1:21" x14ac:dyDescent="0.3">
      <c r="A681">
        <v>8</v>
      </c>
      <c r="B681" s="1">
        <v>40544</v>
      </c>
      <c r="C681">
        <v>1</v>
      </c>
      <c r="D681">
        <v>0</v>
      </c>
      <c r="E681">
        <v>1</v>
      </c>
      <c r="F681">
        <v>7</v>
      </c>
      <c r="G681" t="b">
        <v>0</v>
      </c>
      <c r="H681">
        <v>6</v>
      </c>
      <c r="I681">
        <v>1</v>
      </c>
      <c r="J681">
        <v>0.2</v>
      </c>
      <c r="K681">
        <v>0.2576</v>
      </c>
      <c r="L681">
        <v>0.86</v>
      </c>
      <c r="M681">
        <v>0</v>
      </c>
      <c r="N681">
        <v>1</v>
      </c>
      <c r="O681">
        <v>2</v>
      </c>
      <c r="P681">
        <v>3</v>
      </c>
      <c r="Q681" t="s">
        <v>62</v>
      </c>
      <c r="R681" t="s">
        <v>120</v>
      </c>
      <c r="S681" t="s">
        <v>24</v>
      </c>
      <c r="T681" t="s">
        <v>30</v>
      </c>
      <c r="U681" t="s">
        <v>123</v>
      </c>
    </row>
    <row r="682" spans="1:21" x14ac:dyDescent="0.3">
      <c r="A682">
        <v>9</v>
      </c>
      <c r="B682" s="1">
        <v>40544</v>
      </c>
      <c r="C682">
        <v>1</v>
      </c>
      <c r="D682">
        <v>0</v>
      </c>
      <c r="E682">
        <v>1</v>
      </c>
      <c r="F682">
        <v>8</v>
      </c>
      <c r="G682" t="b">
        <v>0</v>
      </c>
      <c r="H682">
        <v>6</v>
      </c>
      <c r="I682">
        <v>1</v>
      </c>
      <c r="J682">
        <v>0.24</v>
      </c>
      <c r="L682">
        <v>0.75</v>
      </c>
      <c r="M682">
        <v>0</v>
      </c>
      <c r="N682">
        <v>1</v>
      </c>
      <c r="O682">
        <v>7</v>
      </c>
      <c r="P682">
        <v>8</v>
      </c>
      <c r="Q682" t="s">
        <v>62</v>
      </c>
      <c r="R682" t="s">
        <v>120</v>
      </c>
      <c r="S682" t="s">
        <v>24</v>
      </c>
      <c r="T682" t="s">
        <v>30</v>
      </c>
      <c r="U682" t="s">
        <v>123</v>
      </c>
    </row>
    <row r="683" spans="1:21" x14ac:dyDescent="0.3">
      <c r="A683">
        <v>10</v>
      </c>
      <c r="B683" s="1">
        <v>40544</v>
      </c>
      <c r="C683">
        <v>1</v>
      </c>
      <c r="D683">
        <v>0</v>
      </c>
      <c r="E683">
        <v>1</v>
      </c>
      <c r="F683">
        <v>9</v>
      </c>
      <c r="G683" t="b">
        <v>0</v>
      </c>
      <c r="H683">
        <v>6</v>
      </c>
      <c r="I683">
        <v>1</v>
      </c>
      <c r="J683">
        <v>0.32</v>
      </c>
      <c r="K683">
        <v>0.34849999999999998</v>
      </c>
      <c r="L683">
        <v>0.76</v>
      </c>
      <c r="M683">
        <v>0</v>
      </c>
      <c r="N683">
        <v>8</v>
      </c>
      <c r="O683">
        <v>6</v>
      </c>
      <c r="P683">
        <v>14</v>
      </c>
      <c r="Q683" t="s">
        <v>62</v>
      </c>
      <c r="R683" t="s">
        <v>120</v>
      </c>
      <c r="S683" t="s">
        <v>24</v>
      </c>
      <c r="T683" t="s">
        <v>30</v>
      </c>
      <c r="U683" t="s">
        <v>123</v>
      </c>
    </row>
    <row r="684" spans="1:21" x14ac:dyDescent="0.3">
      <c r="A684">
        <v>11</v>
      </c>
      <c r="B684" s="1">
        <v>40544</v>
      </c>
      <c r="C684">
        <v>1</v>
      </c>
      <c r="D684">
        <v>0</v>
      </c>
      <c r="E684">
        <v>1</v>
      </c>
      <c r="F684">
        <v>10</v>
      </c>
      <c r="G684" t="b">
        <v>0</v>
      </c>
      <c r="H684">
        <v>6</v>
      </c>
      <c r="I684">
        <v>1</v>
      </c>
      <c r="J684">
        <v>0.38</v>
      </c>
      <c r="K684">
        <v>0.39389999999999997</v>
      </c>
      <c r="L684">
        <v>0.76</v>
      </c>
      <c r="M684">
        <v>0.25369999999999998</v>
      </c>
      <c r="N684">
        <v>12</v>
      </c>
      <c r="O684">
        <v>24</v>
      </c>
      <c r="P684">
        <v>36</v>
      </c>
      <c r="Q684" t="s">
        <v>62</v>
      </c>
      <c r="R684" t="s">
        <v>120</v>
      </c>
      <c r="S684" t="s">
        <v>24</v>
      </c>
      <c r="T684" t="s">
        <v>30</v>
      </c>
      <c r="U684" t="s">
        <v>123</v>
      </c>
    </row>
    <row r="685" spans="1:21" x14ac:dyDescent="0.3">
      <c r="A685">
        <v>12</v>
      </c>
      <c r="B685" s="1">
        <v>40544</v>
      </c>
      <c r="C685">
        <v>1</v>
      </c>
      <c r="D685">
        <v>0</v>
      </c>
      <c r="E685">
        <v>1</v>
      </c>
      <c r="F685">
        <v>11</v>
      </c>
      <c r="G685" t="b">
        <v>0</v>
      </c>
      <c r="H685">
        <v>6</v>
      </c>
      <c r="I685">
        <v>1</v>
      </c>
      <c r="J685">
        <v>0.36</v>
      </c>
      <c r="K685">
        <v>0.33329999999999999</v>
      </c>
      <c r="L685">
        <v>0.81</v>
      </c>
      <c r="M685">
        <v>0.28360000000000002</v>
      </c>
      <c r="N685">
        <v>26</v>
      </c>
      <c r="O685">
        <v>30</v>
      </c>
      <c r="P685">
        <v>56</v>
      </c>
      <c r="Q685" t="s">
        <v>62</v>
      </c>
      <c r="R685" t="s">
        <v>120</v>
      </c>
      <c r="S685" t="s">
        <v>24</v>
      </c>
      <c r="T685" t="s">
        <v>30</v>
      </c>
      <c r="U685" t="s">
        <v>123</v>
      </c>
    </row>
    <row r="686" spans="1:21" x14ac:dyDescent="0.3">
      <c r="A686">
        <v>13</v>
      </c>
      <c r="B686" s="1">
        <v>40544</v>
      </c>
      <c r="C686">
        <v>1</v>
      </c>
      <c r="D686">
        <v>0</v>
      </c>
      <c r="E686">
        <v>1</v>
      </c>
      <c r="F686">
        <v>12</v>
      </c>
      <c r="G686" t="b">
        <v>0</v>
      </c>
      <c r="H686">
        <v>6</v>
      </c>
      <c r="I686">
        <v>1</v>
      </c>
      <c r="J686">
        <v>0.42</v>
      </c>
      <c r="K686">
        <v>0.42420000000000002</v>
      </c>
      <c r="L686">
        <v>0.77</v>
      </c>
      <c r="M686">
        <v>0.28360000000000002</v>
      </c>
      <c r="N686">
        <v>29</v>
      </c>
      <c r="O686">
        <v>55</v>
      </c>
      <c r="P686">
        <v>84</v>
      </c>
      <c r="Q686" t="s">
        <v>62</v>
      </c>
      <c r="R686" t="s">
        <v>120</v>
      </c>
      <c r="S686" t="s">
        <v>24</v>
      </c>
      <c r="T686" t="s">
        <v>30</v>
      </c>
      <c r="U686" t="s">
        <v>123</v>
      </c>
    </row>
    <row r="687" spans="1:21" x14ac:dyDescent="0.3">
      <c r="A687">
        <v>14</v>
      </c>
      <c r="B687" s="1">
        <v>40544</v>
      </c>
      <c r="C687">
        <v>1</v>
      </c>
      <c r="D687">
        <v>0</v>
      </c>
      <c r="E687">
        <v>1</v>
      </c>
      <c r="F687">
        <v>13</v>
      </c>
      <c r="G687" t="b">
        <v>0</v>
      </c>
      <c r="H687">
        <v>6</v>
      </c>
      <c r="I687">
        <v>2</v>
      </c>
      <c r="J687">
        <v>0.46</v>
      </c>
      <c r="K687">
        <v>0.45450000000000002</v>
      </c>
      <c r="L687">
        <v>0.72</v>
      </c>
      <c r="M687">
        <v>0.29849999999999999</v>
      </c>
      <c r="N687">
        <v>47</v>
      </c>
      <c r="O687">
        <v>47</v>
      </c>
      <c r="P687">
        <v>94</v>
      </c>
      <c r="Q687" t="s">
        <v>64</v>
      </c>
      <c r="R687" t="s">
        <v>120</v>
      </c>
      <c r="S687" t="s">
        <v>24</v>
      </c>
      <c r="T687" t="s">
        <v>30</v>
      </c>
      <c r="U687" t="s">
        <v>124</v>
      </c>
    </row>
    <row r="688" spans="1:21" x14ac:dyDescent="0.3">
      <c r="A688">
        <v>15</v>
      </c>
      <c r="B688" s="1">
        <v>40544</v>
      </c>
      <c r="C688">
        <v>1</v>
      </c>
      <c r="D688">
        <v>0</v>
      </c>
      <c r="E688">
        <v>1</v>
      </c>
      <c r="F688">
        <v>14</v>
      </c>
      <c r="G688" t="b">
        <v>0</v>
      </c>
      <c r="H688">
        <v>6</v>
      </c>
      <c r="I688">
        <v>2</v>
      </c>
      <c r="J688">
        <v>0.46</v>
      </c>
      <c r="K688">
        <v>0.45450000000000002</v>
      </c>
      <c r="L688">
        <v>0.72</v>
      </c>
      <c r="M688">
        <v>0.28360000000000002</v>
      </c>
      <c r="N688">
        <v>35</v>
      </c>
      <c r="O688">
        <v>71</v>
      </c>
      <c r="P688">
        <v>106</v>
      </c>
      <c r="Q688" t="s">
        <v>64</v>
      </c>
      <c r="R688" t="s">
        <v>120</v>
      </c>
      <c r="S688" t="s">
        <v>24</v>
      </c>
      <c r="T688" t="s">
        <v>30</v>
      </c>
      <c r="U688" t="s">
        <v>124</v>
      </c>
    </row>
    <row r="689" spans="1:21" x14ac:dyDescent="0.3">
      <c r="A689">
        <v>16</v>
      </c>
      <c r="B689" s="1">
        <v>40544</v>
      </c>
      <c r="C689">
        <v>1</v>
      </c>
      <c r="D689">
        <v>0</v>
      </c>
      <c r="E689">
        <v>1</v>
      </c>
      <c r="F689">
        <v>15</v>
      </c>
      <c r="G689" t="b">
        <v>0</v>
      </c>
      <c r="H689">
        <v>6</v>
      </c>
      <c r="I689">
        <v>2</v>
      </c>
      <c r="J689">
        <v>0.44</v>
      </c>
      <c r="K689">
        <v>0.43940000000000001</v>
      </c>
      <c r="L689">
        <v>0.77</v>
      </c>
      <c r="M689">
        <v>0.29849999999999999</v>
      </c>
      <c r="N689">
        <v>40</v>
      </c>
      <c r="O689">
        <v>70</v>
      </c>
      <c r="P689">
        <v>110</v>
      </c>
      <c r="Q689" t="s">
        <v>64</v>
      </c>
      <c r="R689" t="s">
        <v>120</v>
      </c>
      <c r="S689" t="s">
        <v>24</v>
      </c>
      <c r="T689" t="s">
        <v>30</v>
      </c>
      <c r="U689" t="s">
        <v>124</v>
      </c>
    </row>
    <row r="690" spans="1:21" x14ac:dyDescent="0.3">
      <c r="A690">
        <v>17</v>
      </c>
      <c r="B690" s="1">
        <v>40544</v>
      </c>
      <c r="C690">
        <v>1</v>
      </c>
      <c r="D690">
        <v>0</v>
      </c>
      <c r="E690">
        <v>1</v>
      </c>
      <c r="F690">
        <v>16</v>
      </c>
      <c r="G690" t="b">
        <v>0</v>
      </c>
      <c r="H690">
        <v>6</v>
      </c>
      <c r="I690">
        <v>2</v>
      </c>
      <c r="J690">
        <v>0.42</v>
      </c>
      <c r="K690">
        <v>0.42420000000000002</v>
      </c>
      <c r="L690">
        <v>0.82</v>
      </c>
      <c r="M690">
        <v>0.29849999999999999</v>
      </c>
      <c r="N690">
        <v>41</v>
      </c>
      <c r="O690">
        <v>52</v>
      </c>
      <c r="P690">
        <v>93</v>
      </c>
      <c r="Q690" t="s">
        <v>64</v>
      </c>
      <c r="R690" t="s">
        <v>120</v>
      </c>
      <c r="S690" t="s">
        <v>24</v>
      </c>
      <c r="T690" t="s">
        <v>30</v>
      </c>
      <c r="U690" t="s">
        <v>124</v>
      </c>
    </row>
    <row r="691" spans="1:21" x14ac:dyDescent="0.3">
      <c r="A691">
        <v>18</v>
      </c>
      <c r="B691" s="1">
        <v>40544</v>
      </c>
      <c r="C691">
        <v>1</v>
      </c>
      <c r="D691">
        <v>0</v>
      </c>
      <c r="E691">
        <v>1</v>
      </c>
      <c r="F691">
        <v>17</v>
      </c>
      <c r="G691" t="b">
        <v>0</v>
      </c>
      <c r="H691">
        <v>6</v>
      </c>
      <c r="I691">
        <v>2</v>
      </c>
      <c r="J691">
        <v>0.44</v>
      </c>
      <c r="L691">
        <v>0.82</v>
      </c>
      <c r="M691">
        <v>0.28360000000000002</v>
      </c>
      <c r="N691">
        <v>15</v>
      </c>
      <c r="O691">
        <v>52</v>
      </c>
      <c r="P691">
        <v>67</v>
      </c>
      <c r="Q691" t="s">
        <v>64</v>
      </c>
      <c r="R691" t="s">
        <v>120</v>
      </c>
      <c r="S691" t="s">
        <v>24</v>
      </c>
      <c r="T691" t="s">
        <v>30</v>
      </c>
      <c r="U691" t="s">
        <v>124</v>
      </c>
    </row>
    <row r="692" spans="1:21" x14ac:dyDescent="0.3">
      <c r="A692">
        <v>19</v>
      </c>
      <c r="B692" s="1">
        <v>40544</v>
      </c>
      <c r="C692">
        <v>1</v>
      </c>
      <c r="D692">
        <v>0</v>
      </c>
      <c r="E692">
        <v>1</v>
      </c>
      <c r="F692">
        <v>18</v>
      </c>
      <c r="G692" t="b">
        <v>0</v>
      </c>
      <c r="H692">
        <v>6</v>
      </c>
      <c r="I692">
        <v>3</v>
      </c>
      <c r="J692">
        <v>0.42</v>
      </c>
      <c r="K692">
        <v>0.42420000000000002</v>
      </c>
      <c r="L692">
        <v>0.88</v>
      </c>
      <c r="M692">
        <v>0.25369999999999998</v>
      </c>
      <c r="N692">
        <v>9</v>
      </c>
      <c r="O692">
        <v>26</v>
      </c>
      <c r="P692">
        <v>35</v>
      </c>
      <c r="Q692" t="s">
        <v>63</v>
      </c>
      <c r="R692" t="s">
        <v>120</v>
      </c>
      <c r="S692" t="s">
        <v>24</v>
      </c>
      <c r="T692" t="s">
        <v>30</v>
      </c>
      <c r="U692" t="s">
        <v>125</v>
      </c>
    </row>
    <row r="693" spans="1:21" x14ac:dyDescent="0.3">
      <c r="A693">
        <v>20</v>
      </c>
      <c r="B693" s="1">
        <v>40544</v>
      </c>
      <c r="C693">
        <v>1</v>
      </c>
      <c r="D693">
        <v>0</v>
      </c>
      <c r="E693">
        <v>1</v>
      </c>
      <c r="F693">
        <v>19</v>
      </c>
      <c r="G693" t="b">
        <v>0</v>
      </c>
      <c r="H693">
        <v>6</v>
      </c>
      <c r="I693">
        <v>3</v>
      </c>
      <c r="J693">
        <v>0.42</v>
      </c>
      <c r="K693">
        <v>0.42420000000000002</v>
      </c>
      <c r="L693">
        <v>0.88</v>
      </c>
      <c r="M693">
        <v>0.25369999999999998</v>
      </c>
      <c r="N693">
        <v>6</v>
      </c>
      <c r="O693">
        <v>31</v>
      </c>
      <c r="P693">
        <v>37</v>
      </c>
      <c r="Q693" t="s">
        <v>63</v>
      </c>
      <c r="R693" t="s">
        <v>120</v>
      </c>
      <c r="S693" t="s">
        <v>24</v>
      </c>
      <c r="T693" t="s">
        <v>30</v>
      </c>
      <c r="U693" t="s">
        <v>125</v>
      </c>
    </row>
    <row r="694" spans="1:21" x14ac:dyDescent="0.3">
      <c r="A694">
        <v>21</v>
      </c>
      <c r="B694" s="1">
        <v>40544</v>
      </c>
      <c r="C694">
        <v>1</v>
      </c>
      <c r="D694">
        <v>0</v>
      </c>
      <c r="E694">
        <v>1</v>
      </c>
      <c r="F694">
        <v>20</v>
      </c>
      <c r="G694" t="b">
        <v>0</v>
      </c>
      <c r="H694">
        <v>6</v>
      </c>
      <c r="I694">
        <v>2</v>
      </c>
      <c r="J694">
        <v>0.4</v>
      </c>
      <c r="K694">
        <v>0.40910000000000002</v>
      </c>
      <c r="L694">
        <v>0.87</v>
      </c>
      <c r="M694">
        <v>0.25369999999999998</v>
      </c>
      <c r="N694">
        <v>11</v>
      </c>
      <c r="O694">
        <v>25</v>
      </c>
      <c r="P694">
        <v>36</v>
      </c>
      <c r="Q694" t="s">
        <v>64</v>
      </c>
      <c r="R694" t="s">
        <v>120</v>
      </c>
      <c r="S694" t="s">
        <v>24</v>
      </c>
      <c r="T694" t="s">
        <v>30</v>
      </c>
      <c r="U694" t="s">
        <v>124</v>
      </c>
    </row>
    <row r="695" spans="1:21" x14ac:dyDescent="0.3">
      <c r="A695">
        <v>22</v>
      </c>
      <c r="B695" s="1">
        <v>40544</v>
      </c>
      <c r="C695">
        <v>1</v>
      </c>
      <c r="D695">
        <v>0</v>
      </c>
      <c r="E695">
        <v>1</v>
      </c>
      <c r="F695">
        <v>21</v>
      </c>
      <c r="G695" t="b">
        <v>0</v>
      </c>
      <c r="H695">
        <v>6</v>
      </c>
      <c r="I695">
        <v>2</v>
      </c>
      <c r="J695">
        <v>0.4</v>
      </c>
      <c r="K695">
        <v>0.40910000000000002</v>
      </c>
      <c r="L695">
        <v>0.87</v>
      </c>
      <c r="M695">
        <v>0.19400000000000001</v>
      </c>
      <c r="N695">
        <v>3</v>
      </c>
      <c r="O695">
        <v>31</v>
      </c>
      <c r="P695">
        <v>34</v>
      </c>
      <c r="Q695" t="s">
        <v>64</v>
      </c>
      <c r="R695" t="s">
        <v>120</v>
      </c>
      <c r="S695" t="s">
        <v>24</v>
      </c>
      <c r="T695" t="s">
        <v>30</v>
      </c>
      <c r="U695" t="s">
        <v>124</v>
      </c>
    </row>
    <row r="696" spans="1:21" x14ac:dyDescent="0.3">
      <c r="A696">
        <v>23</v>
      </c>
      <c r="B696" s="1">
        <v>40544</v>
      </c>
      <c r="C696">
        <v>1</v>
      </c>
      <c r="D696">
        <v>0</v>
      </c>
      <c r="E696">
        <v>1</v>
      </c>
      <c r="F696">
        <v>22</v>
      </c>
      <c r="G696" t="b">
        <v>0</v>
      </c>
      <c r="H696">
        <v>6</v>
      </c>
      <c r="I696">
        <v>2</v>
      </c>
      <c r="J696">
        <v>0.4</v>
      </c>
      <c r="K696">
        <v>0.40910000000000002</v>
      </c>
      <c r="L696">
        <v>0.94</v>
      </c>
      <c r="M696">
        <v>0.22389999999999999</v>
      </c>
      <c r="N696">
        <v>11</v>
      </c>
      <c r="O696">
        <v>17</v>
      </c>
      <c r="P696">
        <v>28</v>
      </c>
      <c r="Q696" t="s">
        <v>64</v>
      </c>
      <c r="R696" t="s">
        <v>120</v>
      </c>
      <c r="S696" t="s">
        <v>24</v>
      </c>
      <c r="T696" t="s">
        <v>30</v>
      </c>
      <c r="U696" t="s">
        <v>124</v>
      </c>
    </row>
    <row r="697" spans="1:21" x14ac:dyDescent="0.3">
      <c r="A697">
        <v>24</v>
      </c>
      <c r="B697" s="1">
        <v>40544</v>
      </c>
      <c r="C697">
        <v>1</v>
      </c>
      <c r="D697">
        <v>0</v>
      </c>
      <c r="E697">
        <v>1</v>
      </c>
      <c r="F697">
        <v>23</v>
      </c>
      <c r="G697" t="b">
        <v>0</v>
      </c>
      <c r="H697">
        <v>6</v>
      </c>
      <c r="I697">
        <v>2</v>
      </c>
      <c r="J697">
        <v>0.46</v>
      </c>
      <c r="L697">
        <v>0.88</v>
      </c>
      <c r="M697">
        <v>0.29849999999999999</v>
      </c>
      <c r="N697">
        <v>15</v>
      </c>
      <c r="O697">
        <v>24</v>
      </c>
      <c r="P697">
        <v>39</v>
      </c>
      <c r="Q697" t="s">
        <v>64</v>
      </c>
      <c r="R697" t="s">
        <v>120</v>
      </c>
      <c r="S697" t="s">
        <v>24</v>
      </c>
      <c r="T697" t="s">
        <v>30</v>
      </c>
      <c r="U697" t="s">
        <v>124</v>
      </c>
    </row>
    <row r="698" spans="1:21" x14ac:dyDescent="0.3">
      <c r="A698">
        <v>162</v>
      </c>
      <c r="B698" s="1">
        <v>40551</v>
      </c>
      <c r="C698">
        <v>1</v>
      </c>
      <c r="D698">
        <v>0</v>
      </c>
      <c r="E698">
        <v>1</v>
      </c>
      <c r="F698">
        <v>0</v>
      </c>
      <c r="G698" t="b">
        <v>0</v>
      </c>
      <c r="H698">
        <v>6</v>
      </c>
      <c r="I698">
        <v>2</v>
      </c>
      <c r="J698">
        <v>0.18</v>
      </c>
      <c r="K698">
        <v>0.19700000000000001</v>
      </c>
      <c r="L698">
        <v>0.51</v>
      </c>
      <c r="M698">
        <v>0.16420000000000001</v>
      </c>
      <c r="N698">
        <v>1</v>
      </c>
      <c r="O698">
        <v>24</v>
      </c>
      <c r="P698">
        <v>25</v>
      </c>
      <c r="Q698" t="s">
        <v>64</v>
      </c>
      <c r="R698" t="s">
        <v>120</v>
      </c>
      <c r="S698" t="s">
        <v>24</v>
      </c>
      <c r="T698" t="s">
        <v>30</v>
      </c>
      <c r="U698" t="s">
        <v>124</v>
      </c>
    </row>
    <row r="699" spans="1:21" x14ac:dyDescent="0.3">
      <c r="A699">
        <v>163</v>
      </c>
      <c r="B699" s="1">
        <v>40551</v>
      </c>
      <c r="C699">
        <v>1</v>
      </c>
      <c r="D699">
        <v>0</v>
      </c>
      <c r="E699">
        <v>1</v>
      </c>
      <c r="F699">
        <v>1</v>
      </c>
      <c r="G699" t="b">
        <v>0</v>
      </c>
      <c r="H699">
        <v>6</v>
      </c>
      <c r="I699">
        <v>2</v>
      </c>
      <c r="J699">
        <v>0.18</v>
      </c>
      <c r="K699">
        <v>0.21210000000000001</v>
      </c>
      <c r="L699">
        <v>0.55000000000000004</v>
      </c>
      <c r="M699">
        <v>8.9599999999999999E-2</v>
      </c>
      <c r="N699">
        <v>1</v>
      </c>
      <c r="O699">
        <v>15</v>
      </c>
      <c r="P699">
        <v>16</v>
      </c>
      <c r="Q699" t="s">
        <v>64</v>
      </c>
      <c r="R699" t="s">
        <v>120</v>
      </c>
      <c r="S699" t="s">
        <v>24</v>
      </c>
      <c r="T699" t="s">
        <v>30</v>
      </c>
      <c r="U699" t="s">
        <v>124</v>
      </c>
    </row>
    <row r="700" spans="1:21" x14ac:dyDescent="0.3">
      <c r="A700">
        <v>164</v>
      </c>
      <c r="B700" s="1">
        <v>40551</v>
      </c>
      <c r="C700">
        <v>1</v>
      </c>
      <c r="D700">
        <v>0</v>
      </c>
      <c r="E700">
        <v>1</v>
      </c>
      <c r="F700">
        <v>2</v>
      </c>
      <c r="G700" t="b">
        <v>0</v>
      </c>
      <c r="H700">
        <v>6</v>
      </c>
      <c r="I700">
        <v>2</v>
      </c>
      <c r="J700">
        <v>0.18</v>
      </c>
      <c r="K700">
        <v>0.2424</v>
      </c>
      <c r="L700">
        <v>0.55000000000000004</v>
      </c>
      <c r="M700">
        <v>0</v>
      </c>
      <c r="N700">
        <v>3</v>
      </c>
      <c r="O700">
        <v>13</v>
      </c>
      <c r="P700">
        <v>16</v>
      </c>
      <c r="Q700" t="s">
        <v>64</v>
      </c>
      <c r="R700" t="s">
        <v>120</v>
      </c>
      <c r="S700" t="s">
        <v>24</v>
      </c>
      <c r="T700" t="s">
        <v>30</v>
      </c>
      <c r="U700" t="s">
        <v>124</v>
      </c>
    </row>
    <row r="701" spans="1:21" x14ac:dyDescent="0.3">
      <c r="A701">
        <v>165</v>
      </c>
      <c r="B701" s="1">
        <v>40551</v>
      </c>
      <c r="C701">
        <v>1</v>
      </c>
      <c r="D701">
        <v>0</v>
      </c>
      <c r="E701">
        <v>1</v>
      </c>
      <c r="F701">
        <v>3</v>
      </c>
      <c r="G701" t="b">
        <v>0</v>
      </c>
      <c r="H701">
        <v>6</v>
      </c>
      <c r="I701">
        <v>3</v>
      </c>
      <c r="J701">
        <v>0.18</v>
      </c>
      <c r="K701">
        <v>0.19700000000000001</v>
      </c>
      <c r="L701">
        <v>0.55000000000000004</v>
      </c>
      <c r="M701">
        <v>0.16420000000000001</v>
      </c>
      <c r="N701">
        <v>0</v>
      </c>
      <c r="O701">
        <v>7</v>
      </c>
      <c r="P701">
        <v>7</v>
      </c>
      <c r="Q701" t="s">
        <v>63</v>
      </c>
      <c r="R701" t="s">
        <v>120</v>
      </c>
      <c r="S701" t="s">
        <v>24</v>
      </c>
      <c r="T701" t="s">
        <v>30</v>
      </c>
      <c r="U701" t="s">
        <v>125</v>
      </c>
    </row>
    <row r="702" spans="1:21" x14ac:dyDescent="0.3">
      <c r="A702">
        <v>166</v>
      </c>
      <c r="B702" s="1">
        <v>40551</v>
      </c>
      <c r="C702">
        <v>1</v>
      </c>
      <c r="D702">
        <v>0</v>
      </c>
      <c r="E702">
        <v>1</v>
      </c>
      <c r="F702">
        <v>4</v>
      </c>
      <c r="G702" t="b">
        <v>0</v>
      </c>
      <c r="H702">
        <v>6</v>
      </c>
      <c r="I702">
        <v>3</v>
      </c>
      <c r="J702">
        <v>0.18</v>
      </c>
      <c r="K702">
        <v>0.19700000000000001</v>
      </c>
      <c r="L702">
        <v>0.55000000000000004</v>
      </c>
      <c r="M702">
        <v>0.16420000000000001</v>
      </c>
      <c r="N702">
        <v>0</v>
      </c>
      <c r="O702">
        <v>1</v>
      </c>
      <c r="P702">
        <v>1</v>
      </c>
      <c r="Q702" t="s">
        <v>63</v>
      </c>
      <c r="R702" t="s">
        <v>120</v>
      </c>
      <c r="S702" t="s">
        <v>24</v>
      </c>
      <c r="T702" t="s">
        <v>30</v>
      </c>
      <c r="U702" t="s">
        <v>125</v>
      </c>
    </row>
    <row r="703" spans="1:21" x14ac:dyDescent="0.3">
      <c r="A703">
        <v>167</v>
      </c>
      <c r="B703" s="1">
        <v>40551</v>
      </c>
      <c r="C703">
        <v>1</v>
      </c>
      <c r="D703">
        <v>0</v>
      </c>
      <c r="E703">
        <v>1</v>
      </c>
      <c r="F703">
        <v>5</v>
      </c>
      <c r="G703" t="b">
        <v>0</v>
      </c>
      <c r="H703">
        <v>6</v>
      </c>
      <c r="I703">
        <v>2</v>
      </c>
      <c r="J703">
        <v>0.16</v>
      </c>
      <c r="K703">
        <v>0.16669999999999999</v>
      </c>
      <c r="L703">
        <v>0.74</v>
      </c>
      <c r="M703">
        <v>0.16420000000000001</v>
      </c>
      <c r="N703">
        <v>0</v>
      </c>
      <c r="O703">
        <v>5</v>
      </c>
      <c r="P703">
        <v>5</v>
      </c>
      <c r="Q703" t="s">
        <v>64</v>
      </c>
      <c r="R703" t="s">
        <v>120</v>
      </c>
      <c r="S703" t="s">
        <v>24</v>
      </c>
      <c r="T703" t="s">
        <v>30</v>
      </c>
      <c r="U703" t="s">
        <v>124</v>
      </c>
    </row>
    <row r="704" spans="1:21" x14ac:dyDescent="0.3">
      <c r="A704">
        <v>168</v>
      </c>
      <c r="B704" s="1">
        <v>40551</v>
      </c>
      <c r="C704">
        <v>1</v>
      </c>
      <c r="D704">
        <v>0</v>
      </c>
      <c r="E704">
        <v>1</v>
      </c>
      <c r="F704">
        <v>6</v>
      </c>
      <c r="G704" t="b">
        <v>0</v>
      </c>
      <c r="H704">
        <v>6</v>
      </c>
      <c r="I704">
        <v>2</v>
      </c>
      <c r="J704">
        <v>0.16</v>
      </c>
      <c r="K704">
        <v>0.16669999999999999</v>
      </c>
      <c r="L704">
        <v>0.74</v>
      </c>
      <c r="M704">
        <v>0.16420000000000001</v>
      </c>
      <c r="N704">
        <v>0</v>
      </c>
      <c r="O704">
        <v>2</v>
      </c>
      <c r="P704">
        <v>2</v>
      </c>
      <c r="Q704" t="s">
        <v>64</v>
      </c>
      <c r="R704" t="s">
        <v>120</v>
      </c>
      <c r="S704" t="s">
        <v>24</v>
      </c>
      <c r="T704" t="s">
        <v>30</v>
      </c>
      <c r="U704" t="s">
        <v>124</v>
      </c>
    </row>
    <row r="705" spans="1:21" x14ac:dyDescent="0.3">
      <c r="A705">
        <v>169</v>
      </c>
      <c r="B705" s="1">
        <v>40551</v>
      </c>
      <c r="C705">
        <v>1</v>
      </c>
      <c r="D705">
        <v>0</v>
      </c>
      <c r="E705">
        <v>1</v>
      </c>
      <c r="F705">
        <v>7</v>
      </c>
      <c r="G705" t="b">
        <v>0</v>
      </c>
      <c r="H705">
        <v>6</v>
      </c>
      <c r="I705">
        <v>2</v>
      </c>
      <c r="J705">
        <v>0.16</v>
      </c>
      <c r="K705">
        <v>0.18179999999999999</v>
      </c>
      <c r="L705">
        <v>0.74</v>
      </c>
      <c r="M705">
        <v>0.1045</v>
      </c>
      <c r="N705">
        <v>1</v>
      </c>
      <c r="O705">
        <v>8</v>
      </c>
      <c r="P705">
        <v>9</v>
      </c>
      <c r="Q705" t="s">
        <v>64</v>
      </c>
      <c r="R705" t="s">
        <v>120</v>
      </c>
      <c r="S705" t="s">
        <v>24</v>
      </c>
      <c r="T705" t="s">
        <v>30</v>
      </c>
      <c r="U705" t="s">
        <v>124</v>
      </c>
    </row>
    <row r="706" spans="1:21" x14ac:dyDescent="0.3">
      <c r="A706">
        <v>170</v>
      </c>
      <c r="B706" s="1">
        <v>40551</v>
      </c>
      <c r="C706">
        <v>1</v>
      </c>
      <c r="D706">
        <v>0</v>
      </c>
      <c r="E706">
        <v>1</v>
      </c>
      <c r="F706">
        <v>8</v>
      </c>
      <c r="G706" t="b">
        <v>0</v>
      </c>
      <c r="H706">
        <v>6</v>
      </c>
      <c r="I706">
        <v>3</v>
      </c>
      <c r="J706">
        <v>0.16</v>
      </c>
      <c r="K706">
        <v>0.18179999999999999</v>
      </c>
      <c r="L706">
        <v>0.93</v>
      </c>
      <c r="M706">
        <v>0.1045</v>
      </c>
      <c r="N706">
        <v>0</v>
      </c>
      <c r="O706">
        <v>15</v>
      </c>
      <c r="P706">
        <v>15</v>
      </c>
      <c r="Q706" t="s">
        <v>63</v>
      </c>
      <c r="R706" t="s">
        <v>120</v>
      </c>
      <c r="S706" t="s">
        <v>24</v>
      </c>
      <c r="T706" t="s">
        <v>30</v>
      </c>
      <c r="U706" t="s">
        <v>125</v>
      </c>
    </row>
    <row r="707" spans="1:21" x14ac:dyDescent="0.3">
      <c r="A707">
        <v>171</v>
      </c>
      <c r="B707" s="1">
        <v>40551</v>
      </c>
      <c r="C707">
        <v>1</v>
      </c>
      <c r="D707">
        <v>0</v>
      </c>
      <c r="E707">
        <v>1</v>
      </c>
      <c r="F707">
        <v>9</v>
      </c>
      <c r="G707" t="b">
        <v>0</v>
      </c>
      <c r="H707">
        <v>6</v>
      </c>
      <c r="I707">
        <v>3</v>
      </c>
      <c r="J707">
        <v>0.16</v>
      </c>
      <c r="K707">
        <v>0.18179999999999999</v>
      </c>
      <c r="L707">
        <v>0.93</v>
      </c>
      <c r="M707">
        <v>0.1045</v>
      </c>
      <c r="N707">
        <v>0</v>
      </c>
      <c r="O707">
        <v>20</v>
      </c>
      <c r="P707">
        <v>20</v>
      </c>
      <c r="Q707" t="s">
        <v>63</v>
      </c>
      <c r="R707" t="s">
        <v>120</v>
      </c>
      <c r="S707" t="s">
        <v>24</v>
      </c>
      <c r="T707" t="s">
        <v>30</v>
      </c>
      <c r="U707" t="s">
        <v>125</v>
      </c>
    </row>
    <row r="708" spans="1:21" x14ac:dyDescent="0.3">
      <c r="A708">
        <v>172</v>
      </c>
      <c r="B708" s="1">
        <v>40551</v>
      </c>
      <c r="C708">
        <v>1</v>
      </c>
      <c r="D708">
        <v>0</v>
      </c>
      <c r="E708">
        <v>1</v>
      </c>
      <c r="F708">
        <v>10</v>
      </c>
      <c r="G708" t="b">
        <v>0</v>
      </c>
      <c r="H708">
        <v>6</v>
      </c>
      <c r="I708">
        <v>2</v>
      </c>
      <c r="J708">
        <v>0.18</v>
      </c>
      <c r="K708">
        <v>0.19700000000000001</v>
      </c>
      <c r="L708">
        <v>0.8</v>
      </c>
      <c r="M708">
        <v>0.16420000000000001</v>
      </c>
      <c r="N708">
        <v>5</v>
      </c>
      <c r="O708">
        <v>56</v>
      </c>
      <c r="P708">
        <v>61</v>
      </c>
      <c r="Q708" t="s">
        <v>64</v>
      </c>
      <c r="R708" t="s">
        <v>120</v>
      </c>
      <c r="S708" t="s">
        <v>24</v>
      </c>
      <c r="T708" t="s">
        <v>30</v>
      </c>
      <c r="U708" t="s">
        <v>124</v>
      </c>
    </row>
    <row r="709" spans="1:21" x14ac:dyDescent="0.3">
      <c r="A709">
        <v>173</v>
      </c>
      <c r="B709" s="1">
        <v>40551</v>
      </c>
      <c r="C709">
        <v>1</v>
      </c>
      <c r="D709">
        <v>0</v>
      </c>
      <c r="E709">
        <v>1</v>
      </c>
      <c r="F709">
        <v>11</v>
      </c>
      <c r="G709" t="b">
        <v>0</v>
      </c>
      <c r="H709">
        <v>6</v>
      </c>
      <c r="I709">
        <v>2</v>
      </c>
      <c r="J709">
        <v>0.2</v>
      </c>
      <c r="K709">
        <v>0.18179999999999999</v>
      </c>
      <c r="L709">
        <v>0.69</v>
      </c>
      <c r="M709">
        <v>0.3881</v>
      </c>
      <c r="N709">
        <v>2</v>
      </c>
      <c r="O709">
        <v>60</v>
      </c>
      <c r="P709">
        <v>62</v>
      </c>
      <c r="Q709" t="s">
        <v>64</v>
      </c>
      <c r="R709" t="s">
        <v>120</v>
      </c>
      <c r="S709" t="s">
        <v>24</v>
      </c>
      <c r="T709" t="s">
        <v>30</v>
      </c>
      <c r="U709" t="s">
        <v>124</v>
      </c>
    </row>
    <row r="710" spans="1:21" x14ac:dyDescent="0.3">
      <c r="A710">
        <v>174</v>
      </c>
      <c r="B710" s="1">
        <v>40551</v>
      </c>
      <c r="C710">
        <v>1</v>
      </c>
      <c r="D710">
        <v>0</v>
      </c>
      <c r="E710">
        <v>1</v>
      </c>
      <c r="F710">
        <v>12</v>
      </c>
      <c r="G710" t="b">
        <v>0</v>
      </c>
      <c r="H710">
        <v>6</v>
      </c>
      <c r="I710">
        <v>2</v>
      </c>
      <c r="J710">
        <v>0.2</v>
      </c>
      <c r="K710">
        <v>0.18179999999999999</v>
      </c>
      <c r="L710">
        <v>0.59</v>
      </c>
      <c r="M710">
        <v>0.35820000000000002</v>
      </c>
      <c r="N710">
        <v>8</v>
      </c>
      <c r="O710">
        <v>90</v>
      </c>
      <c r="P710">
        <v>98</v>
      </c>
      <c r="Q710" t="s">
        <v>64</v>
      </c>
      <c r="R710" t="s">
        <v>120</v>
      </c>
      <c r="S710" t="s">
        <v>24</v>
      </c>
      <c r="T710" t="s">
        <v>30</v>
      </c>
      <c r="U710" t="s">
        <v>124</v>
      </c>
    </row>
    <row r="711" spans="1:21" x14ac:dyDescent="0.3">
      <c r="A711">
        <v>175</v>
      </c>
      <c r="B711" s="1">
        <v>40551</v>
      </c>
      <c r="C711">
        <v>1</v>
      </c>
      <c r="D711">
        <v>0</v>
      </c>
      <c r="E711">
        <v>1</v>
      </c>
      <c r="F711">
        <v>13</v>
      </c>
      <c r="G711" t="b">
        <v>0</v>
      </c>
      <c r="H711">
        <v>6</v>
      </c>
      <c r="I711">
        <v>1</v>
      </c>
      <c r="J711">
        <v>0.2</v>
      </c>
      <c r="K711">
        <v>0.18179999999999999</v>
      </c>
      <c r="L711">
        <v>0.44</v>
      </c>
      <c r="M711">
        <v>0.32840000000000003</v>
      </c>
      <c r="N711">
        <v>7</v>
      </c>
      <c r="O711">
        <v>95</v>
      </c>
      <c r="P711">
        <v>102</v>
      </c>
      <c r="Q711" t="s">
        <v>62</v>
      </c>
      <c r="R711" t="s">
        <v>120</v>
      </c>
      <c r="S711" t="s">
        <v>24</v>
      </c>
      <c r="T711" t="s">
        <v>30</v>
      </c>
      <c r="U711" t="s">
        <v>123</v>
      </c>
    </row>
    <row r="712" spans="1:21" x14ac:dyDescent="0.3">
      <c r="A712">
        <v>176</v>
      </c>
      <c r="B712" s="1">
        <v>40551</v>
      </c>
      <c r="C712">
        <v>1</v>
      </c>
      <c r="D712">
        <v>0</v>
      </c>
      <c r="E712">
        <v>1</v>
      </c>
      <c r="F712">
        <v>14</v>
      </c>
      <c r="G712" t="b">
        <v>0</v>
      </c>
      <c r="H712">
        <v>6</v>
      </c>
      <c r="I712">
        <v>1</v>
      </c>
      <c r="J712">
        <v>0.2</v>
      </c>
      <c r="K712">
        <v>0.16669999999999999</v>
      </c>
      <c r="L712">
        <v>0.32</v>
      </c>
      <c r="M712">
        <v>0.49249999999999999</v>
      </c>
      <c r="N712">
        <v>12</v>
      </c>
      <c r="O712">
        <v>83</v>
      </c>
      <c r="P712">
        <v>95</v>
      </c>
      <c r="Q712" t="s">
        <v>62</v>
      </c>
      <c r="R712" t="s">
        <v>120</v>
      </c>
      <c r="S712" t="s">
        <v>24</v>
      </c>
      <c r="T712" t="s">
        <v>30</v>
      </c>
      <c r="U712" t="s">
        <v>123</v>
      </c>
    </row>
    <row r="713" spans="1:21" x14ac:dyDescent="0.3">
      <c r="A713">
        <v>177</v>
      </c>
      <c r="B713" s="1">
        <v>40551</v>
      </c>
      <c r="C713">
        <v>1</v>
      </c>
      <c r="D713">
        <v>0</v>
      </c>
      <c r="E713">
        <v>1</v>
      </c>
      <c r="F713">
        <v>15</v>
      </c>
      <c r="G713" t="b">
        <v>0</v>
      </c>
      <c r="H713">
        <v>6</v>
      </c>
      <c r="I713">
        <v>1</v>
      </c>
      <c r="J713">
        <v>0.2</v>
      </c>
      <c r="K713">
        <v>0.16669999999999999</v>
      </c>
      <c r="L713">
        <v>0.32</v>
      </c>
      <c r="M713">
        <v>0.44779999999999998</v>
      </c>
      <c r="N713">
        <v>5</v>
      </c>
      <c r="O713">
        <v>69</v>
      </c>
      <c r="P713">
        <v>74</v>
      </c>
      <c r="Q713" t="s">
        <v>62</v>
      </c>
      <c r="R713" t="s">
        <v>120</v>
      </c>
      <c r="S713" t="s">
        <v>24</v>
      </c>
      <c r="T713" t="s">
        <v>30</v>
      </c>
      <c r="U713" t="s">
        <v>123</v>
      </c>
    </row>
    <row r="714" spans="1:21" x14ac:dyDescent="0.3">
      <c r="A714">
        <v>178</v>
      </c>
      <c r="B714" s="1">
        <v>40551</v>
      </c>
      <c r="C714">
        <v>1</v>
      </c>
      <c r="D714">
        <v>0</v>
      </c>
      <c r="E714">
        <v>1</v>
      </c>
      <c r="F714">
        <v>16</v>
      </c>
      <c r="G714" t="b">
        <v>0</v>
      </c>
      <c r="H714">
        <v>6</v>
      </c>
      <c r="I714">
        <v>1</v>
      </c>
      <c r="J714">
        <v>0.18</v>
      </c>
      <c r="K714">
        <v>0.13639999999999999</v>
      </c>
      <c r="L714">
        <v>0.28999999999999998</v>
      </c>
      <c r="M714">
        <v>0.44779999999999998</v>
      </c>
      <c r="N714">
        <v>8</v>
      </c>
      <c r="O714">
        <v>68</v>
      </c>
      <c r="P714">
        <v>76</v>
      </c>
      <c r="Q714" t="s">
        <v>62</v>
      </c>
      <c r="R714" t="s">
        <v>120</v>
      </c>
      <c r="S714" t="s">
        <v>24</v>
      </c>
      <c r="T714" t="s">
        <v>30</v>
      </c>
      <c r="U714" t="s">
        <v>123</v>
      </c>
    </row>
    <row r="715" spans="1:21" x14ac:dyDescent="0.3">
      <c r="A715">
        <v>179</v>
      </c>
      <c r="B715" s="1">
        <v>40551</v>
      </c>
      <c r="C715">
        <v>1</v>
      </c>
      <c r="D715">
        <v>0</v>
      </c>
      <c r="E715">
        <v>1</v>
      </c>
      <c r="F715">
        <v>17</v>
      </c>
      <c r="G715" t="b">
        <v>0</v>
      </c>
      <c r="H715">
        <v>6</v>
      </c>
      <c r="I715">
        <v>1</v>
      </c>
      <c r="J715">
        <v>0.16</v>
      </c>
      <c r="K715">
        <v>0.1212</v>
      </c>
      <c r="L715">
        <v>0.37</v>
      </c>
      <c r="M715">
        <v>0.55220000000000002</v>
      </c>
      <c r="N715">
        <v>5</v>
      </c>
      <c r="O715">
        <v>64</v>
      </c>
      <c r="P715">
        <v>69</v>
      </c>
      <c r="Q715" t="s">
        <v>62</v>
      </c>
      <c r="R715" t="s">
        <v>120</v>
      </c>
      <c r="S715" t="s">
        <v>24</v>
      </c>
      <c r="T715" t="s">
        <v>30</v>
      </c>
      <c r="U715" t="s">
        <v>123</v>
      </c>
    </row>
    <row r="716" spans="1:21" x14ac:dyDescent="0.3">
      <c r="A716">
        <v>180</v>
      </c>
      <c r="B716" s="1">
        <v>40551</v>
      </c>
      <c r="C716">
        <v>1</v>
      </c>
      <c r="D716">
        <v>0</v>
      </c>
      <c r="E716">
        <v>1</v>
      </c>
      <c r="F716">
        <v>18</v>
      </c>
      <c r="G716" t="b">
        <v>0</v>
      </c>
      <c r="H716">
        <v>6</v>
      </c>
      <c r="I716">
        <v>1</v>
      </c>
      <c r="J716">
        <v>0.14000000000000001</v>
      </c>
      <c r="K716">
        <v>0.1212</v>
      </c>
      <c r="L716">
        <v>0.39</v>
      </c>
      <c r="M716">
        <v>0.29849999999999999</v>
      </c>
      <c r="N716">
        <v>3</v>
      </c>
      <c r="O716">
        <v>52</v>
      </c>
      <c r="P716">
        <v>55</v>
      </c>
      <c r="Q716" t="s">
        <v>62</v>
      </c>
      <c r="R716" t="s">
        <v>120</v>
      </c>
      <c r="S716" t="s">
        <v>24</v>
      </c>
      <c r="T716" t="s">
        <v>30</v>
      </c>
      <c r="U716" t="s">
        <v>123</v>
      </c>
    </row>
    <row r="717" spans="1:21" x14ac:dyDescent="0.3">
      <c r="A717">
        <v>181</v>
      </c>
      <c r="B717" s="1">
        <v>40551</v>
      </c>
      <c r="C717">
        <v>1</v>
      </c>
      <c r="D717">
        <v>0</v>
      </c>
      <c r="E717">
        <v>1</v>
      </c>
      <c r="F717">
        <v>19</v>
      </c>
      <c r="G717" t="b">
        <v>0</v>
      </c>
      <c r="H717">
        <v>6</v>
      </c>
      <c r="I717">
        <v>1</v>
      </c>
      <c r="J717">
        <v>0.14000000000000001</v>
      </c>
      <c r="K717">
        <v>0.1212</v>
      </c>
      <c r="L717">
        <v>0.36</v>
      </c>
      <c r="M717">
        <v>0.25369999999999998</v>
      </c>
      <c r="N717">
        <v>4</v>
      </c>
      <c r="O717">
        <v>26</v>
      </c>
      <c r="P717">
        <v>30</v>
      </c>
      <c r="Q717" t="s">
        <v>62</v>
      </c>
      <c r="R717" t="s">
        <v>120</v>
      </c>
      <c r="S717" t="s">
        <v>24</v>
      </c>
      <c r="T717" t="s">
        <v>30</v>
      </c>
      <c r="U717" t="s">
        <v>123</v>
      </c>
    </row>
    <row r="718" spans="1:21" x14ac:dyDescent="0.3">
      <c r="A718">
        <v>182</v>
      </c>
      <c r="B718" s="1">
        <v>40551</v>
      </c>
      <c r="C718">
        <v>1</v>
      </c>
      <c r="D718">
        <v>0</v>
      </c>
      <c r="E718">
        <v>1</v>
      </c>
      <c r="F718">
        <v>20</v>
      </c>
      <c r="G718" t="b">
        <v>0</v>
      </c>
      <c r="H718">
        <v>6</v>
      </c>
      <c r="I718">
        <v>1</v>
      </c>
      <c r="J718">
        <v>0.12</v>
      </c>
      <c r="K718">
        <v>0.1212</v>
      </c>
      <c r="L718">
        <v>0.36</v>
      </c>
      <c r="M718">
        <v>0.25369999999999998</v>
      </c>
      <c r="N718">
        <v>0</v>
      </c>
      <c r="O718">
        <v>28</v>
      </c>
      <c r="P718">
        <v>28</v>
      </c>
      <c r="Q718" t="s">
        <v>62</v>
      </c>
      <c r="R718" t="s">
        <v>120</v>
      </c>
      <c r="S718" t="s">
        <v>24</v>
      </c>
      <c r="T718" t="s">
        <v>30</v>
      </c>
      <c r="U718" t="s">
        <v>123</v>
      </c>
    </row>
    <row r="719" spans="1:21" x14ac:dyDescent="0.3">
      <c r="A719">
        <v>183</v>
      </c>
      <c r="B719" s="1">
        <v>40551</v>
      </c>
      <c r="C719">
        <v>1</v>
      </c>
      <c r="D719">
        <v>0</v>
      </c>
      <c r="E719">
        <v>1</v>
      </c>
      <c r="F719">
        <v>21</v>
      </c>
      <c r="G719" t="b">
        <v>0</v>
      </c>
      <c r="H719">
        <v>6</v>
      </c>
      <c r="I719">
        <v>1</v>
      </c>
      <c r="J719">
        <v>0.12</v>
      </c>
      <c r="K719">
        <v>0.1061</v>
      </c>
      <c r="L719">
        <v>0.39</v>
      </c>
      <c r="M719">
        <v>0.35820000000000002</v>
      </c>
      <c r="N719">
        <v>2</v>
      </c>
      <c r="O719">
        <v>35</v>
      </c>
      <c r="P719">
        <v>37</v>
      </c>
      <c r="Q719" t="s">
        <v>62</v>
      </c>
      <c r="R719" t="s">
        <v>120</v>
      </c>
      <c r="S719" t="s">
        <v>24</v>
      </c>
      <c r="T719" t="s">
        <v>30</v>
      </c>
      <c r="U719" t="s">
        <v>123</v>
      </c>
    </row>
    <row r="720" spans="1:21" x14ac:dyDescent="0.3">
      <c r="A720">
        <v>184</v>
      </c>
      <c r="B720" s="1">
        <v>40551</v>
      </c>
      <c r="C720">
        <v>1</v>
      </c>
      <c r="D720">
        <v>0</v>
      </c>
      <c r="E720">
        <v>1</v>
      </c>
      <c r="F720">
        <v>22</v>
      </c>
      <c r="G720" t="b">
        <v>0</v>
      </c>
      <c r="H720">
        <v>6</v>
      </c>
      <c r="I720">
        <v>1</v>
      </c>
      <c r="J720">
        <v>0.12</v>
      </c>
      <c r="K720">
        <v>0.1061</v>
      </c>
      <c r="L720">
        <v>0.36</v>
      </c>
      <c r="M720">
        <v>0.3881</v>
      </c>
      <c r="N720">
        <v>1</v>
      </c>
      <c r="O720">
        <v>33</v>
      </c>
      <c r="P720">
        <v>34</v>
      </c>
      <c r="Q720" t="s">
        <v>62</v>
      </c>
      <c r="R720" t="s">
        <v>120</v>
      </c>
      <c r="S720" t="s">
        <v>24</v>
      </c>
      <c r="T720" t="s">
        <v>30</v>
      </c>
      <c r="U720" t="s">
        <v>123</v>
      </c>
    </row>
    <row r="721" spans="1:21" x14ac:dyDescent="0.3">
      <c r="A721">
        <v>185</v>
      </c>
      <c r="B721" s="1">
        <v>40551</v>
      </c>
      <c r="C721">
        <v>1</v>
      </c>
      <c r="D721">
        <v>0</v>
      </c>
      <c r="E721">
        <v>1</v>
      </c>
      <c r="F721">
        <v>23</v>
      </c>
      <c r="G721" t="b">
        <v>0</v>
      </c>
      <c r="H721">
        <v>6</v>
      </c>
      <c r="I721">
        <v>1</v>
      </c>
      <c r="J721">
        <v>0.1</v>
      </c>
      <c r="K721">
        <v>6.0600000000000001E-2</v>
      </c>
      <c r="L721">
        <v>0.39</v>
      </c>
      <c r="M721">
        <v>0.44779999999999998</v>
      </c>
      <c r="N721">
        <v>0</v>
      </c>
      <c r="O721">
        <v>22</v>
      </c>
      <c r="P721">
        <v>22</v>
      </c>
      <c r="Q721" t="s">
        <v>62</v>
      </c>
      <c r="R721" t="s">
        <v>120</v>
      </c>
      <c r="S721" t="s">
        <v>24</v>
      </c>
      <c r="T721" t="s">
        <v>30</v>
      </c>
      <c r="U721" t="s">
        <v>123</v>
      </c>
    </row>
    <row r="722" spans="1:21" x14ac:dyDescent="0.3">
      <c r="A722">
        <v>325</v>
      </c>
      <c r="B722" s="1">
        <v>40558</v>
      </c>
      <c r="C722">
        <v>1</v>
      </c>
      <c r="D722">
        <v>0</v>
      </c>
      <c r="E722">
        <v>1</v>
      </c>
      <c r="F722">
        <v>0</v>
      </c>
      <c r="G722" t="b">
        <v>0</v>
      </c>
      <c r="H722">
        <v>6</v>
      </c>
      <c r="I722">
        <v>1</v>
      </c>
      <c r="J722">
        <v>0.18</v>
      </c>
      <c r="K722">
        <v>0.2424</v>
      </c>
      <c r="L722">
        <v>0.55000000000000004</v>
      </c>
      <c r="M722">
        <v>0</v>
      </c>
      <c r="N722">
        <v>3</v>
      </c>
      <c r="O722">
        <v>25</v>
      </c>
      <c r="P722">
        <v>28</v>
      </c>
      <c r="Q722" t="s">
        <v>62</v>
      </c>
      <c r="R722" t="s">
        <v>120</v>
      </c>
      <c r="S722" t="s">
        <v>24</v>
      </c>
      <c r="T722" t="s">
        <v>30</v>
      </c>
      <c r="U722" t="s">
        <v>123</v>
      </c>
    </row>
    <row r="723" spans="1:21" x14ac:dyDescent="0.3">
      <c r="A723">
        <v>326</v>
      </c>
      <c r="B723" s="1">
        <v>40558</v>
      </c>
      <c r="C723">
        <v>1</v>
      </c>
      <c r="D723">
        <v>0</v>
      </c>
      <c r="E723">
        <v>1</v>
      </c>
      <c r="F723">
        <v>1</v>
      </c>
      <c r="G723" t="b">
        <v>0</v>
      </c>
      <c r="H723">
        <v>6</v>
      </c>
      <c r="I723">
        <v>2</v>
      </c>
      <c r="J723">
        <v>0.16</v>
      </c>
      <c r="K723">
        <v>0.19700000000000001</v>
      </c>
      <c r="L723">
        <v>0.59</v>
      </c>
      <c r="M723">
        <v>8.9599999999999999E-2</v>
      </c>
      <c r="N723">
        <v>2</v>
      </c>
      <c r="O723">
        <v>18</v>
      </c>
      <c r="P723">
        <v>20</v>
      </c>
      <c r="Q723" t="s">
        <v>64</v>
      </c>
      <c r="R723" t="s">
        <v>120</v>
      </c>
      <c r="S723" t="s">
        <v>24</v>
      </c>
      <c r="T723" t="s">
        <v>30</v>
      </c>
      <c r="U723" t="s">
        <v>124</v>
      </c>
    </row>
    <row r="724" spans="1:21" x14ac:dyDescent="0.3">
      <c r="A724">
        <v>327</v>
      </c>
      <c r="B724" s="1">
        <v>40558</v>
      </c>
      <c r="C724">
        <v>1</v>
      </c>
      <c r="D724">
        <v>0</v>
      </c>
      <c r="E724">
        <v>1</v>
      </c>
      <c r="F724">
        <v>2</v>
      </c>
      <c r="G724" t="b">
        <v>0</v>
      </c>
      <c r="H724">
        <v>6</v>
      </c>
      <c r="I724">
        <v>2</v>
      </c>
      <c r="J724">
        <v>0.16</v>
      </c>
      <c r="K724">
        <v>0.19700000000000001</v>
      </c>
      <c r="L724">
        <v>0.59</v>
      </c>
      <c r="M724">
        <v>8.9599999999999999E-2</v>
      </c>
      <c r="N724">
        <v>0</v>
      </c>
      <c r="O724">
        <v>12</v>
      </c>
      <c r="P724">
        <v>12</v>
      </c>
      <c r="Q724" t="s">
        <v>64</v>
      </c>
      <c r="R724" t="s">
        <v>120</v>
      </c>
      <c r="S724" t="s">
        <v>24</v>
      </c>
      <c r="T724" t="s">
        <v>30</v>
      </c>
      <c r="U724" t="s">
        <v>124</v>
      </c>
    </row>
    <row r="725" spans="1:21" x14ac:dyDescent="0.3">
      <c r="A725">
        <v>328</v>
      </c>
      <c r="B725" s="1">
        <v>40558</v>
      </c>
      <c r="C725">
        <v>1</v>
      </c>
      <c r="D725">
        <v>0</v>
      </c>
      <c r="E725">
        <v>1</v>
      </c>
      <c r="F725">
        <v>3</v>
      </c>
      <c r="G725" t="b">
        <v>0</v>
      </c>
      <c r="H725">
        <v>6</v>
      </c>
      <c r="I725">
        <v>2</v>
      </c>
      <c r="J725">
        <v>0.16</v>
      </c>
      <c r="K725">
        <v>0.2273</v>
      </c>
      <c r="L725">
        <v>0.59</v>
      </c>
      <c r="M725">
        <v>0</v>
      </c>
      <c r="N725">
        <v>1</v>
      </c>
      <c r="O725">
        <v>7</v>
      </c>
      <c r="P725">
        <v>8</v>
      </c>
      <c r="Q725" t="s">
        <v>64</v>
      </c>
      <c r="R725" t="s">
        <v>120</v>
      </c>
      <c r="S725" t="s">
        <v>24</v>
      </c>
      <c r="T725" t="s">
        <v>30</v>
      </c>
      <c r="U725" t="s">
        <v>124</v>
      </c>
    </row>
    <row r="726" spans="1:21" x14ac:dyDescent="0.3">
      <c r="A726">
        <v>329</v>
      </c>
      <c r="B726" s="1">
        <v>40558</v>
      </c>
      <c r="C726">
        <v>1</v>
      </c>
      <c r="D726">
        <v>0</v>
      </c>
      <c r="E726">
        <v>1</v>
      </c>
      <c r="F726">
        <v>4</v>
      </c>
      <c r="G726" t="b">
        <v>0</v>
      </c>
      <c r="H726">
        <v>6</v>
      </c>
      <c r="I726">
        <v>2</v>
      </c>
      <c r="J726">
        <v>0.16</v>
      </c>
      <c r="K726">
        <v>0.2273</v>
      </c>
      <c r="L726">
        <v>0.59</v>
      </c>
      <c r="M726">
        <v>0</v>
      </c>
      <c r="N726">
        <v>0</v>
      </c>
      <c r="O726">
        <v>5</v>
      </c>
      <c r="P726">
        <v>5</v>
      </c>
      <c r="Q726" t="s">
        <v>64</v>
      </c>
      <c r="R726" t="s">
        <v>120</v>
      </c>
      <c r="S726" t="s">
        <v>24</v>
      </c>
      <c r="T726" t="s">
        <v>30</v>
      </c>
      <c r="U726" t="s">
        <v>124</v>
      </c>
    </row>
    <row r="727" spans="1:21" x14ac:dyDescent="0.3">
      <c r="A727">
        <v>330</v>
      </c>
      <c r="B727" s="1">
        <v>40558</v>
      </c>
      <c r="C727">
        <v>1</v>
      </c>
      <c r="D727">
        <v>0</v>
      </c>
      <c r="E727">
        <v>1</v>
      </c>
      <c r="F727">
        <v>5</v>
      </c>
      <c r="G727" t="b">
        <v>0</v>
      </c>
      <c r="H727">
        <v>6</v>
      </c>
      <c r="I727">
        <v>1</v>
      </c>
      <c r="J727">
        <v>0.16</v>
      </c>
      <c r="K727">
        <v>0.2273</v>
      </c>
      <c r="L727">
        <v>0.59</v>
      </c>
      <c r="M727">
        <v>0</v>
      </c>
      <c r="N727">
        <v>0</v>
      </c>
      <c r="O727">
        <v>1</v>
      </c>
      <c r="P727">
        <v>1</v>
      </c>
      <c r="Q727" t="s">
        <v>62</v>
      </c>
      <c r="R727" t="s">
        <v>120</v>
      </c>
      <c r="S727" t="s">
        <v>24</v>
      </c>
      <c r="T727" t="s">
        <v>30</v>
      </c>
      <c r="U727" t="s">
        <v>123</v>
      </c>
    </row>
    <row r="728" spans="1:21" x14ac:dyDescent="0.3">
      <c r="A728">
        <v>331</v>
      </c>
      <c r="B728" s="1">
        <v>40558</v>
      </c>
      <c r="C728">
        <v>1</v>
      </c>
      <c r="D728">
        <v>0</v>
      </c>
      <c r="E728">
        <v>1</v>
      </c>
      <c r="F728">
        <v>6</v>
      </c>
      <c r="G728" t="b">
        <v>0</v>
      </c>
      <c r="H728">
        <v>6</v>
      </c>
      <c r="I728">
        <v>1</v>
      </c>
      <c r="J728">
        <v>0.14000000000000001</v>
      </c>
      <c r="K728">
        <v>0.16669999999999999</v>
      </c>
      <c r="L728">
        <v>0.63</v>
      </c>
      <c r="M728">
        <v>0.1045</v>
      </c>
      <c r="N728">
        <v>1</v>
      </c>
      <c r="O728">
        <v>2</v>
      </c>
      <c r="P728">
        <v>3</v>
      </c>
      <c r="Q728" t="s">
        <v>62</v>
      </c>
      <c r="R728" t="s">
        <v>120</v>
      </c>
      <c r="S728" t="s">
        <v>24</v>
      </c>
      <c r="T728" t="s">
        <v>30</v>
      </c>
      <c r="U728" t="s">
        <v>123</v>
      </c>
    </row>
    <row r="729" spans="1:21" x14ac:dyDescent="0.3">
      <c r="A729">
        <v>332</v>
      </c>
      <c r="B729" s="1">
        <v>40558</v>
      </c>
      <c r="C729">
        <v>1</v>
      </c>
      <c r="D729">
        <v>0</v>
      </c>
      <c r="E729">
        <v>1</v>
      </c>
      <c r="F729">
        <v>7</v>
      </c>
      <c r="G729" t="b">
        <v>0</v>
      </c>
      <c r="H729">
        <v>6</v>
      </c>
      <c r="I729">
        <v>1</v>
      </c>
      <c r="J729">
        <v>0.14000000000000001</v>
      </c>
      <c r="K729">
        <v>0.21210000000000001</v>
      </c>
      <c r="L729">
        <v>0.63</v>
      </c>
      <c r="M729">
        <v>0</v>
      </c>
      <c r="N729">
        <v>1</v>
      </c>
      <c r="O729">
        <v>9</v>
      </c>
      <c r="P729">
        <v>10</v>
      </c>
      <c r="Q729" t="s">
        <v>62</v>
      </c>
      <c r="R729" t="s">
        <v>120</v>
      </c>
      <c r="S729" t="s">
        <v>24</v>
      </c>
      <c r="T729" t="s">
        <v>30</v>
      </c>
      <c r="U729" t="s">
        <v>123</v>
      </c>
    </row>
    <row r="730" spans="1:21" x14ac:dyDescent="0.3">
      <c r="A730">
        <v>333</v>
      </c>
      <c r="B730" s="1">
        <v>40558</v>
      </c>
      <c r="C730">
        <v>1</v>
      </c>
      <c r="D730">
        <v>0</v>
      </c>
      <c r="E730">
        <v>1</v>
      </c>
      <c r="F730">
        <v>8</v>
      </c>
      <c r="G730" t="b">
        <v>0</v>
      </c>
      <c r="H730">
        <v>6</v>
      </c>
      <c r="I730">
        <v>1</v>
      </c>
      <c r="J730">
        <v>0.14000000000000001</v>
      </c>
      <c r="K730">
        <v>0.1515</v>
      </c>
      <c r="L730">
        <v>0.63</v>
      </c>
      <c r="M730">
        <v>0.1343</v>
      </c>
      <c r="N730">
        <v>1</v>
      </c>
      <c r="O730">
        <v>22</v>
      </c>
      <c r="P730">
        <v>23</v>
      </c>
      <c r="Q730" t="s">
        <v>62</v>
      </c>
      <c r="R730" t="s">
        <v>120</v>
      </c>
      <c r="S730" t="s">
        <v>24</v>
      </c>
      <c r="T730" t="s">
        <v>30</v>
      </c>
      <c r="U730" t="s">
        <v>123</v>
      </c>
    </row>
    <row r="731" spans="1:21" x14ac:dyDescent="0.3">
      <c r="A731">
        <v>334</v>
      </c>
      <c r="B731" s="1">
        <v>40558</v>
      </c>
      <c r="C731">
        <v>1</v>
      </c>
      <c r="D731">
        <v>0</v>
      </c>
      <c r="E731">
        <v>1</v>
      </c>
      <c r="F731">
        <v>9</v>
      </c>
      <c r="G731" t="b">
        <v>0</v>
      </c>
      <c r="H731">
        <v>6</v>
      </c>
      <c r="I731">
        <v>1</v>
      </c>
      <c r="J731">
        <v>0.16</v>
      </c>
      <c r="K731">
        <v>0.18179999999999999</v>
      </c>
      <c r="L731">
        <v>0.64</v>
      </c>
      <c r="M731">
        <v>0.1343</v>
      </c>
      <c r="N731">
        <v>2</v>
      </c>
      <c r="O731">
        <v>31</v>
      </c>
      <c r="P731">
        <v>33</v>
      </c>
      <c r="Q731" t="s">
        <v>62</v>
      </c>
      <c r="R731" t="s">
        <v>120</v>
      </c>
      <c r="S731" t="s">
        <v>24</v>
      </c>
      <c r="T731" t="s">
        <v>30</v>
      </c>
      <c r="U731" t="s">
        <v>123</v>
      </c>
    </row>
    <row r="732" spans="1:21" x14ac:dyDescent="0.3">
      <c r="A732">
        <v>335</v>
      </c>
      <c r="B732" s="1">
        <v>40558</v>
      </c>
      <c r="C732">
        <v>1</v>
      </c>
      <c r="D732">
        <v>0</v>
      </c>
      <c r="E732">
        <v>1</v>
      </c>
      <c r="F732">
        <v>10</v>
      </c>
      <c r="G732" t="b">
        <v>0</v>
      </c>
      <c r="H732">
        <v>6</v>
      </c>
      <c r="I732">
        <v>1</v>
      </c>
      <c r="J732">
        <v>0.18</v>
      </c>
      <c r="K732">
        <v>0.19700000000000001</v>
      </c>
      <c r="L732">
        <v>0.59</v>
      </c>
      <c r="M732">
        <v>0.16420000000000001</v>
      </c>
      <c r="N732">
        <v>2</v>
      </c>
      <c r="O732">
        <v>57</v>
      </c>
      <c r="P732">
        <v>59</v>
      </c>
      <c r="Q732" t="s">
        <v>62</v>
      </c>
      <c r="R732" t="s">
        <v>120</v>
      </c>
      <c r="S732" t="s">
        <v>24</v>
      </c>
      <c r="T732" t="s">
        <v>30</v>
      </c>
      <c r="U732" t="s">
        <v>123</v>
      </c>
    </row>
    <row r="733" spans="1:21" x14ac:dyDescent="0.3">
      <c r="A733">
        <v>336</v>
      </c>
      <c r="B733" s="1">
        <v>40558</v>
      </c>
      <c r="C733">
        <v>1</v>
      </c>
      <c r="D733">
        <v>0</v>
      </c>
      <c r="E733">
        <v>1</v>
      </c>
      <c r="F733">
        <v>11</v>
      </c>
      <c r="G733" t="b">
        <v>0</v>
      </c>
      <c r="H733">
        <v>6</v>
      </c>
      <c r="I733">
        <v>1</v>
      </c>
      <c r="J733">
        <v>0.2</v>
      </c>
      <c r="K733">
        <v>0.19700000000000001</v>
      </c>
      <c r="L733">
        <v>0.55000000000000004</v>
      </c>
      <c r="M733">
        <v>0.22389999999999999</v>
      </c>
      <c r="N733">
        <v>18</v>
      </c>
      <c r="O733">
        <v>54</v>
      </c>
      <c r="P733">
        <v>72</v>
      </c>
      <c r="Q733" t="s">
        <v>62</v>
      </c>
      <c r="R733" t="s">
        <v>120</v>
      </c>
      <c r="S733" t="s">
        <v>24</v>
      </c>
      <c r="T733" t="s">
        <v>30</v>
      </c>
      <c r="U733" t="s">
        <v>123</v>
      </c>
    </row>
    <row r="734" spans="1:21" x14ac:dyDescent="0.3">
      <c r="A734">
        <v>337</v>
      </c>
      <c r="B734" s="1">
        <v>40558</v>
      </c>
      <c r="C734">
        <v>1</v>
      </c>
      <c r="D734">
        <v>0</v>
      </c>
      <c r="E734">
        <v>1</v>
      </c>
      <c r="F734">
        <v>12</v>
      </c>
      <c r="G734" t="b">
        <v>0</v>
      </c>
      <c r="H734">
        <v>6</v>
      </c>
      <c r="I734">
        <v>1</v>
      </c>
      <c r="J734">
        <v>0.24</v>
      </c>
      <c r="K734">
        <v>0.2273</v>
      </c>
      <c r="L734">
        <v>0.48</v>
      </c>
      <c r="M734">
        <v>0.22389999999999999</v>
      </c>
      <c r="N734">
        <v>15</v>
      </c>
      <c r="O734">
        <v>74</v>
      </c>
      <c r="P734">
        <v>89</v>
      </c>
      <c r="Q734" t="s">
        <v>62</v>
      </c>
      <c r="R734" t="s">
        <v>120</v>
      </c>
      <c r="S734" t="s">
        <v>24</v>
      </c>
      <c r="T734" t="s">
        <v>30</v>
      </c>
      <c r="U734" t="s">
        <v>123</v>
      </c>
    </row>
    <row r="735" spans="1:21" x14ac:dyDescent="0.3">
      <c r="A735">
        <v>338</v>
      </c>
      <c r="B735" s="1">
        <v>40558</v>
      </c>
      <c r="C735">
        <v>1</v>
      </c>
      <c r="D735">
        <v>0</v>
      </c>
      <c r="E735">
        <v>1</v>
      </c>
      <c r="F735">
        <v>13</v>
      </c>
      <c r="G735" t="b">
        <v>0</v>
      </c>
      <c r="H735">
        <v>6</v>
      </c>
      <c r="I735">
        <v>1</v>
      </c>
      <c r="J735">
        <v>0.28000000000000003</v>
      </c>
      <c r="K735">
        <v>0.2576</v>
      </c>
      <c r="L735">
        <v>0.38</v>
      </c>
      <c r="M735">
        <v>0.29849999999999999</v>
      </c>
      <c r="N735">
        <v>21</v>
      </c>
      <c r="O735">
        <v>80</v>
      </c>
      <c r="P735">
        <v>101</v>
      </c>
      <c r="Q735" t="s">
        <v>62</v>
      </c>
      <c r="R735" t="s">
        <v>120</v>
      </c>
      <c r="S735" t="s">
        <v>24</v>
      </c>
      <c r="T735" t="s">
        <v>30</v>
      </c>
      <c r="U735" t="s">
        <v>123</v>
      </c>
    </row>
    <row r="736" spans="1:21" x14ac:dyDescent="0.3">
      <c r="A736">
        <v>339</v>
      </c>
      <c r="B736" s="1">
        <v>40558</v>
      </c>
      <c r="C736">
        <v>1</v>
      </c>
      <c r="D736">
        <v>0</v>
      </c>
      <c r="E736">
        <v>1</v>
      </c>
      <c r="F736">
        <v>14</v>
      </c>
      <c r="G736" t="b">
        <v>0</v>
      </c>
      <c r="H736">
        <v>6</v>
      </c>
      <c r="I736">
        <v>1</v>
      </c>
      <c r="J736">
        <v>0.3</v>
      </c>
      <c r="K736">
        <v>0.28789999999999999</v>
      </c>
      <c r="L736">
        <v>0.39</v>
      </c>
      <c r="M736">
        <v>0.28360000000000002</v>
      </c>
      <c r="N736">
        <v>26</v>
      </c>
      <c r="O736">
        <v>92</v>
      </c>
      <c r="P736">
        <v>118</v>
      </c>
      <c r="Q736" t="s">
        <v>62</v>
      </c>
      <c r="R736" t="s">
        <v>120</v>
      </c>
      <c r="S736" t="s">
        <v>24</v>
      </c>
      <c r="T736" t="s">
        <v>30</v>
      </c>
      <c r="U736" t="s">
        <v>123</v>
      </c>
    </row>
    <row r="737" spans="1:21" x14ac:dyDescent="0.3">
      <c r="A737">
        <v>340</v>
      </c>
      <c r="B737" s="1">
        <v>40558</v>
      </c>
      <c r="C737">
        <v>1</v>
      </c>
      <c r="D737">
        <v>0</v>
      </c>
      <c r="E737">
        <v>1</v>
      </c>
      <c r="F737">
        <v>15</v>
      </c>
      <c r="G737" t="b">
        <v>0</v>
      </c>
      <c r="H737">
        <v>6</v>
      </c>
      <c r="I737">
        <v>2</v>
      </c>
      <c r="J737">
        <v>0.32</v>
      </c>
      <c r="K737">
        <v>0.31819999999999998</v>
      </c>
      <c r="L737">
        <v>0.36</v>
      </c>
      <c r="M737">
        <v>0.19400000000000001</v>
      </c>
      <c r="N737">
        <v>21</v>
      </c>
      <c r="O737">
        <v>108</v>
      </c>
      <c r="P737">
        <v>129</v>
      </c>
      <c r="Q737" t="s">
        <v>64</v>
      </c>
      <c r="R737" t="s">
        <v>120</v>
      </c>
      <c r="S737" t="s">
        <v>24</v>
      </c>
      <c r="T737" t="s">
        <v>30</v>
      </c>
      <c r="U737" t="s">
        <v>124</v>
      </c>
    </row>
    <row r="738" spans="1:21" x14ac:dyDescent="0.3">
      <c r="A738">
        <v>341</v>
      </c>
      <c r="B738" s="1">
        <v>40558</v>
      </c>
      <c r="C738">
        <v>1</v>
      </c>
      <c r="D738">
        <v>0</v>
      </c>
      <c r="E738">
        <v>1</v>
      </c>
      <c r="F738">
        <v>16</v>
      </c>
      <c r="G738" t="b">
        <v>0</v>
      </c>
      <c r="H738">
        <v>6</v>
      </c>
      <c r="I738">
        <v>2</v>
      </c>
      <c r="J738">
        <v>0.34</v>
      </c>
      <c r="K738">
        <v>0.33329999999999999</v>
      </c>
      <c r="L738">
        <v>0.34</v>
      </c>
      <c r="M738">
        <v>0.19400000000000001</v>
      </c>
      <c r="N738">
        <v>33</v>
      </c>
      <c r="O738">
        <v>95</v>
      </c>
      <c r="P738">
        <v>128</v>
      </c>
      <c r="Q738" t="s">
        <v>64</v>
      </c>
      <c r="R738" t="s">
        <v>120</v>
      </c>
      <c r="S738" t="s">
        <v>24</v>
      </c>
      <c r="T738" t="s">
        <v>30</v>
      </c>
      <c r="U738" t="s">
        <v>124</v>
      </c>
    </row>
    <row r="739" spans="1:21" x14ac:dyDescent="0.3">
      <c r="A739">
        <v>342</v>
      </c>
      <c r="B739" s="1">
        <v>40558</v>
      </c>
      <c r="C739">
        <v>1</v>
      </c>
      <c r="D739">
        <v>0</v>
      </c>
      <c r="E739">
        <v>1</v>
      </c>
      <c r="F739">
        <v>17</v>
      </c>
      <c r="G739" t="b">
        <v>0</v>
      </c>
      <c r="H739">
        <v>6</v>
      </c>
      <c r="I739">
        <v>2</v>
      </c>
      <c r="J739">
        <v>0.32</v>
      </c>
      <c r="K739">
        <v>0.30299999999999999</v>
      </c>
      <c r="L739">
        <v>0.36</v>
      </c>
      <c r="M739">
        <v>0.28360000000000002</v>
      </c>
      <c r="N739">
        <v>29</v>
      </c>
      <c r="O739">
        <v>54</v>
      </c>
      <c r="P739">
        <v>83</v>
      </c>
      <c r="Q739" t="s">
        <v>64</v>
      </c>
      <c r="R739" t="s">
        <v>120</v>
      </c>
      <c r="S739" t="s">
        <v>24</v>
      </c>
      <c r="T739" t="s">
        <v>30</v>
      </c>
      <c r="U739" t="s">
        <v>124</v>
      </c>
    </row>
    <row r="740" spans="1:21" x14ac:dyDescent="0.3">
      <c r="A740">
        <v>343</v>
      </c>
      <c r="B740" s="1">
        <v>40558</v>
      </c>
      <c r="C740">
        <v>1</v>
      </c>
      <c r="D740">
        <v>0</v>
      </c>
      <c r="E740">
        <v>1</v>
      </c>
      <c r="F740">
        <v>18</v>
      </c>
      <c r="G740" t="b">
        <v>0</v>
      </c>
      <c r="H740">
        <v>6</v>
      </c>
      <c r="I740">
        <v>2</v>
      </c>
      <c r="J740">
        <v>0.3</v>
      </c>
      <c r="K740">
        <v>0.28789999999999999</v>
      </c>
      <c r="L740">
        <v>0.45</v>
      </c>
      <c r="M740">
        <v>0.25369999999999998</v>
      </c>
      <c r="N740">
        <v>15</v>
      </c>
      <c r="O740">
        <v>69</v>
      </c>
      <c r="P740">
        <v>84</v>
      </c>
      <c r="Q740" t="s">
        <v>64</v>
      </c>
      <c r="R740" t="s">
        <v>120</v>
      </c>
      <c r="S740" t="s">
        <v>24</v>
      </c>
      <c r="T740" t="s">
        <v>30</v>
      </c>
      <c r="U740" t="s">
        <v>124</v>
      </c>
    </row>
    <row r="741" spans="1:21" x14ac:dyDescent="0.3">
      <c r="A741">
        <v>344</v>
      </c>
      <c r="B741" s="1">
        <v>40558</v>
      </c>
      <c r="C741">
        <v>1</v>
      </c>
      <c r="D741">
        <v>0</v>
      </c>
      <c r="E741">
        <v>1</v>
      </c>
      <c r="F741">
        <v>19</v>
      </c>
      <c r="G741" t="b">
        <v>0</v>
      </c>
      <c r="H741">
        <v>6</v>
      </c>
      <c r="I741">
        <v>2</v>
      </c>
      <c r="J741">
        <v>0.32</v>
      </c>
      <c r="K741">
        <v>0.30299999999999999</v>
      </c>
      <c r="L741">
        <v>0.39</v>
      </c>
      <c r="M741">
        <v>0.25369999999999998</v>
      </c>
      <c r="N741">
        <v>14</v>
      </c>
      <c r="O741">
        <v>60</v>
      </c>
      <c r="P741">
        <v>74</v>
      </c>
      <c r="Q741" t="s">
        <v>64</v>
      </c>
      <c r="R741" t="s">
        <v>120</v>
      </c>
      <c r="S741" t="s">
        <v>24</v>
      </c>
      <c r="T741" t="s">
        <v>30</v>
      </c>
      <c r="U741" t="s">
        <v>124</v>
      </c>
    </row>
    <row r="742" spans="1:21" x14ac:dyDescent="0.3">
      <c r="A742">
        <v>345</v>
      </c>
      <c r="B742" s="1">
        <v>40558</v>
      </c>
      <c r="C742">
        <v>1</v>
      </c>
      <c r="D742">
        <v>0</v>
      </c>
      <c r="E742">
        <v>1</v>
      </c>
      <c r="F742">
        <v>20</v>
      </c>
      <c r="G742" t="b">
        <v>0</v>
      </c>
      <c r="H742">
        <v>6</v>
      </c>
      <c r="I742">
        <v>2</v>
      </c>
      <c r="J742">
        <v>0.32</v>
      </c>
      <c r="K742">
        <v>0.30299999999999999</v>
      </c>
      <c r="L742">
        <v>0.39</v>
      </c>
      <c r="M742">
        <v>0.25369999999999998</v>
      </c>
      <c r="N742">
        <v>6</v>
      </c>
      <c r="O742">
        <v>35</v>
      </c>
      <c r="P742">
        <v>41</v>
      </c>
      <c r="Q742" t="s">
        <v>64</v>
      </c>
      <c r="R742" t="s">
        <v>120</v>
      </c>
      <c r="S742" t="s">
        <v>24</v>
      </c>
      <c r="T742" t="s">
        <v>30</v>
      </c>
      <c r="U742" t="s">
        <v>124</v>
      </c>
    </row>
    <row r="743" spans="1:21" x14ac:dyDescent="0.3">
      <c r="A743">
        <v>346</v>
      </c>
      <c r="B743" s="1">
        <v>40558</v>
      </c>
      <c r="C743">
        <v>1</v>
      </c>
      <c r="D743">
        <v>0</v>
      </c>
      <c r="E743">
        <v>1</v>
      </c>
      <c r="F743">
        <v>21</v>
      </c>
      <c r="G743" t="b">
        <v>0</v>
      </c>
      <c r="H743">
        <v>6</v>
      </c>
      <c r="I743">
        <v>2</v>
      </c>
      <c r="J743">
        <v>0.32</v>
      </c>
      <c r="K743">
        <v>0.30299999999999999</v>
      </c>
      <c r="L743">
        <v>0.39</v>
      </c>
      <c r="M743">
        <v>0.22389999999999999</v>
      </c>
      <c r="N743">
        <v>6</v>
      </c>
      <c r="O743">
        <v>51</v>
      </c>
      <c r="P743">
        <v>57</v>
      </c>
      <c r="Q743" t="s">
        <v>64</v>
      </c>
      <c r="R743" t="s">
        <v>120</v>
      </c>
      <c r="S743" t="s">
        <v>24</v>
      </c>
      <c r="T743" t="s">
        <v>30</v>
      </c>
      <c r="U743" t="s">
        <v>124</v>
      </c>
    </row>
    <row r="744" spans="1:21" x14ac:dyDescent="0.3">
      <c r="A744">
        <v>347</v>
      </c>
      <c r="B744" s="1">
        <v>40558</v>
      </c>
      <c r="C744">
        <v>1</v>
      </c>
      <c r="D744">
        <v>0</v>
      </c>
      <c r="E744">
        <v>1</v>
      </c>
      <c r="F744">
        <v>22</v>
      </c>
      <c r="G744" t="b">
        <v>0</v>
      </c>
      <c r="H744">
        <v>6</v>
      </c>
      <c r="I744">
        <v>2</v>
      </c>
      <c r="J744">
        <v>0.3</v>
      </c>
      <c r="K744">
        <v>0.31819999999999998</v>
      </c>
      <c r="L744">
        <v>0.42</v>
      </c>
      <c r="M744">
        <v>0.1045</v>
      </c>
      <c r="N744">
        <v>0</v>
      </c>
      <c r="O744">
        <v>26</v>
      </c>
      <c r="P744">
        <v>26</v>
      </c>
      <c r="Q744" t="s">
        <v>64</v>
      </c>
      <c r="R744" t="s">
        <v>120</v>
      </c>
      <c r="S744" t="s">
        <v>24</v>
      </c>
      <c r="T744" t="s">
        <v>30</v>
      </c>
      <c r="U744" t="s">
        <v>124</v>
      </c>
    </row>
    <row r="745" spans="1:21" x14ac:dyDescent="0.3">
      <c r="A745">
        <v>348</v>
      </c>
      <c r="B745" s="1">
        <v>40558</v>
      </c>
      <c r="C745">
        <v>1</v>
      </c>
      <c r="D745">
        <v>0</v>
      </c>
      <c r="E745">
        <v>1</v>
      </c>
      <c r="F745">
        <v>23</v>
      </c>
      <c r="G745" t="b">
        <v>0</v>
      </c>
      <c r="H745">
        <v>6</v>
      </c>
      <c r="I745">
        <v>1</v>
      </c>
      <c r="J745">
        <v>0.3</v>
      </c>
      <c r="K745">
        <v>0.28789999999999999</v>
      </c>
      <c r="L745">
        <v>0.45</v>
      </c>
      <c r="M745">
        <v>0.28360000000000002</v>
      </c>
      <c r="N745">
        <v>5</v>
      </c>
      <c r="O745">
        <v>39</v>
      </c>
      <c r="P745">
        <v>44</v>
      </c>
      <c r="Q745" t="s">
        <v>62</v>
      </c>
      <c r="R745" t="s">
        <v>120</v>
      </c>
      <c r="S745" t="s">
        <v>24</v>
      </c>
      <c r="T745" t="s">
        <v>30</v>
      </c>
      <c r="U745" t="s">
        <v>123</v>
      </c>
    </row>
    <row r="746" spans="1:21" x14ac:dyDescent="0.3">
      <c r="A746">
        <v>480</v>
      </c>
      <c r="B746" s="1">
        <v>40565</v>
      </c>
      <c r="C746">
        <v>1</v>
      </c>
      <c r="D746">
        <v>0</v>
      </c>
      <c r="E746">
        <v>1</v>
      </c>
      <c r="F746">
        <v>0</v>
      </c>
      <c r="G746" t="b">
        <v>0</v>
      </c>
      <c r="H746">
        <v>6</v>
      </c>
      <c r="I746">
        <v>1</v>
      </c>
      <c r="J746">
        <v>0.04</v>
      </c>
      <c r="K746">
        <v>3.0300000000000001E-2</v>
      </c>
      <c r="L746">
        <v>0.45</v>
      </c>
      <c r="M746">
        <v>0.25369999999999998</v>
      </c>
      <c r="N746">
        <v>0</v>
      </c>
      <c r="O746">
        <v>13</v>
      </c>
      <c r="P746">
        <v>13</v>
      </c>
      <c r="Q746" t="s">
        <v>62</v>
      </c>
      <c r="R746" t="s">
        <v>120</v>
      </c>
      <c r="S746" t="s">
        <v>24</v>
      </c>
      <c r="T746" t="s">
        <v>30</v>
      </c>
      <c r="U746" t="s">
        <v>123</v>
      </c>
    </row>
    <row r="747" spans="1:21" x14ac:dyDescent="0.3">
      <c r="A747">
        <v>481</v>
      </c>
      <c r="B747" s="1">
        <v>40565</v>
      </c>
      <c r="C747">
        <v>1</v>
      </c>
      <c r="D747">
        <v>0</v>
      </c>
      <c r="E747">
        <v>1</v>
      </c>
      <c r="F747">
        <v>1</v>
      </c>
      <c r="G747" t="b">
        <v>0</v>
      </c>
      <c r="H747">
        <v>6</v>
      </c>
      <c r="I747">
        <v>2</v>
      </c>
      <c r="J747">
        <v>0.04</v>
      </c>
      <c r="K747">
        <v>0</v>
      </c>
      <c r="L747">
        <v>0.41</v>
      </c>
      <c r="M747">
        <v>0.3881</v>
      </c>
      <c r="N747">
        <v>3</v>
      </c>
      <c r="O747">
        <v>9</v>
      </c>
      <c r="P747">
        <v>12</v>
      </c>
      <c r="Q747" t="s">
        <v>64</v>
      </c>
      <c r="R747" t="s">
        <v>120</v>
      </c>
      <c r="S747" t="s">
        <v>24</v>
      </c>
      <c r="T747" t="s">
        <v>30</v>
      </c>
      <c r="U747" t="s">
        <v>124</v>
      </c>
    </row>
    <row r="748" spans="1:21" x14ac:dyDescent="0.3">
      <c r="A748">
        <v>482</v>
      </c>
      <c r="B748" s="1">
        <v>40565</v>
      </c>
      <c r="C748">
        <v>1</v>
      </c>
      <c r="D748">
        <v>0</v>
      </c>
      <c r="E748">
        <v>1</v>
      </c>
      <c r="F748">
        <v>2</v>
      </c>
      <c r="G748" t="b">
        <v>0</v>
      </c>
      <c r="H748">
        <v>6</v>
      </c>
      <c r="I748">
        <v>2</v>
      </c>
      <c r="J748">
        <v>0.04</v>
      </c>
      <c r="K748">
        <v>3.0300000000000001E-2</v>
      </c>
      <c r="L748">
        <v>0.41</v>
      </c>
      <c r="M748">
        <v>0.25369999999999998</v>
      </c>
      <c r="N748">
        <v>0</v>
      </c>
      <c r="O748">
        <v>11</v>
      </c>
      <c r="P748">
        <v>11</v>
      </c>
      <c r="Q748" t="s">
        <v>64</v>
      </c>
      <c r="R748" t="s">
        <v>120</v>
      </c>
      <c r="S748" t="s">
        <v>24</v>
      </c>
      <c r="T748" t="s">
        <v>30</v>
      </c>
      <c r="U748" t="s">
        <v>124</v>
      </c>
    </row>
    <row r="749" spans="1:21" x14ac:dyDescent="0.3">
      <c r="A749">
        <v>483</v>
      </c>
      <c r="B749" s="1">
        <v>40565</v>
      </c>
      <c r="C749">
        <v>1</v>
      </c>
      <c r="D749">
        <v>0</v>
      </c>
      <c r="E749">
        <v>1</v>
      </c>
      <c r="F749">
        <v>3</v>
      </c>
      <c r="G749" t="b">
        <v>0</v>
      </c>
      <c r="H749">
        <v>6</v>
      </c>
      <c r="I749">
        <v>2</v>
      </c>
      <c r="J749">
        <v>0.04</v>
      </c>
      <c r="K749">
        <v>3.0300000000000001E-2</v>
      </c>
      <c r="L749">
        <v>0.41</v>
      </c>
      <c r="M749">
        <v>0.28360000000000002</v>
      </c>
      <c r="N749">
        <v>1</v>
      </c>
      <c r="O749">
        <v>6</v>
      </c>
      <c r="P749">
        <v>7</v>
      </c>
      <c r="Q749" t="s">
        <v>64</v>
      </c>
      <c r="R749" t="s">
        <v>120</v>
      </c>
      <c r="S749" t="s">
        <v>24</v>
      </c>
      <c r="T749" t="s">
        <v>30</v>
      </c>
      <c r="U749" t="s">
        <v>124</v>
      </c>
    </row>
    <row r="750" spans="1:21" x14ac:dyDescent="0.3">
      <c r="A750">
        <v>484</v>
      </c>
      <c r="B750" s="1">
        <v>40565</v>
      </c>
      <c r="C750">
        <v>1</v>
      </c>
      <c r="D750">
        <v>0</v>
      </c>
      <c r="E750">
        <v>1</v>
      </c>
      <c r="F750">
        <v>4</v>
      </c>
      <c r="G750" t="b">
        <v>0</v>
      </c>
      <c r="H750">
        <v>6</v>
      </c>
      <c r="I750">
        <v>2</v>
      </c>
      <c r="J750">
        <v>0.02</v>
      </c>
      <c r="K750">
        <v>1.52E-2</v>
      </c>
      <c r="L750">
        <v>0.48</v>
      </c>
      <c r="M750">
        <v>0.29849999999999999</v>
      </c>
      <c r="N750">
        <v>0</v>
      </c>
      <c r="O750">
        <v>3</v>
      </c>
      <c r="P750">
        <v>3</v>
      </c>
      <c r="Q750" t="s">
        <v>64</v>
      </c>
      <c r="R750" t="s">
        <v>120</v>
      </c>
      <c r="S750" t="s">
        <v>24</v>
      </c>
      <c r="T750" t="s">
        <v>30</v>
      </c>
      <c r="U750" t="s">
        <v>124</v>
      </c>
    </row>
    <row r="751" spans="1:21" x14ac:dyDescent="0.3">
      <c r="A751">
        <v>485</v>
      </c>
      <c r="B751" s="1">
        <v>40565</v>
      </c>
      <c r="C751">
        <v>1</v>
      </c>
      <c r="D751">
        <v>0</v>
      </c>
      <c r="E751">
        <v>1</v>
      </c>
      <c r="F751">
        <v>6</v>
      </c>
      <c r="G751" t="b">
        <v>0</v>
      </c>
      <c r="H751">
        <v>6</v>
      </c>
      <c r="I751">
        <v>2</v>
      </c>
      <c r="J751">
        <v>0.02</v>
      </c>
      <c r="K751">
        <v>3.0300000000000001E-2</v>
      </c>
      <c r="L751">
        <v>0.44</v>
      </c>
      <c r="M751">
        <v>0.22389999999999999</v>
      </c>
      <c r="N751">
        <v>0</v>
      </c>
      <c r="O751">
        <v>2</v>
      </c>
      <c r="P751">
        <v>2</v>
      </c>
      <c r="Q751" t="s">
        <v>64</v>
      </c>
      <c r="R751" t="s">
        <v>120</v>
      </c>
      <c r="S751" t="s">
        <v>24</v>
      </c>
      <c r="T751" t="s">
        <v>30</v>
      </c>
      <c r="U751" t="s">
        <v>124</v>
      </c>
    </row>
    <row r="752" spans="1:21" x14ac:dyDescent="0.3">
      <c r="A752">
        <v>486</v>
      </c>
      <c r="B752" s="1">
        <v>40565</v>
      </c>
      <c r="C752">
        <v>1</v>
      </c>
      <c r="D752">
        <v>0</v>
      </c>
      <c r="E752">
        <v>1</v>
      </c>
      <c r="F752">
        <v>7</v>
      </c>
      <c r="G752" t="b">
        <v>0</v>
      </c>
      <c r="H752">
        <v>6</v>
      </c>
      <c r="I752">
        <v>1</v>
      </c>
      <c r="J752">
        <v>0.02</v>
      </c>
      <c r="K752">
        <v>1.52E-2</v>
      </c>
      <c r="L752">
        <v>0.44</v>
      </c>
      <c r="M752">
        <v>0.28360000000000002</v>
      </c>
      <c r="N752">
        <v>0</v>
      </c>
      <c r="O752">
        <v>8</v>
      </c>
      <c r="P752">
        <v>8</v>
      </c>
      <c r="Q752" t="s">
        <v>62</v>
      </c>
      <c r="R752" t="s">
        <v>120</v>
      </c>
      <c r="S752" t="s">
        <v>24</v>
      </c>
      <c r="T752" t="s">
        <v>30</v>
      </c>
      <c r="U752" t="s">
        <v>123</v>
      </c>
    </row>
    <row r="753" spans="1:21" x14ac:dyDescent="0.3">
      <c r="A753">
        <v>487</v>
      </c>
      <c r="B753" s="1">
        <v>40565</v>
      </c>
      <c r="C753">
        <v>1</v>
      </c>
      <c r="D753">
        <v>0</v>
      </c>
      <c r="E753">
        <v>1</v>
      </c>
      <c r="F753">
        <v>8</v>
      </c>
      <c r="G753" t="b">
        <v>0</v>
      </c>
      <c r="H753">
        <v>6</v>
      </c>
      <c r="I753">
        <v>1</v>
      </c>
      <c r="J753">
        <v>0.02</v>
      </c>
      <c r="K753">
        <v>0</v>
      </c>
      <c r="L753">
        <v>0.44</v>
      </c>
      <c r="M753">
        <v>0.32840000000000003</v>
      </c>
      <c r="N753">
        <v>1</v>
      </c>
      <c r="O753">
        <v>26</v>
      </c>
      <c r="P753">
        <v>27</v>
      </c>
      <c r="Q753" t="s">
        <v>62</v>
      </c>
      <c r="R753" t="s">
        <v>120</v>
      </c>
      <c r="S753" t="s">
        <v>24</v>
      </c>
      <c r="T753" t="s">
        <v>30</v>
      </c>
      <c r="U753" t="s">
        <v>123</v>
      </c>
    </row>
    <row r="754" spans="1:21" x14ac:dyDescent="0.3">
      <c r="A754">
        <v>488</v>
      </c>
      <c r="B754" s="1">
        <v>40565</v>
      </c>
      <c r="C754">
        <v>1</v>
      </c>
      <c r="D754">
        <v>0</v>
      </c>
      <c r="E754">
        <v>1</v>
      </c>
      <c r="F754">
        <v>9</v>
      </c>
      <c r="G754" t="b">
        <v>0</v>
      </c>
      <c r="H754">
        <v>6</v>
      </c>
      <c r="I754">
        <v>1</v>
      </c>
      <c r="J754">
        <v>0.04</v>
      </c>
      <c r="K754">
        <v>3.0300000000000001E-2</v>
      </c>
      <c r="L754">
        <v>0.41</v>
      </c>
      <c r="M754">
        <v>0.25369999999999998</v>
      </c>
      <c r="N754">
        <v>3</v>
      </c>
      <c r="O754">
        <v>37</v>
      </c>
      <c r="P754">
        <v>40</v>
      </c>
      <c r="Q754" t="s">
        <v>62</v>
      </c>
      <c r="R754" t="s">
        <v>120</v>
      </c>
      <c r="S754" t="s">
        <v>24</v>
      </c>
      <c r="T754" t="s">
        <v>30</v>
      </c>
      <c r="U754" t="s">
        <v>123</v>
      </c>
    </row>
    <row r="755" spans="1:21" x14ac:dyDescent="0.3">
      <c r="A755">
        <v>489</v>
      </c>
      <c r="B755" s="1">
        <v>40565</v>
      </c>
      <c r="C755">
        <v>1</v>
      </c>
      <c r="D755">
        <v>0</v>
      </c>
      <c r="E755">
        <v>1</v>
      </c>
      <c r="F755">
        <v>10</v>
      </c>
      <c r="G755" t="b">
        <v>0</v>
      </c>
      <c r="H755">
        <v>6</v>
      </c>
      <c r="I755">
        <v>2</v>
      </c>
      <c r="J755">
        <v>0.04</v>
      </c>
      <c r="K755">
        <v>6.0600000000000001E-2</v>
      </c>
      <c r="L755">
        <v>0.41</v>
      </c>
      <c r="M755">
        <v>0.16420000000000001</v>
      </c>
      <c r="N755">
        <v>3</v>
      </c>
      <c r="O755">
        <v>50</v>
      </c>
      <c r="P755">
        <v>53</v>
      </c>
      <c r="Q755" t="s">
        <v>64</v>
      </c>
      <c r="R755" t="s">
        <v>120</v>
      </c>
      <c r="S755" t="s">
        <v>24</v>
      </c>
      <c r="T755" t="s">
        <v>30</v>
      </c>
      <c r="U755" t="s">
        <v>124</v>
      </c>
    </row>
    <row r="756" spans="1:21" x14ac:dyDescent="0.3">
      <c r="A756">
        <v>490</v>
      </c>
      <c r="B756" s="1">
        <v>40565</v>
      </c>
      <c r="C756">
        <v>1</v>
      </c>
      <c r="D756">
        <v>0</v>
      </c>
      <c r="E756">
        <v>1</v>
      </c>
      <c r="F756">
        <v>11</v>
      </c>
      <c r="G756" t="b">
        <v>0</v>
      </c>
      <c r="H756">
        <v>6</v>
      </c>
      <c r="I756">
        <v>2</v>
      </c>
      <c r="J756">
        <v>0.06</v>
      </c>
      <c r="K756">
        <v>7.5800000000000006E-2</v>
      </c>
      <c r="L756">
        <v>0.38</v>
      </c>
      <c r="M756">
        <v>0.1343</v>
      </c>
      <c r="N756">
        <v>4</v>
      </c>
      <c r="O756">
        <v>59</v>
      </c>
      <c r="P756">
        <v>63</v>
      </c>
      <c r="Q756" t="s">
        <v>64</v>
      </c>
      <c r="R756" t="s">
        <v>120</v>
      </c>
      <c r="S756" t="s">
        <v>24</v>
      </c>
      <c r="T756" t="s">
        <v>30</v>
      </c>
      <c r="U756" t="s">
        <v>124</v>
      </c>
    </row>
    <row r="757" spans="1:21" x14ac:dyDescent="0.3">
      <c r="A757">
        <v>491</v>
      </c>
      <c r="B757" s="1">
        <v>40565</v>
      </c>
      <c r="C757">
        <v>1</v>
      </c>
      <c r="D757">
        <v>0</v>
      </c>
      <c r="E757">
        <v>1</v>
      </c>
      <c r="F757">
        <v>12</v>
      </c>
      <c r="G757" t="b">
        <v>0</v>
      </c>
      <c r="H757">
        <v>6</v>
      </c>
      <c r="I757">
        <v>2</v>
      </c>
      <c r="J757">
        <v>0.06</v>
      </c>
      <c r="K757">
        <v>0.1061</v>
      </c>
      <c r="L757">
        <v>0.38</v>
      </c>
      <c r="M757">
        <v>0.1045</v>
      </c>
      <c r="N757">
        <v>10</v>
      </c>
      <c r="O757">
        <v>60</v>
      </c>
      <c r="P757">
        <v>70</v>
      </c>
      <c r="Q757" t="s">
        <v>64</v>
      </c>
      <c r="R757" t="s">
        <v>120</v>
      </c>
      <c r="S757" t="s">
        <v>24</v>
      </c>
      <c r="T757" t="s">
        <v>30</v>
      </c>
      <c r="U757" t="s">
        <v>124</v>
      </c>
    </row>
    <row r="758" spans="1:21" x14ac:dyDescent="0.3">
      <c r="A758">
        <v>492</v>
      </c>
      <c r="B758" s="1">
        <v>40565</v>
      </c>
      <c r="C758">
        <v>1</v>
      </c>
      <c r="D758">
        <v>0</v>
      </c>
      <c r="E758">
        <v>1</v>
      </c>
      <c r="F758">
        <v>13</v>
      </c>
      <c r="G758" t="b">
        <v>0</v>
      </c>
      <c r="H758">
        <v>6</v>
      </c>
      <c r="I758">
        <v>1</v>
      </c>
      <c r="J758">
        <v>0.08</v>
      </c>
      <c r="K758">
        <v>0.16669999999999999</v>
      </c>
      <c r="L758">
        <v>0.35</v>
      </c>
      <c r="M758">
        <v>0</v>
      </c>
      <c r="N758">
        <v>12</v>
      </c>
      <c r="O758">
        <v>72</v>
      </c>
      <c r="P758">
        <v>84</v>
      </c>
      <c r="Q758" t="s">
        <v>62</v>
      </c>
      <c r="R758" t="s">
        <v>120</v>
      </c>
      <c r="S758" t="s">
        <v>24</v>
      </c>
      <c r="T758" t="s">
        <v>30</v>
      </c>
      <c r="U758" t="s">
        <v>123</v>
      </c>
    </row>
    <row r="759" spans="1:21" x14ac:dyDescent="0.3">
      <c r="A759">
        <v>493</v>
      </c>
      <c r="B759" s="1">
        <v>40565</v>
      </c>
      <c r="C759">
        <v>1</v>
      </c>
      <c r="D759">
        <v>0</v>
      </c>
      <c r="E759">
        <v>1</v>
      </c>
      <c r="F759">
        <v>14</v>
      </c>
      <c r="G759" t="b">
        <v>0</v>
      </c>
      <c r="H759">
        <v>6</v>
      </c>
      <c r="I759">
        <v>1</v>
      </c>
      <c r="J759">
        <v>0.1</v>
      </c>
      <c r="K759">
        <v>0.13639999999999999</v>
      </c>
      <c r="L759">
        <v>0.33</v>
      </c>
      <c r="M759">
        <v>0.1045</v>
      </c>
      <c r="N759">
        <v>11</v>
      </c>
      <c r="O759">
        <v>64</v>
      </c>
      <c r="P759">
        <v>75</v>
      </c>
      <c r="Q759" t="s">
        <v>62</v>
      </c>
      <c r="R759" t="s">
        <v>120</v>
      </c>
      <c r="S759" t="s">
        <v>24</v>
      </c>
      <c r="T759" t="s">
        <v>30</v>
      </c>
      <c r="U759" t="s">
        <v>123</v>
      </c>
    </row>
    <row r="760" spans="1:21" x14ac:dyDescent="0.3">
      <c r="A760">
        <v>494</v>
      </c>
      <c r="B760" s="1">
        <v>40565</v>
      </c>
      <c r="C760">
        <v>1</v>
      </c>
      <c r="D760">
        <v>0</v>
      </c>
      <c r="E760">
        <v>1</v>
      </c>
      <c r="F760">
        <v>15</v>
      </c>
      <c r="G760" t="b">
        <v>0</v>
      </c>
      <c r="H760">
        <v>6</v>
      </c>
      <c r="I760">
        <v>1</v>
      </c>
      <c r="J760">
        <v>0.12</v>
      </c>
      <c r="K760">
        <v>0.1515</v>
      </c>
      <c r="L760">
        <v>0.28000000000000003</v>
      </c>
      <c r="M760">
        <v>0</v>
      </c>
      <c r="N760">
        <v>10</v>
      </c>
      <c r="O760">
        <v>93</v>
      </c>
      <c r="P760">
        <v>103</v>
      </c>
      <c r="Q760" t="s">
        <v>62</v>
      </c>
      <c r="R760" t="s">
        <v>120</v>
      </c>
      <c r="S760" t="s">
        <v>24</v>
      </c>
      <c r="T760" t="s">
        <v>30</v>
      </c>
      <c r="U760" t="s">
        <v>123</v>
      </c>
    </row>
    <row r="761" spans="1:21" x14ac:dyDescent="0.3">
      <c r="A761">
        <v>495</v>
      </c>
      <c r="B761" s="1">
        <v>40565</v>
      </c>
      <c r="C761">
        <v>1</v>
      </c>
      <c r="D761">
        <v>0</v>
      </c>
      <c r="E761">
        <v>1</v>
      </c>
      <c r="F761">
        <v>16</v>
      </c>
      <c r="G761" t="b">
        <v>0</v>
      </c>
      <c r="H761">
        <v>6</v>
      </c>
      <c r="I761">
        <v>1</v>
      </c>
      <c r="J761">
        <v>0.12</v>
      </c>
      <c r="K761">
        <v>0.13639999999999999</v>
      </c>
      <c r="L761">
        <v>0.28000000000000003</v>
      </c>
      <c r="M761">
        <v>0.19400000000000001</v>
      </c>
      <c r="N761">
        <v>11</v>
      </c>
      <c r="O761">
        <v>72</v>
      </c>
      <c r="P761">
        <v>83</v>
      </c>
      <c r="Q761" t="s">
        <v>62</v>
      </c>
      <c r="R761" t="s">
        <v>120</v>
      </c>
      <c r="S761" t="s">
        <v>24</v>
      </c>
      <c r="T761" t="s">
        <v>30</v>
      </c>
      <c r="U761" t="s">
        <v>123</v>
      </c>
    </row>
    <row r="762" spans="1:21" x14ac:dyDescent="0.3">
      <c r="A762">
        <v>496</v>
      </c>
      <c r="B762" s="1">
        <v>40565</v>
      </c>
      <c r="C762">
        <v>1</v>
      </c>
      <c r="D762">
        <v>0</v>
      </c>
      <c r="E762">
        <v>1</v>
      </c>
      <c r="F762">
        <v>17</v>
      </c>
      <c r="G762" t="b">
        <v>0</v>
      </c>
      <c r="H762">
        <v>6</v>
      </c>
      <c r="I762">
        <v>1</v>
      </c>
      <c r="J762">
        <v>0.12</v>
      </c>
      <c r="K762">
        <v>0.19700000000000001</v>
      </c>
      <c r="L762">
        <v>0.28000000000000003</v>
      </c>
      <c r="M762">
        <v>0</v>
      </c>
      <c r="N762">
        <v>8</v>
      </c>
      <c r="O762">
        <v>59</v>
      </c>
      <c r="P762">
        <v>67</v>
      </c>
      <c r="Q762" t="s">
        <v>62</v>
      </c>
      <c r="R762" t="s">
        <v>120</v>
      </c>
      <c r="S762" t="s">
        <v>24</v>
      </c>
      <c r="T762" t="s">
        <v>30</v>
      </c>
      <c r="U762" t="s">
        <v>123</v>
      </c>
    </row>
    <row r="763" spans="1:21" x14ac:dyDescent="0.3">
      <c r="A763">
        <v>497</v>
      </c>
      <c r="B763" s="1">
        <v>40565</v>
      </c>
      <c r="C763">
        <v>1</v>
      </c>
      <c r="D763">
        <v>0</v>
      </c>
      <c r="E763">
        <v>1</v>
      </c>
      <c r="F763">
        <v>18</v>
      </c>
      <c r="G763" t="b">
        <v>0</v>
      </c>
      <c r="H763">
        <v>6</v>
      </c>
      <c r="I763">
        <v>1</v>
      </c>
      <c r="J763">
        <v>0.08</v>
      </c>
      <c r="K763">
        <v>9.0899999999999995E-2</v>
      </c>
      <c r="L763">
        <v>0.35</v>
      </c>
      <c r="M763">
        <v>0.19400000000000001</v>
      </c>
      <c r="N763">
        <v>0</v>
      </c>
      <c r="O763">
        <v>54</v>
      </c>
      <c r="P763">
        <v>54</v>
      </c>
      <c r="Q763" t="s">
        <v>62</v>
      </c>
      <c r="R763" t="s">
        <v>120</v>
      </c>
      <c r="S763" t="s">
        <v>24</v>
      </c>
      <c r="T763" t="s">
        <v>30</v>
      </c>
      <c r="U763" t="s">
        <v>123</v>
      </c>
    </row>
    <row r="764" spans="1:21" x14ac:dyDescent="0.3">
      <c r="A764">
        <v>498</v>
      </c>
      <c r="B764" s="1">
        <v>40565</v>
      </c>
      <c r="C764">
        <v>1</v>
      </c>
      <c r="D764">
        <v>0</v>
      </c>
      <c r="E764">
        <v>1</v>
      </c>
      <c r="F764">
        <v>19</v>
      </c>
      <c r="G764" t="b">
        <v>0</v>
      </c>
      <c r="H764">
        <v>6</v>
      </c>
      <c r="I764">
        <v>1</v>
      </c>
      <c r="J764">
        <v>0.08</v>
      </c>
      <c r="K764">
        <v>0.1061</v>
      </c>
      <c r="L764">
        <v>0.35</v>
      </c>
      <c r="M764">
        <v>0.1343</v>
      </c>
      <c r="N764">
        <v>6</v>
      </c>
      <c r="O764">
        <v>53</v>
      </c>
      <c r="P764">
        <v>59</v>
      </c>
      <c r="Q764" t="s">
        <v>62</v>
      </c>
      <c r="R764" t="s">
        <v>120</v>
      </c>
      <c r="S764" t="s">
        <v>24</v>
      </c>
      <c r="T764" t="s">
        <v>30</v>
      </c>
      <c r="U764" t="s">
        <v>123</v>
      </c>
    </row>
    <row r="765" spans="1:21" x14ac:dyDescent="0.3">
      <c r="A765">
        <v>499</v>
      </c>
      <c r="B765" s="1">
        <v>40565</v>
      </c>
      <c r="C765">
        <v>1</v>
      </c>
      <c r="D765">
        <v>0</v>
      </c>
      <c r="E765">
        <v>1</v>
      </c>
      <c r="F765">
        <v>20</v>
      </c>
      <c r="G765" t="b">
        <v>0</v>
      </c>
      <c r="H765">
        <v>6</v>
      </c>
      <c r="I765">
        <v>1</v>
      </c>
      <c r="J765">
        <v>0.06</v>
      </c>
      <c r="K765">
        <v>7.5800000000000006E-2</v>
      </c>
      <c r="L765">
        <v>0.45</v>
      </c>
      <c r="M765">
        <v>0.16420000000000001</v>
      </c>
      <c r="N765">
        <v>1</v>
      </c>
      <c r="O765">
        <v>44</v>
      </c>
      <c r="P765">
        <v>45</v>
      </c>
      <c r="Q765" t="s">
        <v>62</v>
      </c>
      <c r="R765" t="s">
        <v>120</v>
      </c>
      <c r="S765" t="s">
        <v>24</v>
      </c>
      <c r="T765" t="s">
        <v>30</v>
      </c>
      <c r="U765" t="s">
        <v>123</v>
      </c>
    </row>
    <row r="766" spans="1:21" x14ac:dyDescent="0.3">
      <c r="A766">
        <v>500</v>
      </c>
      <c r="B766" s="1">
        <v>40565</v>
      </c>
      <c r="C766">
        <v>1</v>
      </c>
      <c r="D766">
        <v>0</v>
      </c>
      <c r="E766">
        <v>1</v>
      </c>
      <c r="F766">
        <v>21</v>
      </c>
      <c r="G766" t="b">
        <v>0</v>
      </c>
      <c r="H766">
        <v>6</v>
      </c>
      <c r="I766">
        <v>1</v>
      </c>
      <c r="J766">
        <v>0.06</v>
      </c>
      <c r="K766">
        <v>0.1061</v>
      </c>
      <c r="L766">
        <v>0.41</v>
      </c>
      <c r="M766">
        <v>8.9599999999999999E-2</v>
      </c>
      <c r="N766">
        <v>0</v>
      </c>
      <c r="O766">
        <v>39</v>
      </c>
      <c r="P766">
        <v>39</v>
      </c>
      <c r="Q766" t="s">
        <v>62</v>
      </c>
      <c r="R766" t="s">
        <v>120</v>
      </c>
      <c r="S766" t="s">
        <v>24</v>
      </c>
      <c r="T766" t="s">
        <v>30</v>
      </c>
      <c r="U766" t="s">
        <v>123</v>
      </c>
    </row>
    <row r="767" spans="1:21" x14ac:dyDescent="0.3">
      <c r="A767">
        <v>501</v>
      </c>
      <c r="B767" s="1">
        <v>40565</v>
      </c>
      <c r="C767">
        <v>1</v>
      </c>
      <c r="D767">
        <v>0</v>
      </c>
      <c r="E767">
        <v>1</v>
      </c>
      <c r="F767">
        <v>22</v>
      </c>
      <c r="G767" t="b">
        <v>0</v>
      </c>
      <c r="H767">
        <v>6</v>
      </c>
      <c r="I767">
        <v>1</v>
      </c>
      <c r="J767">
        <v>0.06</v>
      </c>
      <c r="K767">
        <v>0.1515</v>
      </c>
      <c r="L767">
        <v>0.49</v>
      </c>
      <c r="M767">
        <v>0</v>
      </c>
      <c r="N767">
        <v>7</v>
      </c>
      <c r="O767">
        <v>23</v>
      </c>
      <c r="P767">
        <v>30</v>
      </c>
      <c r="Q767" t="s">
        <v>62</v>
      </c>
      <c r="R767" t="s">
        <v>120</v>
      </c>
      <c r="S767" t="s">
        <v>24</v>
      </c>
      <c r="T767" t="s">
        <v>30</v>
      </c>
      <c r="U767" t="s">
        <v>123</v>
      </c>
    </row>
    <row r="768" spans="1:21" x14ac:dyDescent="0.3">
      <c r="A768">
        <v>502</v>
      </c>
      <c r="B768" s="1">
        <v>40565</v>
      </c>
      <c r="C768">
        <v>1</v>
      </c>
      <c r="D768">
        <v>0</v>
      </c>
      <c r="E768">
        <v>1</v>
      </c>
      <c r="F768">
        <v>23</v>
      </c>
      <c r="G768" t="b">
        <v>0</v>
      </c>
      <c r="H768">
        <v>6</v>
      </c>
      <c r="I768">
        <v>1</v>
      </c>
      <c r="J768">
        <v>0.04</v>
      </c>
      <c r="K768">
        <v>7.5800000000000006E-2</v>
      </c>
      <c r="L768">
        <v>0.56999999999999995</v>
      </c>
      <c r="M768">
        <v>0.1045</v>
      </c>
      <c r="N768">
        <v>2</v>
      </c>
      <c r="O768">
        <v>31</v>
      </c>
      <c r="P768">
        <v>33</v>
      </c>
      <c r="Q768" t="s">
        <v>62</v>
      </c>
      <c r="R768" t="s">
        <v>120</v>
      </c>
      <c r="S768" t="s">
        <v>24</v>
      </c>
      <c r="T768" t="s">
        <v>30</v>
      </c>
      <c r="U768" t="s">
        <v>123</v>
      </c>
    </row>
    <row r="769" spans="1:21" x14ac:dyDescent="0.3">
      <c r="A769">
        <v>619</v>
      </c>
      <c r="B769" s="1">
        <v>40572</v>
      </c>
      <c r="C769">
        <v>1</v>
      </c>
      <c r="D769">
        <v>0</v>
      </c>
      <c r="E769">
        <v>1</v>
      </c>
      <c r="F769">
        <v>0</v>
      </c>
      <c r="G769" t="b">
        <v>0</v>
      </c>
      <c r="H769">
        <v>6</v>
      </c>
      <c r="I769">
        <v>1</v>
      </c>
      <c r="J769">
        <v>0.22</v>
      </c>
      <c r="K769">
        <v>0.19700000000000001</v>
      </c>
      <c r="L769">
        <v>0.64</v>
      </c>
      <c r="M769">
        <v>0.35820000000000002</v>
      </c>
      <c r="N769">
        <v>2</v>
      </c>
      <c r="O769">
        <v>26</v>
      </c>
      <c r="P769">
        <v>28</v>
      </c>
      <c r="Q769" t="s">
        <v>62</v>
      </c>
      <c r="R769" t="s">
        <v>120</v>
      </c>
      <c r="S769" t="s">
        <v>24</v>
      </c>
      <c r="T769" t="s">
        <v>30</v>
      </c>
      <c r="U769" t="s">
        <v>123</v>
      </c>
    </row>
    <row r="770" spans="1:21" x14ac:dyDescent="0.3">
      <c r="A770">
        <v>620</v>
      </c>
      <c r="B770" s="1">
        <v>40572</v>
      </c>
      <c r="C770">
        <v>1</v>
      </c>
      <c r="D770">
        <v>0</v>
      </c>
      <c r="E770">
        <v>1</v>
      </c>
      <c r="F770">
        <v>1</v>
      </c>
      <c r="G770" t="b">
        <v>0</v>
      </c>
      <c r="H770">
        <v>6</v>
      </c>
      <c r="I770">
        <v>1</v>
      </c>
      <c r="J770">
        <v>0.22</v>
      </c>
      <c r="K770">
        <v>0.2273</v>
      </c>
      <c r="L770">
        <v>0.64</v>
      </c>
      <c r="M770">
        <v>0.19400000000000001</v>
      </c>
      <c r="N770">
        <v>0</v>
      </c>
      <c r="O770">
        <v>20</v>
      </c>
      <c r="P770">
        <v>20</v>
      </c>
      <c r="Q770" t="s">
        <v>62</v>
      </c>
      <c r="R770" t="s">
        <v>120</v>
      </c>
      <c r="S770" t="s">
        <v>24</v>
      </c>
      <c r="T770" t="s">
        <v>30</v>
      </c>
      <c r="U770" t="s">
        <v>123</v>
      </c>
    </row>
    <row r="771" spans="1:21" x14ac:dyDescent="0.3">
      <c r="A771">
        <v>621</v>
      </c>
      <c r="B771" s="1">
        <v>40572</v>
      </c>
      <c r="C771">
        <v>1</v>
      </c>
      <c r="D771">
        <v>0</v>
      </c>
      <c r="E771">
        <v>1</v>
      </c>
      <c r="F771">
        <v>2</v>
      </c>
      <c r="G771" t="b">
        <v>0</v>
      </c>
      <c r="H771">
        <v>6</v>
      </c>
      <c r="I771">
        <v>1</v>
      </c>
      <c r="J771">
        <v>0.22</v>
      </c>
      <c r="K771">
        <v>0.2273</v>
      </c>
      <c r="L771">
        <v>0.64</v>
      </c>
      <c r="M771">
        <v>0.16420000000000001</v>
      </c>
      <c r="N771">
        <v>0</v>
      </c>
      <c r="O771">
        <v>15</v>
      </c>
      <c r="P771">
        <v>15</v>
      </c>
      <c r="Q771" t="s">
        <v>62</v>
      </c>
      <c r="R771" t="s">
        <v>120</v>
      </c>
      <c r="S771" t="s">
        <v>24</v>
      </c>
      <c r="T771" t="s">
        <v>30</v>
      </c>
      <c r="U771" t="s">
        <v>123</v>
      </c>
    </row>
    <row r="772" spans="1:21" x14ac:dyDescent="0.3">
      <c r="A772">
        <v>622</v>
      </c>
      <c r="B772" s="1">
        <v>40572</v>
      </c>
      <c r="C772">
        <v>1</v>
      </c>
      <c r="D772">
        <v>0</v>
      </c>
      <c r="E772">
        <v>1</v>
      </c>
      <c r="F772">
        <v>3</v>
      </c>
      <c r="G772" t="b">
        <v>0</v>
      </c>
      <c r="H772">
        <v>6</v>
      </c>
      <c r="I772">
        <v>1</v>
      </c>
      <c r="J772">
        <v>0.2</v>
      </c>
      <c r="K772">
        <v>0.21210000000000001</v>
      </c>
      <c r="L772">
        <v>0.64</v>
      </c>
      <c r="M772">
        <v>0.1343</v>
      </c>
      <c r="N772">
        <v>3</v>
      </c>
      <c r="O772">
        <v>5</v>
      </c>
      <c r="P772">
        <v>8</v>
      </c>
      <c r="Q772" t="s">
        <v>62</v>
      </c>
      <c r="R772" t="s">
        <v>120</v>
      </c>
      <c r="S772" t="s">
        <v>24</v>
      </c>
      <c r="T772" t="s">
        <v>30</v>
      </c>
      <c r="U772" t="s">
        <v>123</v>
      </c>
    </row>
    <row r="773" spans="1:21" x14ac:dyDescent="0.3">
      <c r="A773">
        <v>623</v>
      </c>
      <c r="B773" s="1">
        <v>40572</v>
      </c>
      <c r="C773">
        <v>1</v>
      </c>
      <c r="D773">
        <v>0</v>
      </c>
      <c r="E773">
        <v>1</v>
      </c>
      <c r="F773">
        <v>4</v>
      </c>
      <c r="G773" t="b">
        <v>0</v>
      </c>
      <c r="H773">
        <v>6</v>
      </c>
      <c r="I773">
        <v>1</v>
      </c>
      <c r="J773">
        <v>0.16</v>
      </c>
      <c r="K773">
        <v>0.18179999999999999</v>
      </c>
      <c r="L773">
        <v>0.69</v>
      </c>
      <c r="M773">
        <v>0.1045</v>
      </c>
      <c r="N773">
        <v>1</v>
      </c>
      <c r="O773">
        <v>2</v>
      </c>
      <c r="P773">
        <v>3</v>
      </c>
      <c r="Q773" t="s">
        <v>62</v>
      </c>
      <c r="R773" t="s">
        <v>120</v>
      </c>
      <c r="S773" t="s">
        <v>24</v>
      </c>
      <c r="T773" t="s">
        <v>30</v>
      </c>
      <c r="U773" t="s">
        <v>123</v>
      </c>
    </row>
    <row r="774" spans="1:21" x14ac:dyDescent="0.3">
      <c r="A774">
        <v>624</v>
      </c>
      <c r="B774" s="1">
        <v>40572</v>
      </c>
      <c r="C774">
        <v>1</v>
      </c>
      <c r="D774">
        <v>0</v>
      </c>
      <c r="E774">
        <v>1</v>
      </c>
      <c r="F774">
        <v>6</v>
      </c>
      <c r="G774" t="b">
        <v>0</v>
      </c>
      <c r="H774">
        <v>6</v>
      </c>
      <c r="I774">
        <v>1</v>
      </c>
      <c r="J774">
        <v>0.16</v>
      </c>
      <c r="K774">
        <v>0.18179999999999999</v>
      </c>
      <c r="L774">
        <v>0.64</v>
      </c>
      <c r="M774">
        <v>0.1343</v>
      </c>
      <c r="N774">
        <v>0</v>
      </c>
      <c r="O774">
        <v>2</v>
      </c>
      <c r="P774">
        <v>2</v>
      </c>
      <c r="Q774" t="s">
        <v>62</v>
      </c>
      <c r="R774" t="s">
        <v>120</v>
      </c>
      <c r="S774" t="s">
        <v>24</v>
      </c>
      <c r="T774" t="s">
        <v>30</v>
      </c>
      <c r="U774" t="s">
        <v>123</v>
      </c>
    </row>
    <row r="775" spans="1:21" x14ac:dyDescent="0.3">
      <c r="A775">
        <v>625</v>
      </c>
      <c r="B775" s="1">
        <v>40572</v>
      </c>
      <c r="C775">
        <v>1</v>
      </c>
      <c r="D775">
        <v>0</v>
      </c>
      <c r="E775">
        <v>1</v>
      </c>
      <c r="F775">
        <v>7</v>
      </c>
      <c r="G775" t="b">
        <v>0</v>
      </c>
      <c r="H775">
        <v>6</v>
      </c>
      <c r="I775">
        <v>1</v>
      </c>
      <c r="J775">
        <v>0.16</v>
      </c>
      <c r="K775">
        <v>0.18179999999999999</v>
      </c>
      <c r="L775">
        <v>0.59</v>
      </c>
      <c r="M775">
        <v>0.1045</v>
      </c>
      <c r="N775">
        <v>1</v>
      </c>
      <c r="O775">
        <v>4</v>
      </c>
      <c r="P775">
        <v>5</v>
      </c>
      <c r="Q775" t="s">
        <v>62</v>
      </c>
      <c r="R775" t="s">
        <v>120</v>
      </c>
      <c r="S775" t="s">
        <v>24</v>
      </c>
      <c r="T775" t="s">
        <v>30</v>
      </c>
      <c r="U775" t="s">
        <v>123</v>
      </c>
    </row>
    <row r="776" spans="1:21" x14ac:dyDescent="0.3">
      <c r="A776">
        <v>626</v>
      </c>
      <c r="B776" s="1">
        <v>40572</v>
      </c>
      <c r="C776">
        <v>1</v>
      </c>
      <c r="D776">
        <v>0</v>
      </c>
      <c r="E776">
        <v>1</v>
      </c>
      <c r="F776">
        <v>8</v>
      </c>
      <c r="G776" t="b">
        <v>0</v>
      </c>
      <c r="H776">
        <v>6</v>
      </c>
      <c r="I776">
        <v>1</v>
      </c>
      <c r="J776">
        <v>0.18</v>
      </c>
      <c r="K776">
        <v>0.19700000000000001</v>
      </c>
      <c r="L776">
        <v>0.55000000000000004</v>
      </c>
      <c r="M776">
        <v>0.16420000000000001</v>
      </c>
      <c r="N776">
        <v>3</v>
      </c>
      <c r="O776">
        <v>31</v>
      </c>
      <c r="P776">
        <v>34</v>
      </c>
      <c r="Q776" t="s">
        <v>62</v>
      </c>
      <c r="R776" t="s">
        <v>120</v>
      </c>
      <c r="S776" t="s">
        <v>24</v>
      </c>
      <c r="T776" t="s">
        <v>30</v>
      </c>
      <c r="U776" t="s">
        <v>123</v>
      </c>
    </row>
    <row r="777" spans="1:21" x14ac:dyDescent="0.3">
      <c r="A777">
        <v>627</v>
      </c>
      <c r="B777" s="1">
        <v>40572</v>
      </c>
      <c r="C777">
        <v>1</v>
      </c>
      <c r="D777">
        <v>0</v>
      </c>
      <c r="E777">
        <v>1</v>
      </c>
      <c r="F777">
        <v>9</v>
      </c>
      <c r="G777" t="b">
        <v>0</v>
      </c>
      <c r="H777">
        <v>6</v>
      </c>
      <c r="I777">
        <v>1</v>
      </c>
      <c r="J777">
        <v>0.18</v>
      </c>
      <c r="K777">
        <v>0.21210000000000001</v>
      </c>
      <c r="L777">
        <v>0.59</v>
      </c>
      <c r="M777">
        <v>8.9599999999999999E-2</v>
      </c>
      <c r="N777">
        <v>0</v>
      </c>
      <c r="O777">
        <v>34</v>
      </c>
      <c r="P777">
        <v>34</v>
      </c>
      <c r="Q777" t="s">
        <v>62</v>
      </c>
      <c r="R777" t="s">
        <v>120</v>
      </c>
      <c r="S777" t="s">
        <v>24</v>
      </c>
      <c r="T777" t="s">
        <v>30</v>
      </c>
      <c r="U777" t="s">
        <v>123</v>
      </c>
    </row>
    <row r="778" spans="1:21" x14ac:dyDescent="0.3">
      <c r="A778">
        <v>628</v>
      </c>
      <c r="B778" s="1">
        <v>40572</v>
      </c>
      <c r="C778">
        <v>1</v>
      </c>
      <c r="D778">
        <v>0</v>
      </c>
      <c r="E778">
        <v>1</v>
      </c>
      <c r="F778">
        <v>10</v>
      </c>
      <c r="G778" t="b">
        <v>0</v>
      </c>
      <c r="H778">
        <v>6</v>
      </c>
      <c r="I778">
        <v>2</v>
      </c>
      <c r="J778">
        <v>0.18</v>
      </c>
      <c r="K778">
        <v>0.21210000000000001</v>
      </c>
      <c r="L778">
        <v>0.64</v>
      </c>
      <c r="M778">
        <v>0.1045</v>
      </c>
      <c r="N778">
        <v>4</v>
      </c>
      <c r="O778">
        <v>51</v>
      </c>
      <c r="P778">
        <v>55</v>
      </c>
      <c r="Q778" t="s">
        <v>64</v>
      </c>
      <c r="R778" t="s">
        <v>120</v>
      </c>
      <c r="S778" t="s">
        <v>24</v>
      </c>
      <c r="T778" t="s">
        <v>30</v>
      </c>
      <c r="U778" t="s">
        <v>124</v>
      </c>
    </row>
    <row r="779" spans="1:21" x14ac:dyDescent="0.3">
      <c r="A779">
        <v>629</v>
      </c>
      <c r="B779" s="1">
        <v>40572</v>
      </c>
      <c r="C779">
        <v>1</v>
      </c>
      <c r="D779">
        <v>0</v>
      </c>
      <c r="E779">
        <v>1</v>
      </c>
      <c r="F779">
        <v>11</v>
      </c>
      <c r="G779" t="b">
        <v>0</v>
      </c>
      <c r="H779">
        <v>6</v>
      </c>
      <c r="I779">
        <v>2</v>
      </c>
      <c r="J779">
        <v>0.18</v>
      </c>
      <c r="K779">
        <v>0.19700000000000001</v>
      </c>
      <c r="L779">
        <v>0.64</v>
      </c>
      <c r="M779">
        <v>0.1343</v>
      </c>
      <c r="N779">
        <v>4</v>
      </c>
      <c r="O779">
        <v>60</v>
      </c>
      <c r="P779">
        <v>64</v>
      </c>
      <c r="Q779" t="s">
        <v>64</v>
      </c>
      <c r="R779" t="s">
        <v>120</v>
      </c>
      <c r="S779" t="s">
        <v>24</v>
      </c>
      <c r="T779" t="s">
        <v>30</v>
      </c>
      <c r="U779" t="s">
        <v>124</v>
      </c>
    </row>
    <row r="780" spans="1:21" x14ac:dyDescent="0.3">
      <c r="A780">
        <v>630</v>
      </c>
      <c r="B780" s="1">
        <v>40572</v>
      </c>
      <c r="C780">
        <v>1</v>
      </c>
      <c r="D780">
        <v>0</v>
      </c>
      <c r="E780">
        <v>1</v>
      </c>
      <c r="F780">
        <v>12</v>
      </c>
      <c r="G780" t="b">
        <v>0</v>
      </c>
      <c r="H780">
        <v>6</v>
      </c>
      <c r="I780">
        <v>2</v>
      </c>
      <c r="J780">
        <v>0.2</v>
      </c>
      <c r="K780">
        <v>0.19700000000000001</v>
      </c>
      <c r="L780">
        <v>0.59</v>
      </c>
      <c r="M780">
        <v>0.19400000000000001</v>
      </c>
      <c r="N780">
        <v>12</v>
      </c>
      <c r="O780">
        <v>66</v>
      </c>
      <c r="P780">
        <v>78</v>
      </c>
      <c r="Q780" t="s">
        <v>64</v>
      </c>
      <c r="R780" t="s">
        <v>120</v>
      </c>
      <c r="S780" t="s">
        <v>24</v>
      </c>
      <c r="T780" t="s">
        <v>30</v>
      </c>
      <c r="U780" t="s">
        <v>124</v>
      </c>
    </row>
    <row r="781" spans="1:21" x14ac:dyDescent="0.3">
      <c r="A781">
        <v>631</v>
      </c>
      <c r="B781" s="1">
        <v>40572</v>
      </c>
      <c r="C781">
        <v>1</v>
      </c>
      <c r="D781">
        <v>0</v>
      </c>
      <c r="E781">
        <v>1</v>
      </c>
      <c r="F781">
        <v>13</v>
      </c>
      <c r="G781" t="b">
        <v>0</v>
      </c>
      <c r="H781">
        <v>6</v>
      </c>
      <c r="I781">
        <v>2</v>
      </c>
      <c r="J781">
        <v>0.22</v>
      </c>
      <c r="K781">
        <v>0.2273</v>
      </c>
      <c r="L781">
        <v>0.55000000000000004</v>
      </c>
      <c r="M781">
        <v>0.16420000000000001</v>
      </c>
      <c r="N781">
        <v>9</v>
      </c>
      <c r="O781">
        <v>56</v>
      </c>
      <c r="P781">
        <v>65</v>
      </c>
      <c r="Q781" t="s">
        <v>64</v>
      </c>
      <c r="R781" t="s">
        <v>120</v>
      </c>
      <c r="S781" t="s">
        <v>24</v>
      </c>
      <c r="T781" t="s">
        <v>30</v>
      </c>
      <c r="U781" t="s">
        <v>124</v>
      </c>
    </row>
    <row r="782" spans="1:21" x14ac:dyDescent="0.3">
      <c r="A782">
        <v>632</v>
      </c>
      <c r="B782" s="1">
        <v>40572</v>
      </c>
      <c r="C782">
        <v>1</v>
      </c>
      <c r="D782">
        <v>0</v>
      </c>
      <c r="E782">
        <v>1</v>
      </c>
      <c r="F782">
        <v>14</v>
      </c>
      <c r="G782" t="b">
        <v>0</v>
      </c>
      <c r="H782">
        <v>6</v>
      </c>
      <c r="I782">
        <v>2</v>
      </c>
      <c r="J782">
        <v>0.22</v>
      </c>
      <c r="K782">
        <v>0.2273</v>
      </c>
      <c r="L782">
        <v>0.6</v>
      </c>
      <c r="M782">
        <v>0.1343</v>
      </c>
      <c r="N782">
        <v>10</v>
      </c>
      <c r="O782">
        <v>89</v>
      </c>
      <c r="P782">
        <v>99</v>
      </c>
      <c r="Q782" t="s">
        <v>64</v>
      </c>
      <c r="R782" t="s">
        <v>120</v>
      </c>
      <c r="S782" t="s">
        <v>24</v>
      </c>
      <c r="T782" t="s">
        <v>30</v>
      </c>
      <c r="U782" t="s">
        <v>124</v>
      </c>
    </row>
    <row r="783" spans="1:21" x14ac:dyDescent="0.3">
      <c r="A783">
        <v>633</v>
      </c>
      <c r="B783" s="1">
        <v>40572</v>
      </c>
      <c r="C783">
        <v>1</v>
      </c>
      <c r="D783">
        <v>0</v>
      </c>
      <c r="E783">
        <v>1</v>
      </c>
      <c r="F783">
        <v>15</v>
      </c>
      <c r="G783" t="b">
        <v>0</v>
      </c>
      <c r="H783">
        <v>6</v>
      </c>
      <c r="I783">
        <v>1</v>
      </c>
      <c r="J783">
        <v>0.22</v>
      </c>
      <c r="K783">
        <v>0.21210000000000001</v>
      </c>
      <c r="L783">
        <v>0.69</v>
      </c>
      <c r="M783">
        <v>0.25369999999999998</v>
      </c>
      <c r="N783">
        <v>22</v>
      </c>
      <c r="O783">
        <v>98</v>
      </c>
      <c r="P783">
        <v>120</v>
      </c>
      <c r="Q783" t="s">
        <v>62</v>
      </c>
      <c r="R783" t="s">
        <v>120</v>
      </c>
      <c r="S783" t="s">
        <v>24</v>
      </c>
      <c r="T783" t="s">
        <v>30</v>
      </c>
      <c r="U783" t="s">
        <v>123</v>
      </c>
    </row>
    <row r="784" spans="1:21" x14ac:dyDescent="0.3">
      <c r="A784">
        <v>634</v>
      </c>
      <c r="B784" s="1">
        <v>40572</v>
      </c>
      <c r="C784">
        <v>1</v>
      </c>
      <c r="D784">
        <v>0</v>
      </c>
      <c r="E784">
        <v>1</v>
      </c>
      <c r="F784">
        <v>16</v>
      </c>
      <c r="G784" t="b">
        <v>0</v>
      </c>
      <c r="H784">
        <v>6</v>
      </c>
      <c r="I784">
        <v>1</v>
      </c>
      <c r="J784">
        <v>0.24</v>
      </c>
      <c r="K784">
        <v>0.2424</v>
      </c>
      <c r="L784">
        <v>0.6</v>
      </c>
      <c r="M784">
        <v>0.16420000000000001</v>
      </c>
      <c r="N784">
        <v>19</v>
      </c>
      <c r="O784">
        <v>88</v>
      </c>
      <c r="P784">
        <v>107</v>
      </c>
      <c r="Q784" t="s">
        <v>62</v>
      </c>
      <c r="R784" t="s">
        <v>120</v>
      </c>
      <c r="S784" t="s">
        <v>24</v>
      </c>
      <c r="T784" t="s">
        <v>30</v>
      </c>
      <c r="U784" t="s">
        <v>123</v>
      </c>
    </row>
    <row r="785" spans="1:21" x14ac:dyDescent="0.3">
      <c r="A785">
        <v>635</v>
      </c>
      <c r="B785" s="1">
        <v>40572</v>
      </c>
      <c r="C785">
        <v>1</v>
      </c>
      <c r="D785">
        <v>0</v>
      </c>
      <c r="E785">
        <v>1</v>
      </c>
      <c r="F785">
        <v>17</v>
      </c>
      <c r="G785" t="b">
        <v>0</v>
      </c>
      <c r="H785">
        <v>6</v>
      </c>
      <c r="I785">
        <v>1</v>
      </c>
      <c r="J785">
        <v>0.24</v>
      </c>
      <c r="K785">
        <v>0.28789999999999999</v>
      </c>
      <c r="L785">
        <v>0.6</v>
      </c>
      <c r="M785">
        <v>0</v>
      </c>
      <c r="N785">
        <v>9</v>
      </c>
      <c r="O785">
        <v>82</v>
      </c>
      <c r="P785">
        <v>91</v>
      </c>
      <c r="Q785" t="s">
        <v>62</v>
      </c>
      <c r="R785" t="s">
        <v>120</v>
      </c>
      <c r="S785" t="s">
        <v>24</v>
      </c>
      <c r="T785" t="s">
        <v>30</v>
      </c>
      <c r="U785" t="s">
        <v>123</v>
      </c>
    </row>
    <row r="786" spans="1:21" x14ac:dyDescent="0.3">
      <c r="A786">
        <v>636</v>
      </c>
      <c r="B786" s="1">
        <v>40572</v>
      </c>
      <c r="C786">
        <v>1</v>
      </c>
      <c r="D786">
        <v>0</v>
      </c>
      <c r="E786">
        <v>1</v>
      </c>
      <c r="F786">
        <v>18</v>
      </c>
      <c r="G786" t="b">
        <v>0</v>
      </c>
      <c r="H786">
        <v>6</v>
      </c>
      <c r="I786">
        <v>1</v>
      </c>
      <c r="J786">
        <v>0.22</v>
      </c>
      <c r="K786">
        <v>0.2273</v>
      </c>
      <c r="L786">
        <v>0.69</v>
      </c>
      <c r="M786">
        <v>0.1343</v>
      </c>
      <c r="N786">
        <v>9</v>
      </c>
      <c r="O786">
        <v>59</v>
      </c>
      <c r="P786">
        <v>68</v>
      </c>
      <c r="Q786" t="s">
        <v>62</v>
      </c>
      <c r="R786" t="s">
        <v>120</v>
      </c>
      <c r="S786" t="s">
        <v>24</v>
      </c>
      <c r="T786" t="s">
        <v>30</v>
      </c>
      <c r="U786" t="s">
        <v>123</v>
      </c>
    </row>
    <row r="787" spans="1:21" x14ac:dyDescent="0.3">
      <c r="A787">
        <v>637</v>
      </c>
      <c r="B787" s="1">
        <v>40572</v>
      </c>
      <c r="C787">
        <v>1</v>
      </c>
      <c r="D787">
        <v>0</v>
      </c>
      <c r="E787">
        <v>1</v>
      </c>
      <c r="F787">
        <v>19</v>
      </c>
      <c r="G787" t="b">
        <v>0</v>
      </c>
      <c r="H787">
        <v>6</v>
      </c>
      <c r="I787">
        <v>2</v>
      </c>
      <c r="J787">
        <v>0.22</v>
      </c>
      <c r="K787">
        <v>0.21210000000000001</v>
      </c>
      <c r="L787">
        <v>0.69</v>
      </c>
      <c r="M787">
        <v>0.25369999999999998</v>
      </c>
      <c r="N787">
        <v>6</v>
      </c>
      <c r="O787">
        <v>52</v>
      </c>
      <c r="P787">
        <v>58</v>
      </c>
      <c r="Q787" t="s">
        <v>64</v>
      </c>
      <c r="R787" t="s">
        <v>120</v>
      </c>
      <c r="S787" t="s">
        <v>24</v>
      </c>
      <c r="T787" t="s">
        <v>30</v>
      </c>
      <c r="U787" t="s">
        <v>124</v>
      </c>
    </row>
    <row r="788" spans="1:21" x14ac:dyDescent="0.3">
      <c r="A788">
        <v>638</v>
      </c>
      <c r="B788" s="1">
        <v>40572</v>
      </c>
      <c r="C788">
        <v>1</v>
      </c>
      <c r="D788">
        <v>0</v>
      </c>
      <c r="E788">
        <v>1</v>
      </c>
      <c r="F788">
        <v>20</v>
      </c>
      <c r="G788" t="b">
        <v>0</v>
      </c>
      <c r="H788">
        <v>6</v>
      </c>
      <c r="I788">
        <v>1</v>
      </c>
      <c r="J788">
        <v>0.18</v>
      </c>
      <c r="K788">
        <v>0.21210000000000001</v>
      </c>
      <c r="L788">
        <v>0.74</v>
      </c>
      <c r="M788">
        <v>8.9599999999999999E-2</v>
      </c>
      <c r="N788">
        <v>1</v>
      </c>
      <c r="O788">
        <v>42</v>
      </c>
      <c r="P788">
        <v>43</v>
      </c>
      <c r="Q788" t="s">
        <v>62</v>
      </c>
      <c r="R788" t="s">
        <v>120</v>
      </c>
      <c r="S788" t="s">
        <v>24</v>
      </c>
      <c r="T788" t="s">
        <v>30</v>
      </c>
      <c r="U788" t="s">
        <v>123</v>
      </c>
    </row>
    <row r="789" spans="1:21" x14ac:dyDescent="0.3">
      <c r="A789">
        <v>639</v>
      </c>
      <c r="B789" s="1">
        <v>40572</v>
      </c>
      <c r="C789">
        <v>1</v>
      </c>
      <c r="D789">
        <v>0</v>
      </c>
      <c r="E789">
        <v>1</v>
      </c>
      <c r="F789">
        <v>21</v>
      </c>
      <c r="G789" t="b">
        <v>0</v>
      </c>
      <c r="H789">
        <v>6</v>
      </c>
      <c r="I789">
        <v>1</v>
      </c>
      <c r="J789">
        <v>0.18</v>
      </c>
      <c r="K789">
        <v>0.21210000000000001</v>
      </c>
      <c r="L789">
        <v>0.74</v>
      </c>
      <c r="M789">
        <v>8.9599999999999999E-2</v>
      </c>
      <c r="N789">
        <v>1</v>
      </c>
      <c r="O789">
        <v>35</v>
      </c>
      <c r="P789">
        <v>36</v>
      </c>
      <c r="Q789" t="s">
        <v>62</v>
      </c>
      <c r="R789" t="s">
        <v>120</v>
      </c>
      <c r="S789" t="s">
        <v>24</v>
      </c>
      <c r="T789" t="s">
        <v>30</v>
      </c>
      <c r="U789" t="s">
        <v>123</v>
      </c>
    </row>
    <row r="790" spans="1:21" x14ac:dyDescent="0.3">
      <c r="A790">
        <v>640</v>
      </c>
      <c r="B790" s="1">
        <v>40572</v>
      </c>
      <c r="C790">
        <v>1</v>
      </c>
      <c r="D790">
        <v>0</v>
      </c>
      <c r="E790">
        <v>1</v>
      </c>
      <c r="F790">
        <v>22</v>
      </c>
      <c r="G790" t="b">
        <v>0</v>
      </c>
      <c r="H790">
        <v>6</v>
      </c>
      <c r="I790">
        <v>1</v>
      </c>
      <c r="J790">
        <v>0.16</v>
      </c>
      <c r="K790">
        <v>0.19700000000000001</v>
      </c>
      <c r="L790">
        <v>0.8</v>
      </c>
      <c r="M790">
        <v>8.9599999999999999E-2</v>
      </c>
      <c r="N790">
        <v>4</v>
      </c>
      <c r="O790">
        <v>28</v>
      </c>
      <c r="P790">
        <v>32</v>
      </c>
      <c r="Q790" t="s">
        <v>62</v>
      </c>
      <c r="R790" t="s">
        <v>120</v>
      </c>
      <c r="S790" t="s">
        <v>24</v>
      </c>
      <c r="T790" t="s">
        <v>30</v>
      </c>
      <c r="U790" t="s">
        <v>123</v>
      </c>
    </row>
    <row r="791" spans="1:21" x14ac:dyDescent="0.3">
      <c r="A791">
        <v>641</v>
      </c>
      <c r="B791" s="1">
        <v>40572</v>
      </c>
      <c r="C791">
        <v>1</v>
      </c>
      <c r="D791">
        <v>0</v>
      </c>
      <c r="E791">
        <v>1</v>
      </c>
      <c r="F791">
        <v>23</v>
      </c>
      <c r="G791" t="b">
        <v>0</v>
      </c>
      <c r="H791">
        <v>6</v>
      </c>
      <c r="I791">
        <v>1</v>
      </c>
      <c r="J791">
        <v>0.16</v>
      </c>
      <c r="K791">
        <v>0.19700000000000001</v>
      </c>
      <c r="L791">
        <v>0.8</v>
      </c>
      <c r="M791">
        <v>8.9599999999999999E-2</v>
      </c>
      <c r="N791">
        <v>3</v>
      </c>
      <c r="O791">
        <v>30</v>
      </c>
      <c r="P791">
        <v>33</v>
      </c>
      <c r="Q791" t="s">
        <v>62</v>
      </c>
      <c r="R791" t="s">
        <v>120</v>
      </c>
      <c r="S791" t="s">
        <v>24</v>
      </c>
      <c r="T791" t="s">
        <v>30</v>
      </c>
      <c r="U791" t="s">
        <v>123</v>
      </c>
    </row>
    <row r="792" spans="1:21" x14ac:dyDescent="0.3">
      <c r="A792">
        <v>782</v>
      </c>
      <c r="B792" s="1">
        <v>40579</v>
      </c>
      <c r="C792">
        <v>1</v>
      </c>
      <c r="D792">
        <v>0</v>
      </c>
      <c r="E792">
        <v>2</v>
      </c>
      <c r="F792">
        <v>0</v>
      </c>
      <c r="G792" t="b">
        <v>0</v>
      </c>
      <c r="H792">
        <v>6</v>
      </c>
      <c r="I792">
        <v>2</v>
      </c>
      <c r="J792">
        <v>0.24</v>
      </c>
      <c r="K792">
        <v>0.2424</v>
      </c>
      <c r="L792">
        <v>0.7</v>
      </c>
      <c r="M792">
        <v>0.16420000000000001</v>
      </c>
      <c r="N792">
        <v>3</v>
      </c>
      <c r="O792">
        <v>36</v>
      </c>
      <c r="P792">
        <v>39</v>
      </c>
      <c r="Q792" t="s">
        <v>64</v>
      </c>
      <c r="R792" t="s">
        <v>120</v>
      </c>
      <c r="S792" t="s">
        <v>24</v>
      </c>
      <c r="T792" t="s">
        <v>29</v>
      </c>
      <c r="U792" t="s">
        <v>124</v>
      </c>
    </row>
    <row r="793" spans="1:21" x14ac:dyDescent="0.3">
      <c r="A793">
        <v>783</v>
      </c>
      <c r="B793" s="1">
        <v>40579</v>
      </c>
      <c r="C793">
        <v>1</v>
      </c>
      <c r="D793">
        <v>0</v>
      </c>
      <c r="E793">
        <v>2</v>
      </c>
      <c r="F793">
        <v>1</v>
      </c>
      <c r="G793" t="b">
        <v>0</v>
      </c>
      <c r="H793">
        <v>6</v>
      </c>
      <c r="I793">
        <v>2</v>
      </c>
      <c r="J793">
        <v>0.24</v>
      </c>
      <c r="K793">
        <v>0.2424</v>
      </c>
      <c r="L793">
        <v>0.65</v>
      </c>
      <c r="M793">
        <v>0.16420000000000001</v>
      </c>
      <c r="N793">
        <v>1</v>
      </c>
      <c r="O793">
        <v>17</v>
      </c>
      <c r="P793">
        <v>18</v>
      </c>
      <c r="Q793" t="s">
        <v>64</v>
      </c>
      <c r="R793" t="s">
        <v>120</v>
      </c>
      <c r="S793" t="s">
        <v>24</v>
      </c>
      <c r="T793" t="s">
        <v>29</v>
      </c>
      <c r="U793" t="s">
        <v>124</v>
      </c>
    </row>
    <row r="794" spans="1:21" x14ac:dyDescent="0.3">
      <c r="A794">
        <v>784</v>
      </c>
      <c r="B794" s="1">
        <v>40579</v>
      </c>
      <c r="C794">
        <v>1</v>
      </c>
      <c r="D794">
        <v>0</v>
      </c>
      <c r="E794">
        <v>2</v>
      </c>
      <c r="F794">
        <v>2</v>
      </c>
      <c r="G794" t="b">
        <v>0</v>
      </c>
      <c r="H794">
        <v>6</v>
      </c>
      <c r="I794">
        <v>2</v>
      </c>
      <c r="J794">
        <v>0.24</v>
      </c>
      <c r="K794">
        <v>0.2424</v>
      </c>
      <c r="L794">
        <v>0.75</v>
      </c>
      <c r="M794">
        <v>0.16420000000000001</v>
      </c>
      <c r="N794">
        <v>5</v>
      </c>
      <c r="O794">
        <v>12</v>
      </c>
      <c r="P794">
        <v>17</v>
      </c>
      <c r="Q794" t="s">
        <v>64</v>
      </c>
      <c r="R794" t="s">
        <v>120</v>
      </c>
      <c r="S794" t="s">
        <v>24</v>
      </c>
      <c r="T794" t="s">
        <v>29</v>
      </c>
      <c r="U794" t="s">
        <v>124</v>
      </c>
    </row>
    <row r="795" spans="1:21" x14ac:dyDescent="0.3">
      <c r="A795">
        <v>785</v>
      </c>
      <c r="B795" s="1">
        <v>40579</v>
      </c>
      <c r="C795">
        <v>1</v>
      </c>
      <c r="D795">
        <v>0</v>
      </c>
      <c r="E795">
        <v>2</v>
      </c>
      <c r="F795">
        <v>3</v>
      </c>
      <c r="G795" t="b">
        <v>0</v>
      </c>
      <c r="H795">
        <v>6</v>
      </c>
      <c r="I795">
        <v>2</v>
      </c>
      <c r="J795">
        <v>0.24</v>
      </c>
      <c r="K795">
        <v>0.2424</v>
      </c>
      <c r="L795">
        <v>0.75</v>
      </c>
      <c r="M795">
        <v>0.16420000000000001</v>
      </c>
      <c r="N795">
        <v>1</v>
      </c>
      <c r="O795">
        <v>10</v>
      </c>
      <c r="P795">
        <v>11</v>
      </c>
      <c r="Q795" t="s">
        <v>64</v>
      </c>
      <c r="R795" t="s">
        <v>120</v>
      </c>
      <c r="S795" t="s">
        <v>24</v>
      </c>
      <c r="T795" t="s">
        <v>29</v>
      </c>
      <c r="U795" t="s">
        <v>124</v>
      </c>
    </row>
    <row r="796" spans="1:21" x14ac:dyDescent="0.3">
      <c r="A796">
        <v>786</v>
      </c>
      <c r="B796" s="1">
        <v>40579</v>
      </c>
      <c r="C796">
        <v>1</v>
      </c>
      <c r="D796">
        <v>0</v>
      </c>
      <c r="E796">
        <v>2</v>
      </c>
      <c r="F796">
        <v>4</v>
      </c>
      <c r="G796" t="b">
        <v>0</v>
      </c>
      <c r="H796">
        <v>6</v>
      </c>
      <c r="I796">
        <v>3</v>
      </c>
      <c r="J796">
        <v>0.22</v>
      </c>
      <c r="K796">
        <v>0.2273</v>
      </c>
      <c r="L796">
        <v>0.93</v>
      </c>
      <c r="M796">
        <v>0.1343</v>
      </c>
      <c r="N796">
        <v>0</v>
      </c>
      <c r="O796">
        <v>8</v>
      </c>
      <c r="P796">
        <v>8</v>
      </c>
      <c r="Q796" t="s">
        <v>63</v>
      </c>
      <c r="R796" t="s">
        <v>120</v>
      </c>
      <c r="S796" t="s">
        <v>24</v>
      </c>
      <c r="T796" t="s">
        <v>29</v>
      </c>
      <c r="U796" t="s">
        <v>125</v>
      </c>
    </row>
    <row r="797" spans="1:21" x14ac:dyDescent="0.3">
      <c r="A797">
        <v>787</v>
      </c>
      <c r="B797" s="1">
        <v>40579</v>
      </c>
      <c r="C797">
        <v>1</v>
      </c>
      <c r="D797">
        <v>0</v>
      </c>
      <c r="E797">
        <v>2</v>
      </c>
      <c r="F797">
        <v>5</v>
      </c>
      <c r="G797" t="b">
        <v>0</v>
      </c>
      <c r="H797">
        <v>6</v>
      </c>
      <c r="I797">
        <v>3</v>
      </c>
      <c r="J797">
        <v>0.2</v>
      </c>
      <c r="K797">
        <v>0.2273</v>
      </c>
      <c r="L797">
        <v>1</v>
      </c>
      <c r="M797">
        <v>8.9599999999999999E-2</v>
      </c>
      <c r="N797">
        <v>0</v>
      </c>
      <c r="O797">
        <v>9</v>
      </c>
      <c r="P797">
        <v>9</v>
      </c>
      <c r="Q797" t="s">
        <v>63</v>
      </c>
      <c r="R797" t="s">
        <v>120</v>
      </c>
      <c r="S797" t="s">
        <v>24</v>
      </c>
      <c r="T797" t="s">
        <v>29</v>
      </c>
      <c r="U797" t="s">
        <v>125</v>
      </c>
    </row>
    <row r="798" spans="1:21" x14ac:dyDescent="0.3">
      <c r="A798">
        <v>788</v>
      </c>
      <c r="B798" s="1">
        <v>40579</v>
      </c>
      <c r="C798">
        <v>1</v>
      </c>
      <c r="D798">
        <v>0</v>
      </c>
      <c r="E798">
        <v>2</v>
      </c>
      <c r="F798">
        <v>6</v>
      </c>
      <c r="G798" t="b">
        <v>0</v>
      </c>
      <c r="H798">
        <v>6</v>
      </c>
      <c r="I798">
        <v>3</v>
      </c>
      <c r="J798">
        <v>0.2</v>
      </c>
      <c r="K798">
        <v>0.2576</v>
      </c>
      <c r="L798">
        <v>1</v>
      </c>
      <c r="M798">
        <v>0</v>
      </c>
      <c r="N798">
        <v>0</v>
      </c>
      <c r="O798">
        <v>4</v>
      </c>
      <c r="P798">
        <v>4</v>
      </c>
      <c r="Q798" t="s">
        <v>63</v>
      </c>
      <c r="R798" t="s">
        <v>120</v>
      </c>
      <c r="S798" t="s">
        <v>24</v>
      </c>
      <c r="T798" t="s">
        <v>29</v>
      </c>
      <c r="U798" t="s">
        <v>125</v>
      </c>
    </row>
    <row r="799" spans="1:21" x14ac:dyDescent="0.3">
      <c r="A799">
        <v>789</v>
      </c>
      <c r="B799" s="1">
        <v>40579</v>
      </c>
      <c r="C799">
        <v>1</v>
      </c>
      <c r="D799">
        <v>0</v>
      </c>
      <c r="E799">
        <v>2</v>
      </c>
      <c r="F799">
        <v>7</v>
      </c>
      <c r="G799" t="b">
        <v>0</v>
      </c>
      <c r="H799">
        <v>6</v>
      </c>
      <c r="I799">
        <v>3</v>
      </c>
      <c r="J799">
        <v>0.22</v>
      </c>
      <c r="K799">
        <v>0.2576</v>
      </c>
      <c r="L799">
        <v>0.93</v>
      </c>
      <c r="M799">
        <v>8.9599999999999999E-2</v>
      </c>
      <c r="N799">
        <v>0</v>
      </c>
      <c r="O799">
        <v>4</v>
      </c>
      <c r="P799">
        <v>4</v>
      </c>
      <c r="Q799" t="s">
        <v>63</v>
      </c>
      <c r="R799" t="s">
        <v>120</v>
      </c>
      <c r="S799" t="s">
        <v>24</v>
      </c>
      <c r="T799" t="s">
        <v>29</v>
      </c>
      <c r="U799" t="s">
        <v>125</v>
      </c>
    </row>
    <row r="800" spans="1:21" x14ac:dyDescent="0.3">
      <c r="A800">
        <v>790</v>
      </c>
      <c r="B800" s="1">
        <v>40579</v>
      </c>
      <c r="C800">
        <v>1</v>
      </c>
      <c r="D800">
        <v>0</v>
      </c>
      <c r="E800">
        <v>2</v>
      </c>
      <c r="F800">
        <v>8</v>
      </c>
      <c r="G800" t="b">
        <v>0</v>
      </c>
      <c r="H800">
        <v>6</v>
      </c>
      <c r="I800">
        <v>3</v>
      </c>
      <c r="J800">
        <v>0.2</v>
      </c>
      <c r="K800">
        <v>0.2273</v>
      </c>
      <c r="L800">
        <v>1</v>
      </c>
      <c r="M800">
        <v>8.9599999999999999E-2</v>
      </c>
      <c r="N800">
        <v>0</v>
      </c>
      <c r="O800">
        <v>10</v>
      </c>
      <c r="P800">
        <v>10</v>
      </c>
      <c r="Q800" t="s">
        <v>63</v>
      </c>
      <c r="R800" t="s">
        <v>120</v>
      </c>
      <c r="S800" t="s">
        <v>24</v>
      </c>
      <c r="T800" t="s">
        <v>29</v>
      </c>
      <c r="U800" t="s">
        <v>125</v>
      </c>
    </row>
    <row r="801" spans="1:21" x14ac:dyDescent="0.3">
      <c r="A801">
        <v>791</v>
      </c>
      <c r="B801" s="1">
        <v>40579</v>
      </c>
      <c r="C801">
        <v>1</v>
      </c>
      <c r="D801">
        <v>0</v>
      </c>
      <c r="E801">
        <v>2</v>
      </c>
      <c r="F801">
        <v>9</v>
      </c>
      <c r="G801" t="b">
        <v>0</v>
      </c>
      <c r="H801">
        <v>6</v>
      </c>
      <c r="I801">
        <v>3</v>
      </c>
      <c r="J801">
        <v>0.2</v>
      </c>
      <c r="K801">
        <v>0.2273</v>
      </c>
      <c r="L801">
        <v>1</v>
      </c>
      <c r="M801">
        <v>8.9599999999999999E-2</v>
      </c>
      <c r="N801">
        <v>3</v>
      </c>
      <c r="O801">
        <v>17</v>
      </c>
      <c r="P801">
        <v>20</v>
      </c>
      <c r="Q801" t="s">
        <v>63</v>
      </c>
      <c r="R801" t="s">
        <v>120</v>
      </c>
      <c r="S801" t="s">
        <v>24</v>
      </c>
      <c r="T801" t="s">
        <v>29</v>
      </c>
      <c r="U801" t="s">
        <v>125</v>
      </c>
    </row>
    <row r="802" spans="1:21" x14ac:dyDescent="0.3">
      <c r="A802">
        <v>792</v>
      </c>
      <c r="B802" s="1">
        <v>40579</v>
      </c>
      <c r="C802">
        <v>1</v>
      </c>
      <c r="D802">
        <v>0</v>
      </c>
      <c r="E802">
        <v>2</v>
      </c>
      <c r="F802">
        <v>10</v>
      </c>
      <c r="G802" t="b">
        <v>0</v>
      </c>
      <c r="H802">
        <v>6</v>
      </c>
      <c r="I802">
        <v>3</v>
      </c>
      <c r="J802">
        <v>0.2</v>
      </c>
      <c r="K802">
        <v>0.21210000000000001</v>
      </c>
      <c r="L802">
        <v>1</v>
      </c>
      <c r="M802">
        <v>0.1343</v>
      </c>
      <c r="N802">
        <v>3</v>
      </c>
      <c r="O802">
        <v>31</v>
      </c>
      <c r="P802">
        <v>34</v>
      </c>
      <c r="Q802" t="s">
        <v>63</v>
      </c>
      <c r="R802" t="s">
        <v>120</v>
      </c>
      <c r="S802" t="s">
        <v>24</v>
      </c>
      <c r="T802" t="s">
        <v>29</v>
      </c>
      <c r="U802" t="s">
        <v>125</v>
      </c>
    </row>
    <row r="803" spans="1:21" x14ac:dyDescent="0.3">
      <c r="A803">
        <v>793</v>
      </c>
      <c r="B803" s="1">
        <v>40579</v>
      </c>
      <c r="C803">
        <v>1</v>
      </c>
      <c r="D803">
        <v>0</v>
      </c>
      <c r="E803">
        <v>2</v>
      </c>
      <c r="F803">
        <v>11</v>
      </c>
      <c r="G803" t="b">
        <v>0</v>
      </c>
      <c r="H803">
        <v>6</v>
      </c>
      <c r="I803">
        <v>3</v>
      </c>
      <c r="J803">
        <v>0.22</v>
      </c>
      <c r="K803">
        <v>0.2273</v>
      </c>
      <c r="L803">
        <v>1</v>
      </c>
      <c r="M803">
        <v>0.1343</v>
      </c>
      <c r="N803">
        <v>1</v>
      </c>
      <c r="O803">
        <v>46</v>
      </c>
      <c r="P803">
        <v>47</v>
      </c>
      <c r="Q803" t="s">
        <v>63</v>
      </c>
      <c r="R803" t="s">
        <v>120</v>
      </c>
      <c r="S803" t="s">
        <v>24</v>
      </c>
      <c r="T803" t="s">
        <v>29</v>
      </c>
      <c r="U803" t="s">
        <v>125</v>
      </c>
    </row>
    <row r="804" spans="1:21" x14ac:dyDescent="0.3">
      <c r="A804">
        <v>794</v>
      </c>
      <c r="B804" s="1">
        <v>40579</v>
      </c>
      <c r="C804">
        <v>1</v>
      </c>
      <c r="D804">
        <v>0</v>
      </c>
      <c r="E804">
        <v>2</v>
      </c>
      <c r="F804">
        <v>12</v>
      </c>
      <c r="G804" t="b">
        <v>0</v>
      </c>
      <c r="H804">
        <v>6</v>
      </c>
      <c r="I804">
        <v>3</v>
      </c>
      <c r="J804">
        <v>0.22</v>
      </c>
      <c r="K804">
        <v>0.2273</v>
      </c>
      <c r="L804">
        <v>1</v>
      </c>
      <c r="M804">
        <v>0.16420000000000001</v>
      </c>
      <c r="N804">
        <v>10</v>
      </c>
      <c r="O804">
        <v>42</v>
      </c>
      <c r="P804">
        <v>52</v>
      </c>
      <c r="Q804" t="s">
        <v>63</v>
      </c>
      <c r="R804" t="s">
        <v>120</v>
      </c>
      <c r="S804" t="s">
        <v>24</v>
      </c>
      <c r="T804" t="s">
        <v>29</v>
      </c>
      <c r="U804" t="s">
        <v>125</v>
      </c>
    </row>
    <row r="805" spans="1:21" x14ac:dyDescent="0.3">
      <c r="A805">
        <v>795</v>
      </c>
      <c r="B805" s="1">
        <v>40579</v>
      </c>
      <c r="C805">
        <v>1</v>
      </c>
      <c r="D805">
        <v>0</v>
      </c>
      <c r="E805">
        <v>2</v>
      </c>
      <c r="F805">
        <v>13</v>
      </c>
      <c r="G805" t="b">
        <v>0</v>
      </c>
      <c r="H805">
        <v>6</v>
      </c>
      <c r="I805">
        <v>3</v>
      </c>
      <c r="J805">
        <v>0.22</v>
      </c>
      <c r="K805">
        <v>0.2273</v>
      </c>
      <c r="L805">
        <v>1</v>
      </c>
      <c r="M805">
        <v>0.16420000000000001</v>
      </c>
      <c r="N805">
        <v>10</v>
      </c>
      <c r="O805">
        <v>62</v>
      </c>
      <c r="P805">
        <v>72</v>
      </c>
      <c r="Q805" t="s">
        <v>63</v>
      </c>
      <c r="R805" t="s">
        <v>120</v>
      </c>
      <c r="S805" t="s">
        <v>24</v>
      </c>
      <c r="T805" t="s">
        <v>29</v>
      </c>
      <c r="U805" t="s">
        <v>125</v>
      </c>
    </row>
    <row r="806" spans="1:21" x14ac:dyDescent="0.3">
      <c r="A806">
        <v>796</v>
      </c>
      <c r="B806" s="1">
        <v>40579</v>
      </c>
      <c r="C806">
        <v>1</v>
      </c>
      <c r="D806">
        <v>0</v>
      </c>
      <c r="E806">
        <v>2</v>
      </c>
      <c r="F806">
        <v>14</v>
      </c>
      <c r="G806" t="b">
        <v>0</v>
      </c>
      <c r="H806">
        <v>6</v>
      </c>
      <c r="I806">
        <v>3</v>
      </c>
      <c r="J806">
        <v>0.22</v>
      </c>
      <c r="K806">
        <v>0.2727</v>
      </c>
      <c r="L806">
        <v>1</v>
      </c>
      <c r="M806">
        <v>0</v>
      </c>
      <c r="N806">
        <v>5</v>
      </c>
      <c r="O806">
        <v>50</v>
      </c>
      <c r="P806">
        <v>55</v>
      </c>
      <c r="Q806" t="s">
        <v>63</v>
      </c>
      <c r="R806" t="s">
        <v>120</v>
      </c>
      <c r="S806" t="s">
        <v>24</v>
      </c>
      <c r="T806" t="s">
        <v>29</v>
      </c>
      <c r="U806" t="s">
        <v>125</v>
      </c>
    </row>
    <row r="807" spans="1:21" x14ac:dyDescent="0.3">
      <c r="A807">
        <v>797</v>
      </c>
      <c r="B807" s="1">
        <v>40579</v>
      </c>
      <c r="C807">
        <v>1</v>
      </c>
      <c r="D807">
        <v>0</v>
      </c>
      <c r="E807">
        <v>2</v>
      </c>
      <c r="F807">
        <v>15</v>
      </c>
      <c r="G807" t="b">
        <v>0</v>
      </c>
      <c r="H807">
        <v>6</v>
      </c>
      <c r="I807">
        <v>3</v>
      </c>
      <c r="J807">
        <v>0.22</v>
      </c>
      <c r="K807">
        <v>0.2727</v>
      </c>
      <c r="L807">
        <v>1</v>
      </c>
      <c r="M807">
        <v>0</v>
      </c>
      <c r="N807">
        <v>11</v>
      </c>
      <c r="O807">
        <v>49</v>
      </c>
      <c r="P807">
        <v>60</v>
      </c>
      <c r="Q807" t="s">
        <v>63</v>
      </c>
      <c r="R807" t="s">
        <v>120</v>
      </c>
      <c r="S807" t="s">
        <v>24</v>
      </c>
      <c r="T807" t="s">
        <v>29</v>
      </c>
      <c r="U807" t="s">
        <v>125</v>
      </c>
    </row>
    <row r="808" spans="1:21" x14ac:dyDescent="0.3">
      <c r="A808">
        <v>798</v>
      </c>
      <c r="B808" s="1">
        <v>40579</v>
      </c>
      <c r="C808">
        <v>1</v>
      </c>
      <c r="D808">
        <v>0</v>
      </c>
      <c r="E808">
        <v>2</v>
      </c>
      <c r="F808">
        <v>16</v>
      </c>
      <c r="G808" t="b">
        <v>0</v>
      </c>
      <c r="H808">
        <v>6</v>
      </c>
      <c r="I808">
        <v>3</v>
      </c>
      <c r="J808">
        <v>0.22</v>
      </c>
      <c r="K808">
        <v>0.2273</v>
      </c>
      <c r="L808">
        <v>1</v>
      </c>
      <c r="M808">
        <v>0.1343</v>
      </c>
      <c r="N808">
        <v>8</v>
      </c>
      <c r="O808">
        <v>63</v>
      </c>
      <c r="P808">
        <v>71</v>
      </c>
      <c r="Q808" t="s">
        <v>63</v>
      </c>
      <c r="R808" t="s">
        <v>120</v>
      </c>
      <c r="S808" t="s">
        <v>24</v>
      </c>
      <c r="T808" t="s">
        <v>29</v>
      </c>
      <c r="U808" t="s">
        <v>125</v>
      </c>
    </row>
    <row r="809" spans="1:21" x14ac:dyDescent="0.3">
      <c r="A809">
        <v>799</v>
      </c>
      <c r="B809" s="1">
        <v>40579</v>
      </c>
      <c r="C809">
        <v>1</v>
      </c>
      <c r="D809">
        <v>0</v>
      </c>
      <c r="E809">
        <v>2</v>
      </c>
      <c r="F809">
        <v>17</v>
      </c>
      <c r="G809" t="b">
        <v>0</v>
      </c>
      <c r="H809">
        <v>6</v>
      </c>
      <c r="I809">
        <v>2</v>
      </c>
      <c r="J809">
        <v>0.24</v>
      </c>
      <c r="K809">
        <v>0.21210000000000001</v>
      </c>
      <c r="L809">
        <v>1</v>
      </c>
      <c r="M809">
        <v>0.28360000000000002</v>
      </c>
      <c r="N809">
        <v>14</v>
      </c>
      <c r="O809">
        <v>64</v>
      </c>
      <c r="P809">
        <v>78</v>
      </c>
      <c r="Q809" t="s">
        <v>64</v>
      </c>
      <c r="R809" t="s">
        <v>120</v>
      </c>
      <c r="S809" t="s">
        <v>24</v>
      </c>
      <c r="T809" t="s">
        <v>29</v>
      </c>
      <c r="U809" t="s">
        <v>124</v>
      </c>
    </row>
    <row r="810" spans="1:21" x14ac:dyDescent="0.3">
      <c r="A810">
        <v>800</v>
      </c>
      <c r="B810" s="1">
        <v>40579</v>
      </c>
      <c r="C810">
        <v>1</v>
      </c>
      <c r="D810">
        <v>0</v>
      </c>
      <c r="E810">
        <v>2</v>
      </c>
      <c r="F810">
        <v>18</v>
      </c>
      <c r="G810" t="b">
        <v>0</v>
      </c>
      <c r="H810">
        <v>6</v>
      </c>
      <c r="I810">
        <v>2</v>
      </c>
      <c r="J810">
        <v>0.28000000000000003</v>
      </c>
      <c r="K810">
        <v>0.2424</v>
      </c>
      <c r="L810">
        <v>0.93</v>
      </c>
      <c r="M810">
        <v>0.44779999999999998</v>
      </c>
      <c r="N810">
        <v>2</v>
      </c>
      <c r="O810">
        <v>81</v>
      </c>
      <c r="P810">
        <v>83</v>
      </c>
      <c r="Q810" t="s">
        <v>64</v>
      </c>
      <c r="R810" t="s">
        <v>120</v>
      </c>
      <c r="S810" t="s">
        <v>24</v>
      </c>
      <c r="T810" t="s">
        <v>29</v>
      </c>
      <c r="U810" t="s">
        <v>124</v>
      </c>
    </row>
    <row r="811" spans="1:21" x14ac:dyDescent="0.3">
      <c r="A811">
        <v>801</v>
      </c>
      <c r="B811" s="1">
        <v>40579</v>
      </c>
      <c r="C811">
        <v>1</v>
      </c>
      <c r="D811">
        <v>0</v>
      </c>
      <c r="E811">
        <v>2</v>
      </c>
      <c r="F811">
        <v>19</v>
      </c>
      <c r="G811" t="b">
        <v>0</v>
      </c>
      <c r="H811">
        <v>6</v>
      </c>
      <c r="I811">
        <v>2</v>
      </c>
      <c r="J811">
        <v>0.28000000000000003</v>
      </c>
      <c r="K811">
        <v>0.2424</v>
      </c>
      <c r="L811">
        <v>0.93</v>
      </c>
      <c r="M811">
        <v>0.44779999999999998</v>
      </c>
      <c r="N811">
        <v>6</v>
      </c>
      <c r="O811">
        <v>78</v>
      </c>
      <c r="P811">
        <v>84</v>
      </c>
      <c r="Q811" t="s">
        <v>64</v>
      </c>
      <c r="R811" t="s">
        <v>120</v>
      </c>
      <c r="S811" t="s">
        <v>24</v>
      </c>
      <c r="T811" t="s">
        <v>29</v>
      </c>
      <c r="U811" t="s">
        <v>124</v>
      </c>
    </row>
    <row r="812" spans="1:21" x14ac:dyDescent="0.3">
      <c r="A812">
        <v>802</v>
      </c>
      <c r="B812" s="1">
        <v>40579</v>
      </c>
      <c r="C812">
        <v>1</v>
      </c>
      <c r="D812">
        <v>0</v>
      </c>
      <c r="E812">
        <v>2</v>
      </c>
      <c r="F812">
        <v>20</v>
      </c>
      <c r="G812" t="b">
        <v>0</v>
      </c>
      <c r="H812">
        <v>6</v>
      </c>
      <c r="I812">
        <v>1</v>
      </c>
      <c r="J812">
        <v>0.3</v>
      </c>
      <c r="K812">
        <v>0.28789999999999999</v>
      </c>
      <c r="L812">
        <v>0.87</v>
      </c>
      <c r="M812">
        <v>0.25369999999999998</v>
      </c>
      <c r="N812">
        <v>5</v>
      </c>
      <c r="O812">
        <v>64</v>
      </c>
      <c r="P812">
        <v>69</v>
      </c>
      <c r="Q812" t="s">
        <v>62</v>
      </c>
      <c r="R812" t="s">
        <v>120</v>
      </c>
      <c r="S812" t="s">
        <v>24</v>
      </c>
      <c r="T812" t="s">
        <v>29</v>
      </c>
      <c r="U812" t="s">
        <v>123</v>
      </c>
    </row>
    <row r="813" spans="1:21" x14ac:dyDescent="0.3">
      <c r="A813">
        <v>803</v>
      </c>
      <c r="B813" s="1">
        <v>40579</v>
      </c>
      <c r="C813">
        <v>1</v>
      </c>
      <c r="D813">
        <v>0</v>
      </c>
      <c r="E813">
        <v>2</v>
      </c>
      <c r="F813">
        <v>21</v>
      </c>
      <c r="G813" t="b">
        <v>0</v>
      </c>
      <c r="H813">
        <v>6</v>
      </c>
      <c r="I813">
        <v>1</v>
      </c>
      <c r="J813">
        <v>0.26</v>
      </c>
      <c r="K813">
        <v>0.2576</v>
      </c>
      <c r="L813">
        <v>1</v>
      </c>
      <c r="M813">
        <v>0.19400000000000001</v>
      </c>
      <c r="N813">
        <v>3</v>
      </c>
      <c r="O813">
        <v>53</v>
      </c>
      <c r="P813">
        <v>56</v>
      </c>
      <c r="Q813" t="s">
        <v>62</v>
      </c>
      <c r="R813" t="s">
        <v>120</v>
      </c>
      <c r="S813" t="s">
        <v>24</v>
      </c>
      <c r="T813" t="s">
        <v>29</v>
      </c>
      <c r="U813" t="s">
        <v>123</v>
      </c>
    </row>
    <row r="814" spans="1:21" x14ac:dyDescent="0.3">
      <c r="A814">
        <v>804</v>
      </c>
      <c r="B814" s="1">
        <v>40579</v>
      </c>
      <c r="C814">
        <v>1</v>
      </c>
      <c r="D814">
        <v>0</v>
      </c>
      <c r="E814">
        <v>2</v>
      </c>
      <c r="F814">
        <v>22</v>
      </c>
      <c r="G814" t="b">
        <v>0</v>
      </c>
      <c r="H814">
        <v>6</v>
      </c>
      <c r="I814">
        <v>1</v>
      </c>
      <c r="J814">
        <v>0.26</v>
      </c>
      <c r="K814">
        <v>0.2727</v>
      </c>
      <c r="L814">
        <v>0.93</v>
      </c>
      <c r="M814">
        <v>0.1343</v>
      </c>
      <c r="N814">
        <v>2</v>
      </c>
      <c r="O814">
        <v>43</v>
      </c>
      <c r="P814">
        <v>45</v>
      </c>
      <c r="Q814" t="s">
        <v>62</v>
      </c>
      <c r="R814" t="s">
        <v>120</v>
      </c>
      <c r="S814" t="s">
        <v>24</v>
      </c>
      <c r="T814" t="s">
        <v>29</v>
      </c>
      <c r="U814" t="s">
        <v>123</v>
      </c>
    </row>
    <row r="815" spans="1:21" x14ac:dyDescent="0.3">
      <c r="A815">
        <v>805</v>
      </c>
      <c r="B815" s="1">
        <v>40579</v>
      </c>
      <c r="C815">
        <v>1</v>
      </c>
      <c r="D815">
        <v>0</v>
      </c>
      <c r="E815">
        <v>2</v>
      </c>
      <c r="F815">
        <v>23</v>
      </c>
      <c r="G815" t="b">
        <v>0</v>
      </c>
      <c r="H815">
        <v>6</v>
      </c>
      <c r="I815">
        <v>1</v>
      </c>
      <c r="J815">
        <v>0.26</v>
      </c>
      <c r="K815">
        <v>0.2576</v>
      </c>
      <c r="L815">
        <v>0.93</v>
      </c>
      <c r="M815">
        <v>0.22389999999999999</v>
      </c>
      <c r="N815">
        <v>7</v>
      </c>
      <c r="O815">
        <v>52</v>
      </c>
      <c r="P815">
        <v>59</v>
      </c>
      <c r="Q815" t="s">
        <v>62</v>
      </c>
      <c r="R815" t="s">
        <v>120</v>
      </c>
      <c r="S815" t="s">
        <v>24</v>
      </c>
      <c r="T815" t="s">
        <v>29</v>
      </c>
      <c r="U815" t="s">
        <v>123</v>
      </c>
    </row>
    <row r="816" spans="1:21" x14ac:dyDescent="0.3">
      <c r="A816">
        <v>946</v>
      </c>
      <c r="B816" s="1">
        <v>40586</v>
      </c>
      <c r="C816">
        <v>1</v>
      </c>
      <c r="D816">
        <v>0</v>
      </c>
      <c r="E816">
        <v>2</v>
      </c>
      <c r="F816">
        <v>0</v>
      </c>
      <c r="G816" t="b">
        <v>0</v>
      </c>
      <c r="H816">
        <v>6</v>
      </c>
      <c r="I816">
        <v>1</v>
      </c>
      <c r="J816">
        <v>0.16</v>
      </c>
      <c r="K816">
        <v>0.19700000000000001</v>
      </c>
      <c r="L816">
        <v>0.69</v>
      </c>
      <c r="M816">
        <v>8.9599999999999999E-2</v>
      </c>
      <c r="N816">
        <v>3</v>
      </c>
      <c r="O816">
        <v>27</v>
      </c>
      <c r="P816">
        <v>30</v>
      </c>
      <c r="Q816" t="s">
        <v>62</v>
      </c>
      <c r="R816" t="s">
        <v>120</v>
      </c>
      <c r="S816" t="s">
        <v>24</v>
      </c>
      <c r="T816" t="s">
        <v>29</v>
      </c>
      <c r="U816" t="s">
        <v>123</v>
      </c>
    </row>
    <row r="817" spans="1:21" x14ac:dyDescent="0.3">
      <c r="A817">
        <v>947</v>
      </c>
      <c r="B817" s="1">
        <v>40586</v>
      </c>
      <c r="C817">
        <v>1</v>
      </c>
      <c r="D817">
        <v>0</v>
      </c>
      <c r="E817">
        <v>2</v>
      </c>
      <c r="F817">
        <v>1</v>
      </c>
      <c r="G817" t="b">
        <v>0</v>
      </c>
      <c r="H817">
        <v>6</v>
      </c>
      <c r="I817">
        <v>1</v>
      </c>
      <c r="J817">
        <v>0.14000000000000001</v>
      </c>
      <c r="K817">
        <v>0.21210000000000001</v>
      </c>
      <c r="L817">
        <v>0.86</v>
      </c>
      <c r="M817">
        <v>0</v>
      </c>
      <c r="N817">
        <v>2</v>
      </c>
      <c r="O817">
        <v>22</v>
      </c>
      <c r="P817">
        <v>24</v>
      </c>
      <c r="Q817" t="s">
        <v>62</v>
      </c>
      <c r="R817" t="s">
        <v>120</v>
      </c>
      <c r="S817" t="s">
        <v>24</v>
      </c>
      <c r="T817" t="s">
        <v>29</v>
      </c>
      <c r="U817" t="s">
        <v>123</v>
      </c>
    </row>
    <row r="818" spans="1:21" x14ac:dyDescent="0.3">
      <c r="A818">
        <v>948</v>
      </c>
      <c r="B818" s="1">
        <v>40586</v>
      </c>
      <c r="C818">
        <v>1</v>
      </c>
      <c r="D818">
        <v>0</v>
      </c>
      <c r="E818">
        <v>2</v>
      </c>
      <c r="F818">
        <v>2</v>
      </c>
      <c r="G818" t="b">
        <v>0</v>
      </c>
      <c r="H818">
        <v>6</v>
      </c>
      <c r="I818">
        <v>1</v>
      </c>
      <c r="J818">
        <v>0.14000000000000001</v>
      </c>
      <c r="K818">
        <v>0.21210000000000001</v>
      </c>
      <c r="L818">
        <v>0.8</v>
      </c>
      <c r="M818">
        <v>0</v>
      </c>
      <c r="N818">
        <v>2</v>
      </c>
      <c r="O818">
        <v>13</v>
      </c>
      <c r="P818">
        <v>15</v>
      </c>
      <c r="Q818" t="s">
        <v>62</v>
      </c>
      <c r="R818" t="s">
        <v>120</v>
      </c>
      <c r="S818" t="s">
        <v>24</v>
      </c>
      <c r="T818" t="s">
        <v>29</v>
      </c>
      <c r="U818" t="s">
        <v>123</v>
      </c>
    </row>
    <row r="819" spans="1:21" x14ac:dyDescent="0.3">
      <c r="A819">
        <v>949</v>
      </c>
      <c r="B819" s="1">
        <v>40586</v>
      </c>
      <c r="C819">
        <v>1</v>
      </c>
      <c r="D819">
        <v>0</v>
      </c>
      <c r="E819">
        <v>2</v>
      </c>
      <c r="F819">
        <v>3</v>
      </c>
      <c r="G819" t="b">
        <v>0</v>
      </c>
      <c r="H819">
        <v>6</v>
      </c>
      <c r="I819">
        <v>1</v>
      </c>
      <c r="J819">
        <v>0.12</v>
      </c>
      <c r="K819">
        <v>0.19700000000000001</v>
      </c>
      <c r="L819">
        <v>0.8</v>
      </c>
      <c r="M819">
        <v>0</v>
      </c>
      <c r="N819">
        <v>3</v>
      </c>
      <c r="O819">
        <v>7</v>
      </c>
      <c r="P819">
        <v>10</v>
      </c>
      <c r="Q819" t="s">
        <v>62</v>
      </c>
      <c r="R819" t="s">
        <v>120</v>
      </c>
      <c r="S819" t="s">
        <v>24</v>
      </c>
      <c r="T819" t="s">
        <v>29</v>
      </c>
      <c r="U819" t="s">
        <v>123</v>
      </c>
    </row>
    <row r="820" spans="1:21" x14ac:dyDescent="0.3">
      <c r="A820">
        <v>950</v>
      </c>
      <c r="B820" s="1">
        <v>40586</v>
      </c>
      <c r="C820">
        <v>1</v>
      </c>
      <c r="D820">
        <v>0</v>
      </c>
      <c r="E820">
        <v>2</v>
      </c>
      <c r="F820">
        <v>4</v>
      </c>
      <c r="G820" t="b">
        <v>0</v>
      </c>
      <c r="H820">
        <v>6</v>
      </c>
      <c r="I820">
        <v>1</v>
      </c>
      <c r="J820">
        <v>0.12</v>
      </c>
      <c r="K820">
        <v>0.16669999999999999</v>
      </c>
      <c r="L820">
        <v>0.74</v>
      </c>
      <c r="M820">
        <v>8.9599999999999999E-2</v>
      </c>
      <c r="N820">
        <v>0</v>
      </c>
      <c r="O820">
        <v>4</v>
      </c>
      <c r="P820">
        <v>4</v>
      </c>
      <c r="Q820" t="s">
        <v>62</v>
      </c>
      <c r="R820" t="s">
        <v>120</v>
      </c>
      <c r="S820" t="s">
        <v>24</v>
      </c>
      <c r="T820" t="s">
        <v>29</v>
      </c>
      <c r="U820" t="s">
        <v>123</v>
      </c>
    </row>
    <row r="821" spans="1:21" x14ac:dyDescent="0.3">
      <c r="A821">
        <v>951</v>
      </c>
      <c r="B821" s="1">
        <v>40586</v>
      </c>
      <c r="C821">
        <v>1</v>
      </c>
      <c r="D821">
        <v>0</v>
      </c>
      <c r="E821">
        <v>2</v>
      </c>
      <c r="F821">
        <v>5</v>
      </c>
      <c r="G821" t="b">
        <v>0</v>
      </c>
      <c r="H821">
        <v>6</v>
      </c>
      <c r="I821">
        <v>1</v>
      </c>
      <c r="J821">
        <v>0.12</v>
      </c>
      <c r="K821">
        <v>0.16669999999999999</v>
      </c>
      <c r="L821">
        <v>0.74</v>
      </c>
      <c r="M821">
        <v>8.9599999999999999E-2</v>
      </c>
      <c r="N821">
        <v>0</v>
      </c>
      <c r="O821">
        <v>1</v>
      </c>
      <c r="P821">
        <v>1</v>
      </c>
      <c r="Q821" t="s">
        <v>62</v>
      </c>
      <c r="R821" t="s">
        <v>120</v>
      </c>
      <c r="S821" t="s">
        <v>24</v>
      </c>
      <c r="T821" t="s">
        <v>29</v>
      </c>
      <c r="U821" t="s">
        <v>123</v>
      </c>
    </row>
    <row r="822" spans="1:21" x14ac:dyDescent="0.3">
      <c r="A822">
        <v>952</v>
      </c>
      <c r="B822" s="1">
        <v>40586</v>
      </c>
      <c r="C822">
        <v>1</v>
      </c>
      <c r="D822">
        <v>0</v>
      </c>
      <c r="E822">
        <v>2</v>
      </c>
      <c r="F822">
        <v>6</v>
      </c>
      <c r="G822" t="b">
        <v>0</v>
      </c>
      <c r="H822">
        <v>6</v>
      </c>
      <c r="I822">
        <v>1</v>
      </c>
      <c r="J822">
        <v>0.12</v>
      </c>
      <c r="K822">
        <v>0.13639999999999999</v>
      </c>
      <c r="L822">
        <v>0.93</v>
      </c>
      <c r="M822">
        <v>0.19400000000000001</v>
      </c>
      <c r="N822">
        <v>1</v>
      </c>
      <c r="O822">
        <v>1</v>
      </c>
      <c r="P822">
        <v>2</v>
      </c>
      <c r="Q822" t="s">
        <v>62</v>
      </c>
      <c r="R822" t="s">
        <v>120</v>
      </c>
      <c r="S822" t="s">
        <v>24</v>
      </c>
      <c r="T822" t="s">
        <v>29</v>
      </c>
      <c r="U822" t="s">
        <v>123</v>
      </c>
    </row>
    <row r="823" spans="1:21" x14ac:dyDescent="0.3">
      <c r="A823">
        <v>953</v>
      </c>
      <c r="B823" s="1">
        <v>40586</v>
      </c>
      <c r="C823">
        <v>1</v>
      </c>
      <c r="D823">
        <v>0</v>
      </c>
      <c r="E823">
        <v>2</v>
      </c>
      <c r="F823">
        <v>7</v>
      </c>
      <c r="G823" t="b">
        <v>0</v>
      </c>
      <c r="H823">
        <v>6</v>
      </c>
      <c r="I823">
        <v>1</v>
      </c>
      <c r="J823">
        <v>0.12</v>
      </c>
      <c r="K823">
        <v>0.1515</v>
      </c>
      <c r="L823">
        <v>0.8</v>
      </c>
      <c r="M823">
        <v>0.1045</v>
      </c>
      <c r="N823">
        <v>2</v>
      </c>
      <c r="O823">
        <v>9</v>
      </c>
      <c r="P823">
        <v>11</v>
      </c>
      <c r="Q823" t="s">
        <v>62</v>
      </c>
      <c r="R823" t="s">
        <v>120</v>
      </c>
      <c r="S823" t="s">
        <v>24</v>
      </c>
      <c r="T823" t="s">
        <v>29</v>
      </c>
      <c r="U823" t="s">
        <v>123</v>
      </c>
    </row>
    <row r="824" spans="1:21" x14ac:dyDescent="0.3">
      <c r="A824">
        <v>954</v>
      </c>
      <c r="B824" s="1">
        <v>40586</v>
      </c>
      <c r="C824">
        <v>1</v>
      </c>
      <c r="D824">
        <v>0</v>
      </c>
      <c r="E824">
        <v>2</v>
      </c>
      <c r="F824">
        <v>8</v>
      </c>
      <c r="G824" t="b">
        <v>0</v>
      </c>
      <c r="H824">
        <v>6</v>
      </c>
      <c r="I824">
        <v>1</v>
      </c>
      <c r="J824">
        <v>0.14000000000000001</v>
      </c>
      <c r="K824">
        <v>0.1515</v>
      </c>
      <c r="L824">
        <v>0.86</v>
      </c>
      <c r="M824">
        <v>0.1343</v>
      </c>
      <c r="N824">
        <v>2</v>
      </c>
      <c r="O824">
        <v>28</v>
      </c>
      <c r="P824">
        <v>30</v>
      </c>
      <c r="Q824" t="s">
        <v>62</v>
      </c>
      <c r="R824" t="s">
        <v>120</v>
      </c>
      <c r="S824" t="s">
        <v>24</v>
      </c>
      <c r="T824" t="s">
        <v>29</v>
      </c>
      <c r="U824" t="s">
        <v>123</v>
      </c>
    </row>
    <row r="825" spans="1:21" x14ac:dyDescent="0.3">
      <c r="A825">
        <v>955</v>
      </c>
      <c r="B825" s="1">
        <v>40586</v>
      </c>
      <c r="C825">
        <v>1</v>
      </c>
      <c r="D825">
        <v>0</v>
      </c>
      <c r="E825">
        <v>2</v>
      </c>
      <c r="F825">
        <v>9</v>
      </c>
      <c r="G825" t="b">
        <v>0</v>
      </c>
      <c r="H825">
        <v>6</v>
      </c>
      <c r="I825">
        <v>1</v>
      </c>
      <c r="J825">
        <v>0.16</v>
      </c>
      <c r="K825">
        <v>0.18179999999999999</v>
      </c>
      <c r="L825">
        <v>0.64</v>
      </c>
      <c r="M825">
        <v>0.1343</v>
      </c>
      <c r="N825">
        <v>5</v>
      </c>
      <c r="O825">
        <v>38</v>
      </c>
      <c r="P825">
        <v>43</v>
      </c>
      <c r="Q825" t="s">
        <v>62</v>
      </c>
      <c r="R825" t="s">
        <v>120</v>
      </c>
      <c r="S825" t="s">
        <v>24</v>
      </c>
      <c r="T825" t="s">
        <v>29</v>
      </c>
      <c r="U825" t="s">
        <v>123</v>
      </c>
    </row>
    <row r="826" spans="1:21" x14ac:dyDescent="0.3">
      <c r="A826">
        <v>956</v>
      </c>
      <c r="B826" s="1">
        <v>40586</v>
      </c>
      <c r="C826">
        <v>1</v>
      </c>
      <c r="D826">
        <v>0</v>
      </c>
      <c r="E826">
        <v>2</v>
      </c>
      <c r="F826">
        <v>10</v>
      </c>
      <c r="G826" t="b">
        <v>0</v>
      </c>
      <c r="H826">
        <v>6</v>
      </c>
      <c r="I826">
        <v>1</v>
      </c>
      <c r="J826">
        <v>0.22</v>
      </c>
      <c r="K826">
        <v>0.21210000000000001</v>
      </c>
      <c r="L826">
        <v>0.41</v>
      </c>
      <c r="M826">
        <v>0.25369999999999998</v>
      </c>
      <c r="N826">
        <v>13</v>
      </c>
      <c r="O826">
        <v>71</v>
      </c>
      <c r="P826">
        <v>84</v>
      </c>
      <c r="Q826" t="s">
        <v>62</v>
      </c>
      <c r="R826" t="s">
        <v>120</v>
      </c>
      <c r="S826" t="s">
        <v>24</v>
      </c>
      <c r="T826" t="s">
        <v>29</v>
      </c>
      <c r="U826" t="s">
        <v>123</v>
      </c>
    </row>
    <row r="827" spans="1:21" x14ac:dyDescent="0.3">
      <c r="A827">
        <v>957</v>
      </c>
      <c r="B827" s="1">
        <v>40586</v>
      </c>
      <c r="C827">
        <v>1</v>
      </c>
      <c r="D827">
        <v>0</v>
      </c>
      <c r="E827">
        <v>2</v>
      </c>
      <c r="F827">
        <v>11</v>
      </c>
      <c r="G827" t="b">
        <v>0</v>
      </c>
      <c r="H827">
        <v>6</v>
      </c>
      <c r="I827">
        <v>1</v>
      </c>
      <c r="J827">
        <v>0.3</v>
      </c>
      <c r="K827">
        <v>0.2727</v>
      </c>
      <c r="L827">
        <v>0.28000000000000003</v>
      </c>
      <c r="M827">
        <v>0.32840000000000003</v>
      </c>
      <c r="N827">
        <v>30</v>
      </c>
      <c r="O827">
        <v>84</v>
      </c>
      <c r="P827">
        <v>114</v>
      </c>
      <c r="Q827" t="s">
        <v>62</v>
      </c>
      <c r="R827" t="s">
        <v>120</v>
      </c>
      <c r="S827" t="s">
        <v>24</v>
      </c>
      <c r="T827" t="s">
        <v>29</v>
      </c>
      <c r="U827" t="s">
        <v>123</v>
      </c>
    </row>
    <row r="828" spans="1:21" x14ac:dyDescent="0.3">
      <c r="A828">
        <v>958</v>
      </c>
      <c r="B828" s="1">
        <v>40586</v>
      </c>
      <c r="C828">
        <v>1</v>
      </c>
      <c r="D828">
        <v>0</v>
      </c>
      <c r="E828">
        <v>2</v>
      </c>
      <c r="F828">
        <v>12</v>
      </c>
      <c r="G828" t="b">
        <v>0</v>
      </c>
      <c r="H828">
        <v>6</v>
      </c>
      <c r="I828">
        <v>1</v>
      </c>
      <c r="J828">
        <v>0.3</v>
      </c>
      <c r="K828">
        <v>0.2727</v>
      </c>
      <c r="L828">
        <v>0.39</v>
      </c>
      <c r="M828">
        <v>0.4627</v>
      </c>
      <c r="N828">
        <v>27</v>
      </c>
      <c r="O828">
        <v>93</v>
      </c>
      <c r="P828">
        <v>120</v>
      </c>
      <c r="Q828" t="s">
        <v>62</v>
      </c>
      <c r="R828" t="s">
        <v>120</v>
      </c>
      <c r="S828" t="s">
        <v>24</v>
      </c>
      <c r="T828" t="s">
        <v>29</v>
      </c>
      <c r="U828" t="s">
        <v>123</v>
      </c>
    </row>
    <row r="829" spans="1:21" x14ac:dyDescent="0.3">
      <c r="A829">
        <v>959</v>
      </c>
      <c r="B829" s="1">
        <v>40586</v>
      </c>
      <c r="C829">
        <v>1</v>
      </c>
      <c r="D829">
        <v>0</v>
      </c>
      <c r="E829">
        <v>2</v>
      </c>
      <c r="F829">
        <v>13</v>
      </c>
      <c r="G829" t="b">
        <v>0</v>
      </c>
      <c r="H829">
        <v>6</v>
      </c>
      <c r="I829">
        <v>1</v>
      </c>
      <c r="J829">
        <v>0.3</v>
      </c>
      <c r="K829">
        <v>0.2727</v>
      </c>
      <c r="L829">
        <v>0.39</v>
      </c>
      <c r="M829">
        <v>0.41789999999999999</v>
      </c>
      <c r="N829">
        <v>32</v>
      </c>
      <c r="O829">
        <v>103</v>
      </c>
      <c r="P829">
        <v>135</v>
      </c>
      <c r="Q829" t="s">
        <v>62</v>
      </c>
      <c r="R829" t="s">
        <v>120</v>
      </c>
      <c r="S829" t="s">
        <v>24</v>
      </c>
      <c r="T829" t="s">
        <v>29</v>
      </c>
      <c r="U829" t="s">
        <v>123</v>
      </c>
    </row>
    <row r="830" spans="1:21" x14ac:dyDescent="0.3">
      <c r="A830">
        <v>960</v>
      </c>
      <c r="B830" s="1">
        <v>40586</v>
      </c>
      <c r="C830">
        <v>1</v>
      </c>
      <c r="D830">
        <v>0</v>
      </c>
      <c r="E830">
        <v>2</v>
      </c>
      <c r="F830">
        <v>14</v>
      </c>
      <c r="G830" t="b">
        <v>0</v>
      </c>
      <c r="H830">
        <v>6</v>
      </c>
      <c r="I830">
        <v>1</v>
      </c>
      <c r="J830">
        <v>0.34</v>
      </c>
      <c r="K830">
        <v>0.31819999999999998</v>
      </c>
      <c r="L830">
        <v>0.31</v>
      </c>
      <c r="M830">
        <v>0.28360000000000002</v>
      </c>
      <c r="N830">
        <v>30</v>
      </c>
      <c r="O830">
        <v>90</v>
      </c>
      <c r="P830">
        <v>120</v>
      </c>
      <c r="Q830" t="s">
        <v>62</v>
      </c>
      <c r="R830" t="s">
        <v>120</v>
      </c>
      <c r="S830" t="s">
        <v>24</v>
      </c>
      <c r="T830" t="s">
        <v>29</v>
      </c>
      <c r="U830" t="s">
        <v>123</v>
      </c>
    </row>
    <row r="831" spans="1:21" x14ac:dyDescent="0.3">
      <c r="A831">
        <v>961</v>
      </c>
      <c r="B831" s="1">
        <v>40586</v>
      </c>
      <c r="C831">
        <v>1</v>
      </c>
      <c r="D831">
        <v>0</v>
      </c>
      <c r="E831">
        <v>2</v>
      </c>
      <c r="F831">
        <v>15</v>
      </c>
      <c r="G831" t="b">
        <v>0</v>
      </c>
      <c r="H831">
        <v>6</v>
      </c>
      <c r="I831">
        <v>1</v>
      </c>
      <c r="J831">
        <v>0.34</v>
      </c>
      <c r="K831">
        <v>0.30299999999999999</v>
      </c>
      <c r="L831">
        <v>0.28999999999999998</v>
      </c>
      <c r="M831">
        <v>0.41789999999999999</v>
      </c>
      <c r="N831">
        <v>47</v>
      </c>
      <c r="O831">
        <v>127</v>
      </c>
      <c r="P831">
        <v>174</v>
      </c>
      <c r="Q831" t="s">
        <v>62</v>
      </c>
      <c r="R831" t="s">
        <v>120</v>
      </c>
      <c r="S831" t="s">
        <v>24</v>
      </c>
      <c r="T831" t="s">
        <v>29</v>
      </c>
      <c r="U831" t="s">
        <v>123</v>
      </c>
    </row>
    <row r="832" spans="1:21" x14ac:dyDescent="0.3">
      <c r="A832">
        <v>962</v>
      </c>
      <c r="B832" s="1">
        <v>40586</v>
      </c>
      <c r="C832">
        <v>1</v>
      </c>
      <c r="D832">
        <v>0</v>
      </c>
      <c r="E832">
        <v>2</v>
      </c>
      <c r="F832">
        <v>16</v>
      </c>
      <c r="G832" t="b">
        <v>0</v>
      </c>
      <c r="H832">
        <v>6</v>
      </c>
      <c r="I832">
        <v>1</v>
      </c>
      <c r="J832">
        <v>0.34</v>
      </c>
      <c r="K832">
        <v>0.30299999999999999</v>
      </c>
      <c r="L832">
        <v>0.28999999999999998</v>
      </c>
      <c r="M832">
        <v>0.41789999999999999</v>
      </c>
      <c r="N832">
        <v>42</v>
      </c>
      <c r="O832">
        <v>103</v>
      </c>
      <c r="P832">
        <v>145</v>
      </c>
      <c r="Q832" t="s">
        <v>62</v>
      </c>
      <c r="R832" t="s">
        <v>120</v>
      </c>
      <c r="S832" t="s">
        <v>24</v>
      </c>
      <c r="T832" t="s">
        <v>29</v>
      </c>
      <c r="U832" t="s">
        <v>123</v>
      </c>
    </row>
    <row r="833" spans="1:21" x14ac:dyDescent="0.3">
      <c r="A833">
        <v>963</v>
      </c>
      <c r="B833" s="1">
        <v>40586</v>
      </c>
      <c r="C833">
        <v>1</v>
      </c>
      <c r="D833">
        <v>0</v>
      </c>
      <c r="E833">
        <v>2</v>
      </c>
      <c r="F833">
        <v>17</v>
      </c>
      <c r="G833" t="b">
        <v>0</v>
      </c>
      <c r="H833">
        <v>6</v>
      </c>
      <c r="I833">
        <v>1</v>
      </c>
      <c r="J833">
        <v>0.32</v>
      </c>
      <c r="K833">
        <v>0.28789999999999999</v>
      </c>
      <c r="L833">
        <v>0.31</v>
      </c>
      <c r="M833">
        <v>0.52239999999999998</v>
      </c>
      <c r="N833">
        <v>24</v>
      </c>
      <c r="O833">
        <v>113</v>
      </c>
      <c r="P833">
        <v>137</v>
      </c>
      <c r="Q833" t="s">
        <v>62</v>
      </c>
      <c r="R833" t="s">
        <v>120</v>
      </c>
      <c r="S833" t="s">
        <v>24</v>
      </c>
      <c r="T833" t="s">
        <v>29</v>
      </c>
      <c r="U833" t="s">
        <v>123</v>
      </c>
    </row>
    <row r="834" spans="1:21" x14ac:dyDescent="0.3">
      <c r="A834">
        <v>964</v>
      </c>
      <c r="B834" s="1">
        <v>40586</v>
      </c>
      <c r="C834">
        <v>1</v>
      </c>
      <c r="D834">
        <v>0</v>
      </c>
      <c r="E834">
        <v>2</v>
      </c>
      <c r="F834">
        <v>18</v>
      </c>
      <c r="G834" t="b">
        <v>0</v>
      </c>
      <c r="H834">
        <v>6</v>
      </c>
      <c r="I834">
        <v>1</v>
      </c>
      <c r="J834">
        <v>0.28000000000000003</v>
      </c>
      <c r="K834">
        <v>0.2576</v>
      </c>
      <c r="L834">
        <v>0.38</v>
      </c>
      <c r="M834">
        <v>0.32840000000000003</v>
      </c>
      <c r="N834">
        <v>4</v>
      </c>
      <c r="O834">
        <v>60</v>
      </c>
      <c r="P834">
        <v>64</v>
      </c>
      <c r="Q834" t="s">
        <v>62</v>
      </c>
      <c r="R834" t="s">
        <v>120</v>
      </c>
      <c r="S834" t="s">
        <v>24</v>
      </c>
      <c r="T834" t="s">
        <v>29</v>
      </c>
      <c r="U834" t="s">
        <v>123</v>
      </c>
    </row>
    <row r="835" spans="1:21" x14ac:dyDescent="0.3">
      <c r="A835">
        <v>965</v>
      </c>
      <c r="B835" s="1">
        <v>40586</v>
      </c>
      <c r="C835">
        <v>1</v>
      </c>
      <c r="D835">
        <v>0</v>
      </c>
      <c r="E835">
        <v>2</v>
      </c>
      <c r="F835">
        <v>19</v>
      </c>
      <c r="G835" t="b">
        <v>0</v>
      </c>
      <c r="H835">
        <v>6</v>
      </c>
      <c r="I835">
        <v>1</v>
      </c>
      <c r="J835">
        <v>0.28000000000000003</v>
      </c>
      <c r="K835">
        <v>0.2727</v>
      </c>
      <c r="L835">
        <v>0.38</v>
      </c>
      <c r="M835">
        <v>0.16420000000000001</v>
      </c>
      <c r="N835">
        <v>2</v>
      </c>
      <c r="O835">
        <v>39</v>
      </c>
      <c r="P835">
        <v>41</v>
      </c>
      <c r="Q835" t="s">
        <v>62</v>
      </c>
      <c r="R835" t="s">
        <v>120</v>
      </c>
      <c r="S835" t="s">
        <v>24</v>
      </c>
      <c r="T835" t="s">
        <v>29</v>
      </c>
      <c r="U835" t="s">
        <v>123</v>
      </c>
    </row>
    <row r="836" spans="1:21" x14ac:dyDescent="0.3">
      <c r="A836">
        <v>966</v>
      </c>
      <c r="B836" s="1">
        <v>40586</v>
      </c>
      <c r="C836">
        <v>1</v>
      </c>
      <c r="D836">
        <v>0</v>
      </c>
      <c r="E836">
        <v>2</v>
      </c>
      <c r="F836">
        <v>20</v>
      </c>
      <c r="G836" t="b">
        <v>0</v>
      </c>
      <c r="H836">
        <v>6</v>
      </c>
      <c r="I836">
        <v>1</v>
      </c>
      <c r="J836">
        <v>0.26</v>
      </c>
      <c r="K836">
        <v>0.2576</v>
      </c>
      <c r="L836">
        <v>0.41</v>
      </c>
      <c r="M836">
        <v>0.22389999999999999</v>
      </c>
      <c r="N836">
        <v>1</v>
      </c>
      <c r="O836">
        <v>39</v>
      </c>
      <c r="P836">
        <v>40</v>
      </c>
      <c r="Q836" t="s">
        <v>62</v>
      </c>
      <c r="R836" t="s">
        <v>120</v>
      </c>
      <c r="S836" t="s">
        <v>24</v>
      </c>
      <c r="T836" t="s">
        <v>29</v>
      </c>
      <c r="U836" t="s">
        <v>123</v>
      </c>
    </row>
    <row r="837" spans="1:21" x14ac:dyDescent="0.3">
      <c r="A837">
        <v>967</v>
      </c>
      <c r="B837" s="1">
        <v>40586</v>
      </c>
      <c r="C837">
        <v>1</v>
      </c>
      <c r="D837">
        <v>0</v>
      </c>
      <c r="E837">
        <v>2</v>
      </c>
      <c r="F837">
        <v>21</v>
      </c>
      <c r="G837" t="b">
        <v>0</v>
      </c>
      <c r="H837">
        <v>6</v>
      </c>
      <c r="I837">
        <v>1</v>
      </c>
      <c r="J837">
        <v>0.26</v>
      </c>
      <c r="K837">
        <v>0.30299999999999999</v>
      </c>
      <c r="L837">
        <v>0.41</v>
      </c>
      <c r="M837">
        <v>0</v>
      </c>
      <c r="N837">
        <v>9</v>
      </c>
      <c r="O837">
        <v>42</v>
      </c>
      <c r="P837">
        <v>51</v>
      </c>
      <c r="Q837" t="s">
        <v>62</v>
      </c>
      <c r="R837" t="s">
        <v>120</v>
      </c>
      <c r="S837" t="s">
        <v>24</v>
      </c>
      <c r="T837" t="s">
        <v>29</v>
      </c>
      <c r="U837" t="s">
        <v>123</v>
      </c>
    </row>
    <row r="838" spans="1:21" x14ac:dyDescent="0.3">
      <c r="A838">
        <v>968</v>
      </c>
      <c r="B838" s="1">
        <v>40586</v>
      </c>
      <c r="C838">
        <v>1</v>
      </c>
      <c r="D838">
        <v>0</v>
      </c>
      <c r="E838">
        <v>2</v>
      </c>
      <c r="F838">
        <v>22</v>
      </c>
      <c r="G838" t="b">
        <v>0</v>
      </c>
      <c r="H838">
        <v>6</v>
      </c>
      <c r="I838">
        <v>1</v>
      </c>
      <c r="J838">
        <v>0.24</v>
      </c>
      <c r="K838">
        <v>0.2576</v>
      </c>
      <c r="L838">
        <v>0.44</v>
      </c>
      <c r="M838">
        <v>8.9599999999999999E-2</v>
      </c>
      <c r="N838">
        <v>6</v>
      </c>
      <c r="O838">
        <v>39</v>
      </c>
      <c r="P838">
        <v>45</v>
      </c>
      <c r="Q838" t="s">
        <v>62</v>
      </c>
      <c r="R838" t="s">
        <v>120</v>
      </c>
      <c r="S838" t="s">
        <v>24</v>
      </c>
      <c r="T838" t="s">
        <v>29</v>
      </c>
      <c r="U838" t="s">
        <v>123</v>
      </c>
    </row>
    <row r="839" spans="1:21" x14ac:dyDescent="0.3">
      <c r="A839">
        <v>969</v>
      </c>
      <c r="B839" s="1">
        <v>40586</v>
      </c>
      <c r="C839">
        <v>1</v>
      </c>
      <c r="D839">
        <v>0</v>
      </c>
      <c r="E839">
        <v>2</v>
      </c>
      <c r="F839">
        <v>23</v>
      </c>
      <c r="G839" t="b">
        <v>0</v>
      </c>
      <c r="H839">
        <v>6</v>
      </c>
      <c r="I839">
        <v>1</v>
      </c>
      <c r="J839">
        <v>0.22</v>
      </c>
      <c r="K839">
        <v>0.2273</v>
      </c>
      <c r="L839">
        <v>0.51</v>
      </c>
      <c r="M839">
        <v>0.1343</v>
      </c>
      <c r="N839">
        <v>1</v>
      </c>
      <c r="O839">
        <v>31</v>
      </c>
      <c r="P839">
        <v>32</v>
      </c>
      <c r="Q839" t="s">
        <v>62</v>
      </c>
      <c r="R839" t="s">
        <v>120</v>
      </c>
      <c r="S839" t="s">
        <v>24</v>
      </c>
      <c r="T839" t="s">
        <v>29</v>
      </c>
      <c r="U839" t="s">
        <v>123</v>
      </c>
    </row>
    <row r="840" spans="1:21" x14ac:dyDescent="0.3">
      <c r="A840">
        <v>25</v>
      </c>
      <c r="B840" s="1">
        <v>40545</v>
      </c>
      <c r="C840">
        <v>1</v>
      </c>
      <c r="D840">
        <v>0</v>
      </c>
      <c r="E840">
        <v>1</v>
      </c>
      <c r="F840">
        <v>0</v>
      </c>
      <c r="G840" t="b">
        <v>0</v>
      </c>
      <c r="H840">
        <v>0</v>
      </c>
      <c r="I840">
        <v>2</v>
      </c>
      <c r="J840">
        <v>0.46</v>
      </c>
      <c r="K840">
        <v>0.45450000000000002</v>
      </c>
      <c r="L840">
        <v>0.88</v>
      </c>
      <c r="M840">
        <v>0.29849999999999999</v>
      </c>
      <c r="N840">
        <v>4</v>
      </c>
      <c r="O840">
        <v>13</v>
      </c>
      <c r="P840">
        <v>17</v>
      </c>
      <c r="Q840" t="s">
        <v>64</v>
      </c>
      <c r="R840" t="s">
        <v>120</v>
      </c>
      <c r="S840" t="s">
        <v>25</v>
      </c>
      <c r="T840" t="s">
        <v>30</v>
      </c>
      <c r="U840" t="s">
        <v>124</v>
      </c>
    </row>
    <row r="841" spans="1:21" x14ac:dyDescent="0.3">
      <c r="A841">
        <v>26</v>
      </c>
      <c r="B841" s="1">
        <v>40545</v>
      </c>
      <c r="C841">
        <v>1</v>
      </c>
      <c r="D841">
        <v>0</v>
      </c>
      <c r="E841">
        <v>1</v>
      </c>
      <c r="F841">
        <v>1</v>
      </c>
      <c r="G841" t="b">
        <v>0</v>
      </c>
      <c r="H841">
        <v>0</v>
      </c>
      <c r="I841">
        <v>2</v>
      </c>
      <c r="J841">
        <v>0.44</v>
      </c>
      <c r="K841">
        <v>0.43940000000000001</v>
      </c>
      <c r="L841">
        <v>0.94</v>
      </c>
      <c r="M841">
        <v>0.25369999999999998</v>
      </c>
      <c r="N841">
        <v>1</v>
      </c>
      <c r="O841">
        <v>16</v>
      </c>
      <c r="P841">
        <v>17</v>
      </c>
      <c r="Q841" t="s">
        <v>64</v>
      </c>
      <c r="R841" t="s">
        <v>120</v>
      </c>
      <c r="S841" t="s">
        <v>25</v>
      </c>
      <c r="T841" t="s">
        <v>30</v>
      </c>
      <c r="U841" t="s">
        <v>124</v>
      </c>
    </row>
    <row r="842" spans="1:21" x14ac:dyDescent="0.3">
      <c r="A842">
        <v>27</v>
      </c>
      <c r="B842" s="1">
        <v>40545</v>
      </c>
      <c r="C842">
        <v>1</v>
      </c>
      <c r="D842">
        <v>0</v>
      </c>
      <c r="E842">
        <v>1</v>
      </c>
      <c r="F842">
        <v>2</v>
      </c>
      <c r="G842" t="b">
        <v>0</v>
      </c>
      <c r="H842">
        <v>0</v>
      </c>
      <c r="I842">
        <v>2</v>
      </c>
      <c r="J842">
        <v>0.42</v>
      </c>
      <c r="K842">
        <v>0.42420000000000002</v>
      </c>
      <c r="L842">
        <v>1</v>
      </c>
      <c r="M842">
        <v>0.28360000000000002</v>
      </c>
      <c r="N842">
        <v>1</v>
      </c>
      <c r="O842">
        <v>8</v>
      </c>
      <c r="P842">
        <v>9</v>
      </c>
      <c r="Q842" t="s">
        <v>64</v>
      </c>
      <c r="R842" t="s">
        <v>120</v>
      </c>
      <c r="S842" t="s">
        <v>25</v>
      </c>
      <c r="T842" t="s">
        <v>30</v>
      </c>
      <c r="U842" t="s">
        <v>124</v>
      </c>
    </row>
    <row r="843" spans="1:21" x14ac:dyDescent="0.3">
      <c r="A843">
        <v>28</v>
      </c>
      <c r="B843" s="1">
        <v>40545</v>
      </c>
      <c r="C843">
        <v>1</v>
      </c>
      <c r="D843">
        <v>0</v>
      </c>
      <c r="E843">
        <v>1</v>
      </c>
      <c r="F843">
        <v>3</v>
      </c>
      <c r="G843" t="b">
        <v>0</v>
      </c>
      <c r="H843">
        <v>0</v>
      </c>
      <c r="I843">
        <v>2</v>
      </c>
      <c r="J843">
        <v>0.46</v>
      </c>
      <c r="K843">
        <v>0.45450000000000002</v>
      </c>
      <c r="L843">
        <v>0.94</v>
      </c>
      <c r="M843">
        <v>0.19400000000000001</v>
      </c>
      <c r="N843">
        <v>2</v>
      </c>
      <c r="O843">
        <v>4</v>
      </c>
      <c r="P843">
        <v>6</v>
      </c>
      <c r="Q843" t="s">
        <v>64</v>
      </c>
      <c r="R843" t="s">
        <v>120</v>
      </c>
      <c r="S843" t="s">
        <v>25</v>
      </c>
      <c r="T843" t="s">
        <v>30</v>
      </c>
      <c r="U843" t="s">
        <v>124</v>
      </c>
    </row>
    <row r="844" spans="1:21" x14ac:dyDescent="0.3">
      <c r="A844">
        <v>29</v>
      </c>
      <c r="B844" s="1">
        <v>40545</v>
      </c>
      <c r="C844">
        <v>1</v>
      </c>
      <c r="D844">
        <v>0</v>
      </c>
      <c r="E844">
        <v>1</v>
      </c>
      <c r="F844">
        <v>4</v>
      </c>
      <c r="G844" t="b">
        <v>0</v>
      </c>
      <c r="H844">
        <v>0</v>
      </c>
      <c r="I844">
        <v>2</v>
      </c>
      <c r="J844">
        <v>0.46</v>
      </c>
      <c r="L844">
        <v>0.94</v>
      </c>
      <c r="M844">
        <v>0.19400000000000001</v>
      </c>
      <c r="N844">
        <v>2</v>
      </c>
      <c r="O844">
        <v>1</v>
      </c>
      <c r="P844">
        <v>3</v>
      </c>
      <c r="Q844" t="s">
        <v>64</v>
      </c>
      <c r="R844" t="s">
        <v>120</v>
      </c>
      <c r="S844" t="s">
        <v>25</v>
      </c>
      <c r="T844" t="s">
        <v>30</v>
      </c>
      <c r="U844" t="s">
        <v>124</v>
      </c>
    </row>
    <row r="845" spans="1:21" x14ac:dyDescent="0.3">
      <c r="A845">
        <v>30</v>
      </c>
      <c r="B845" s="1">
        <v>40545</v>
      </c>
      <c r="C845">
        <v>1</v>
      </c>
      <c r="D845">
        <v>0</v>
      </c>
      <c r="E845">
        <v>1</v>
      </c>
      <c r="F845">
        <v>6</v>
      </c>
      <c r="G845" t="b">
        <v>0</v>
      </c>
      <c r="H845">
        <v>0</v>
      </c>
      <c r="I845">
        <v>3</v>
      </c>
      <c r="J845">
        <v>0.42</v>
      </c>
      <c r="K845">
        <v>0.42420000000000002</v>
      </c>
      <c r="L845">
        <v>0.77</v>
      </c>
      <c r="M845">
        <v>0.29849999999999999</v>
      </c>
      <c r="N845">
        <v>0</v>
      </c>
      <c r="O845">
        <v>2</v>
      </c>
      <c r="P845">
        <v>2</v>
      </c>
      <c r="Q845" t="s">
        <v>63</v>
      </c>
      <c r="R845" t="s">
        <v>120</v>
      </c>
      <c r="S845" t="s">
        <v>25</v>
      </c>
      <c r="T845" t="s">
        <v>30</v>
      </c>
      <c r="U845" t="s">
        <v>125</v>
      </c>
    </row>
    <row r="846" spans="1:21" x14ac:dyDescent="0.3">
      <c r="A846">
        <v>31</v>
      </c>
      <c r="B846" s="1">
        <v>40545</v>
      </c>
      <c r="C846">
        <v>1</v>
      </c>
      <c r="D846">
        <v>0</v>
      </c>
      <c r="E846">
        <v>1</v>
      </c>
      <c r="F846">
        <v>7</v>
      </c>
      <c r="G846" t="b">
        <v>0</v>
      </c>
      <c r="H846">
        <v>0</v>
      </c>
      <c r="I846">
        <v>2</v>
      </c>
      <c r="J846">
        <v>0.4</v>
      </c>
      <c r="K846">
        <v>0.40910000000000002</v>
      </c>
      <c r="L846">
        <v>0.76</v>
      </c>
      <c r="M846">
        <v>0.19400000000000001</v>
      </c>
      <c r="N846">
        <v>0</v>
      </c>
      <c r="O846">
        <v>1</v>
      </c>
      <c r="P846">
        <v>1</v>
      </c>
      <c r="Q846" t="s">
        <v>64</v>
      </c>
      <c r="R846" t="s">
        <v>120</v>
      </c>
      <c r="S846" t="s">
        <v>25</v>
      </c>
      <c r="T846" t="s">
        <v>30</v>
      </c>
      <c r="U846" t="s">
        <v>124</v>
      </c>
    </row>
    <row r="847" spans="1:21" x14ac:dyDescent="0.3">
      <c r="A847">
        <v>32</v>
      </c>
      <c r="B847" s="1">
        <v>40545</v>
      </c>
      <c r="C847">
        <v>1</v>
      </c>
      <c r="D847">
        <v>0</v>
      </c>
      <c r="E847">
        <v>1</v>
      </c>
      <c r="F847">
        <v>8</v>
      </c>
      <c r="G847" t="b">
        <v>0</v>
      </c>
      <c r="H847">
        <v>0</v>
      </c>
      <c r="I847">
        <v>3</v>
      </c>
      <c r="J847">
        <v>0.4</v>
      </c>
      <c r="K847">
        <v>0.40910000000000002</v>
      </c>
      <c r="L847">
        <v>0.71</v>
      </c>
      <c r="M847">
        <v>0.22389999999999999</v>
      </c>
      <c r="N847">
        <v>0</v>
      </c>
      <c r="O847">
        <v>8</v>
      </c>
      <c r="P847">
        <v>8</v>
      </c>
      <c r="Q847" t="s">
        <v>63</v>
      </c>
      <c r="R847" t="s">
        <v>120</v>
      </c>
      <c r="S847" t="s">
        <v>25</v>
      </c>
      <c r="T847" t="s">
        <v>30</v>
      </c>
      <c r="U847" t="s">
        <v>125</v>
      </c>
    </row>
    <row r="848" spans="1:21" x14ac:dyDescent="0.3">
      <c r="A848">
        <v>33</v>
      </c>
      <c r="B848" s="1">
        <v>40545</v>
      </c>
      <c r="C848">
        <v>1</v>
      </c>
      <c r="D848">
        <v>0</v>
      </c>
      <c r="E848">
        <v>1</v>
      </c>
      <c r="F848">
        <v>9</v>
      </c>
      <c r="G848" t="b">
        <v>0</v>
      </c>
      <c r="H848">
        <v>0</v>
      </c>
      <c r="I848">
        <v>2</v>
      </c>
      <c r="J848">
        <v>0.38</v>
      </c>
      <c r="L848">
        <v>0.76</v>
      </c>
      <c r="M848">
        <v>0.22389999999999999</v>
      </c>
      <c r="N848">
        <v>1</v>
      </c>
      <c r="O848">
        <v>19</v>
      </c>
      <c r="P848">
        <v>20</v>
      </c>
      <c r="Q848" t="s">
        <v>64</v>
      </c>
      <c r="R848" t="s">
        <v>120</v>
      </c>
      <c r="S848" t="s">
        <v>25</v>
      </c>
      <c r="T848" t="s">
        <v>30</v>
      </c>
      <c r="U848" t="s">
        <v>124</v>
      </c>
    </row>
    <row r="849" spans="1:21" x14ac:dyDescent="0.3">
      <c r="A849">
        <v>34</v>
      </c>
      <c r="B849" s="1">
        <v>40545</v>
      </c>
      <c r="C849">
        <v>1</v>
      </c>
      <c r="D849">
        <v>0</v>
      </c>
      <c r="E849">
        <v>1</v>
      </c>
      <c r="F849">
        <v>10</v>
      </c>
      <c r="G849" t="b">
        <v>0</v>
      </c>
      <c r="H849">
        <v>0</v>
      </c>
      <c r="I849">
        <v>2</v>
      </c>
      <c r="J849">
        <v>0.36</v>
      </c>
      <c r="K849">
        <v>0.34849999999999998</v>
      </c>
      <c r="L849">
        <v>0.81</v>
      </c>
      <c r="M849">
        <v>0.22389999999999999</v>
      </c>
      <c r="N849">
        <v>7</v>
      </c>
      <c r="O849">
        <v>46</v>
      </c>
      <c r="P849">
        <v>53</v>
      </c>
      <c r="Q849" t="s">
        <v>64</v>
      </c>
      <c r="R849" t="s">
        <v>120</v>
      </c>
      <c r="S849" t="s">
        <v>25</v>
      </c>
      <c r="T849" t="s">
        <v>30</v>
      </c>
      <c r="U849" t="s">
        <v>124</v>
      </c>
    </row>
    <row r="850" spans="1:21" x14ac:dyDescent="0.3">
      <c r="A850">
        <v>35</v>
      </c>
      <c r="B850" s="1">
        <v>40545</v>
      </c>
      <c r="C850">
        <v>1</v>
      </c>
      <c r="D850">
        <v>0</v>
      </c>
      <c r="E850">
        <v>1</v>
      </c>
      <c r="F850">
        <v>11</v>
      </c>
      <c r="G850" t="b">
        <v>0</v>
      </c>
      <c r="H850">
        <v>0</v>
      </c>
      <c r="I850">
        <v>2</v>
      </c>
      <c r="J850">
        <v>0.36</v>
      </c>
      <c r="K850">
        <v>0.33329999999999999</v>
      </c>
      <c r="L850">
        <v>0.71</v>
      </c>
      <c r="M850">
        <v>0.25369999999999998</v>
      </c>
      <c r="N850">
        <v>16</v>
      </c>
      <c r="O850">
        <v>54</v>
      </c>
      <c r="P850">
        <v>70</v>
      </c>
      <c r="Q850" t="s">
        <v>64</v>
      </c>
      <c r="R850" t="s">
        <v>120</v>
      </c>
      <c r="S850" t="s">
        <v>25</v>
      </c>
      <c r="T850" t="s">
        <v>30</v>
      </c>
      <c r="U850" t="s">
        <v>124</v>
      </c>
    </row>
    <row r="851" spans="1:21" x14ac:dyDescent="0.3">
      <c r="A851">
        <v>36</v>
      </c>
      <c r="B851" s="1">
        <v>40545</v>
      </c>
      <c r="C851">
        <v>1</v>
      </c>
      <c r="D851">
        <v>0</v>
      </c>
      <c r="E851">
        <v>1</v>
      </c>
      <c r="F851">
        <v>12</v>
      </c>
      <c r="G851" t="b">
        <v>0</v>
      </c>
      <c r="H851">
        <v>0</v>
      </c>
      <c r="I851">
        <v>2</v>
      </c>
      <c r="J851">
        <v>0.36</v>
      </c>
      <c r="K851">
        <v>0.33329999999999999</v>
      </c>
      <c r="L851">
        <v>0.66</v>
      </c>
      <c r="M851">
        <v>0.29849999999999999</v>
      </c>
      <c r="N851">
        <v>20</v>
      </c>
      <c r="O851">
        <v>73</v>
      </c>
      <c r="P851">
        <v>93</v>
      </c>
      <c r="Q851" t="s">
        <v>64</v>
      </c>
      <c r="R851" t="s">
        <v>120</v>
      </c>
      <c r="S851" t="s">
        <v>25</v>
      </c>
      <c r="T851" t="s">
        <v>30</v>
      </c>
      <c r="U851" t="s">
        <v>124</v>
      </c>
    </row>
    <row r="852" spans="1:21" x14ac:dyDescent="0.3">
      <c r="A852">
        <v>37</v>
      </c>
      <c r="B852" s="1">
        <v>40545</v>
      </c>
      <c r="C852">
        <v>1</v>
      </c>
      <c r="D852">
        <v>0</v>
      </c>
      <c r="E852">
        <v>1</v>
      </c>
      <c r="F852">
        <v>13</v>
      </c>
      <c r="G852" t="b">
        <v>0</v>
      </c>
      <c r="H852">
        <v>0</v>
      </c>
      <c r="I852">
        <v>2</v>
      </c>
      <c r="J852">
        <v>0.36</v>
      </c>
      <c r="K852">
        <v>0.34849999999999998</v>
      </c>
      <c r="L852">
        <v>0.66</v>
      </c>
      <c r="M852">
        <v>0.1343</v>
      </c>
      <c r="N852">
        <v>11</v>
      </c>
      <c r="O852">
        <v>64</v>
      </c>
      <c r="P852">
        <v>75</v>
      </c>
      <c r="Q852" t="s">
        <v>64</v>
      </c>
      <c r="R852" t="s">
        <v>120</v>
      </c>
      <c r="S852" t="s">
        <v>25</v>
      </c>
      <c r="T852" t="s">
        <v>30</v>
      </c>
      <c r="U852" t="s">
        <v>124</v>
      </c>
    </row>
    <row r="853" spans="1:21" x14ac:dyDescent="0.3">
      <c r="A853">
        <v>38</v>
      </c>
      <c r="B853" s="1">
        <v>40545</v>
      </c>
      <c r="C853">
        <v>1</v>
      </c>
      <c r="D853">
        <v>0</v>
      </c>
      <c r="E853">
        <v>1</v>
      </c>
      <c r="F853">
        <v>14</v>
      </c>
      <c r="G853" t="b">
        <v>0</v>
      </c>
      <c r="H853">
        <v>0</v>
      </c>
      <c r="I853">
        <v>3</v>
      </c>
      <c r="J853">
        <v>0.36</v>
      </c>
      <c r="L853">
        <v>0.76</v>
      </c>
      <c r="M853">
        <v>0.19400000000000001</v>
      </c>
      <c r="N853">
        <v>4</v>
      </c>
      <c r="O853">
        <v>55</v>
      </c>
      <c r="P853">
        <v>59</v>
      </c>
      <c r="Q853" t="s">
        <v>63</v>
      </c>
      <c r="R853" t="s">
        <v>120</v>
      </c>
      <c r="S853" t="s">
        <v>25</v>
      </c>
      <c r="T853" t="s">
        <v>30</v>
      </c>
      <c r="U853" t="s">
        <v>125</v>
      </c>
    </row>
    <row r="854" spans="1:21" x14ac:dyDescent="0.3">
      <c r="A854">
        <v>39</v>
      </c>
      <c r="B854" s="1">
        <v>40545</v>
      </c>
      <c r="C854">
        <v>1</v>
      </c>
      <c r="D854">
        <v>0</v>
      </c>
      <c r="E854">
        <v>1</v>
      </c>
      <c r="F854">
        <v>15</v>
      </c>
      <c r="G854" t="b">
        <v>0</v>
      </c>
      <c r="H854">
        <v>0</v>
      </c>
      <c r="I854">
        <v>3</v>
      </c>
      <c r="J854">
        <v>0.34</v>
      </c>
      <c r="K854">
        <v>0.33329999999999999</v>
      </c>
      <c r="L854">
        <v>0.81</v>
      </c>
      <c r="M854">
        <v>0.16420000000000001</v>
      </c>
      <c r="N854">
        <v>19</v>
      </c>
      <c r="O854">
        <v>55</v>
      </c>
      <c r="P854">
        <v>74</v>
      </c>
      <c r="Q854" t="s">
        <v>63</v>
      </c>
      <c r="R854" t="s">
        <v>120</v>
      </c>
      <c r="S854" t="s">
        <v>25</v>
      </c>
      <c r="T854" t="s">
        <v>30</v>
      </c>
      <c r="U854" t="s">
        <v>125</v>
      </c>
    </row>
    <row r="855" spans="1:21" x14ac:dyDescent="0.3">
      <c r="A855">
        <v>40</v>
      </c>
      <c r="B855" s="1">
        <v>40545</v>
      </c>
      <c r="C855">
        <v>1</v>
      </c>
      <c r="D855">
        <v>0</v>
      </c>
      <c r="E855">
        <v>1</v>
      </c>
      <c r="F855">
        <v>16</v>
      </c>
      <c r="G855" t="b">
        <v>0</v>
      </c>
      <c r="H855">
        <v>0</v>
      </c>
      <c r="I855">
        <v>3</v>
      </c>
      <c r="J855">
        <v>0.34</v>
      </c>
      <c r="K855">
        <v>0.33329999999999999</v>
      </c>
      <c r="L855">
        <v>0.71</v>
      </c>
      <c r="M855">
        <v>0.16420000000000001</v>
      </c>
      <c r="N855">
        <v>9</v>
      </c>
      <c r="O855">
        <v>67</v>
      </c>
      <c r="P855">
        <v>76</v>
      </c>
      <c r="Q855" t="s">
        <v>63</v>
      </c>
      <c r="R855" t="s">
        <v>120</v>
      </c>
      <c r="S855" t="s">
        <v>25</v>
      </c>
      <c r="T855" t="s">
        <v>30</v>
      </c>
      <c r="U855" t="s">
        <v>125</v>
      </c>
    </row>
    <row r="856" spans="1:21" x14ac:dyDescent="0.3">
      <c r="A856">
        <v>41</v>
      </c>
      <c r="B856" s="1">
        <v>40545</v>
      </c>
      <c r="C856">
        <v>1</v>
      </c>
      <c r="D856">
        <v>0</v>
      </c>
      <c r="E856">
        <v>1</v>
      </c>
      <c r="F856">
        <v>17</v>
      </c>
      <c r="G856" t="b">
        <v>0</v>
      </c>
      <c r="H856">
        <v>0</v>
      </c>
      <c r="I856">
        <v>1</v>
      </c>
      <c r="J856">
        <v>0.34</v>
      </c>
      <c r="K856">
        <v>0.33329999999999999</v>
      </c>
      <c r="L856">
        <v>0.56999999999999995</v>
      </c>
      <c r="M856">
        <v>0.19400000000000001</v>
      </c>
      <c r="N856">
        <v>7</v>
      </c>
      <c r="O856">
        <v>58</v>
      </c>
      <c r="P856">
        <v>65</v>
      </c>
      <c r="Q856" t="s">
        <v>62</v>
      </c>
      <c r="R856" t="s">
        <v>120</v>
      </c>
      <c r="S856" t="s">
        <v>25</v>
      </c>
      <c r="T856" t="s">
        <v>30</v>
      </c>
      <c r="U856" t="s">
        <v>123</v>
      </c>
    </row>
    <row r="857" spans="1:21" x14ac:dyDescent="0.3">
      <c r="A857">
        <v>42</v>
      </c>
      <c r="B857" s="1">
        <v>40545</v>
      </c>
      <c r="C857">
        <v>1</v>
      </c>
      <c r="D857">
        <v>0</v>
      </c>
      <c r="E857">
        <v>1</v>
      </c>
      <c r="F857">
        <v>18</v>
      </c>
      <c r="G857" t="b">
        <v>0</v>
      </c>
      <c r="H857">
        <v>0</v>
      </c>
      <c r="I857">
        <v>2</v>
      </c>
      <c r="J857">
        <v>0.36</v>
      </c>
      <c r="K857">
        <v>0.33329999999999999</v>
      </c>
      <c r="L857">
        <v>0.46</v>
      </c>
      <c r="M857">
        <v>0.32840000000000003</v>
      </c>
      <c r="N857">
        <v>10</v>
      </c>
      <c r="O857">
        <v>43</v>
      </c>
      <c r="P857">
        <v>53</v>
      </c>
      <c r="Q857" t="s">
        <v>64</v>
      </c>
      <c r="R857" t="s">
        <v>120</v>
      </c>
      <c r="S857" t="s">
        <v>25</v>
      </c>
      <c r="T857" t="s">
        <v>30</v>
      </c>
      <c r="U857" t="s">
        <v>124</v>
      </c>
    </row>
    <row r="858" spans="1:21" x14ac:dyDescent="0.3">
      <c r="A858">
        <v>43</v>
      </c>
      <c r="B858" s="1">
        <v>40545</v>
      </c>
      <c r="C858">
        <v>1</v>
      </c>
      <c r="D858">
        <v>0</v>
      </c>
      <c r="E858">
        <v>1</v>
      </c>
      <c r="F858">
        <v>19</v>
      </c>
      <c r="G858" t="b">
        <v>0</v>
      </c>
      <c r="H858">
        <v>0</v>
      </c>
      <c r="I858">
        <v>1</v>
      </c>
      <c r="J858">
        <v>0.32</v>
      </c>
      <c r="K858">
        <v>0.28789999999999999</v>
      </c>
      <c r="L858">
        <v>0.42</v>
      </c>
      <c r="M858">
        <v>0.44779999999999998</v>
      </c>
      <c r="N858">
        <v>1</v>
      </c>
      <c r="O858">
        <v>29</v>
      </c>
      <c r="P858">
        <v>30</v>
      </c>
      <c r="Q858" t="s">
        <v>62</v>
      </c>
      <c r="R858" t="s">
        <v>120</v>
      </c>
      <c r="S858" t="s">
        <v>25</v>
      </c>
      <c r="T858" t="s">
        <v>30</v>
      </c>
      <c r="U858" t="s">
        <v>123</v>
      </c>
    </row>
    <row r="859" spans="1:21" x14ac:dyDescent="0.3">
      <c r="A859">
        <v>44</v>
      </c>
      <c r="B859" s="1">
        <v>40545</v>
      </c>
      <c r="C859">
        <v>1</v>
      </c>
      <c r="D859">
        <v>0</v>
      </c>
      <c r="E859">
        <v>1</v>
      </c>
      <c r="F859">
        <v>20</v>
      </c>
      <c r="G859" t="b">
        <v>0</v>
      </c>
      <c r="H859">
        <v>0</v>
      </c>
      <c r="I859">
        <v>1</v>
      </c>
      <c r="J859">
        <v>0.3</v>
      </c>
      <c r="L859">
        <v>0.39</v>
      </c>
      <c r="M859">
        <v>0.35820000000000002</v>
      </c>
      <c r="N859">
        <v>5</v>
      </c>
      <c r="O859">
        <v>17</v>
      </c>
      <c r="P859">
        <v>22</v>
      </c>
      <c r="Q859" t="s">
        <v>62</v>
      </c>
      <c r="R859" t="s">
        <v>120</v>
      </c>
      <c r="S859" t="s">
        <v>25</v>
      </c>
      <c r="T859" t="s">
        <v>30</v>
      </c>
      <c r="U859" t="s">
        <v>123</v>
      </c>
    </row>
    <row r="860" spans="1:21" x14ac:dyDescent="0.3">
      <c r="A860">
        <v>45</v>
      </c>
      <c r="B860" s="1">
        <v>40545</v>
      </c>
      <c r="C860">
        <v>1</v>
      </c>
      <c r="D860">
        <v>0</v>
      </c>
      <c r="E860">
        <v>1</v>
      </c>
      <c r="F860">
        <v>21</v>
      </c>
      <c r="G860" t="b">
        <v>0</v>
      </c>
      <c r="H860">
        <v>0</v>
      </c>
      <c r="I860">
        <v>1</v>
      </c>
      <c r="J860">
        <v>0.26</v>
      </c>
      <c r="K860">
        <v>0.2273</v>
      </c>
      <c r="L860">
        <v>0.44</v>
      </c>
      <c r="M860">
        <v>0.32840000000000003</v>
      </c>
      <c r="N860">
        <v>11</v>
      </c>
      <c r="O860">
        <v>20</v>
      </c>
      <c r="P860">
        <v>31</v>
      </c>
      <c r="Q860" t="s">
        <v>62</v>
      </c>
      <c r="R860" t="s">
        <v>120</v>
      </c>
      <c r="S860" t="s">
        <v>25</v>
      </c>
      <c r="T860" t="s">
        <v>30</v>
      </c>
      <c r="U860" t="s">
        <v>123</v>
      </c>
    </row>
    <row r="861" spans="1:21" x14ac:dyDescent="0.3">
      <c r="A861">
        <v>46</v>
      </c>
      <c r="B861" s="1">
        <v>40545</v>
      </c>
      <c r="C861">
        <v>1</v>
      </c>
      <c r="D861">
        <v>0</v>
      </c>
      <c r="E861">
        <v>1</v>
      </c>
      <c r="F861">
        <v>22</v>
      </c>
      <c r="G861" t="b">
        <v>0</v>
      </c>
      <c r="H861">
        <v>0</v>
      </c>
      <c r="I861">
        <v>1</v>
      </c>
      <c r="J861">
        <v>0.24</v>
      </c>
      <c r="K861">
        <v>0.21210000000000001</v>
      </c>
      <c r="L861">
        <v>0.44</v>
      </c>
      <c r="M861">
        <v>0.29849999999999999</v>
      </c>
      <c r="N861">
        <v>0</v>
      </c>
      <c r="O861">
        <v>9</v>
      </c>
      <c r="P861">
        <v>9</v>
      </c>
      <c r="Q861" t="s">
        <v>62</v>
      </c>
      <c r="R861" t="s">
        <v>120</v>
      </c>
      <c r="S861" t="s">
        <v>25</v>
      </c>
      <c r="T861" t="s">
        <v>30</v>
      </c>
      <c r="U861" t="s">
        <v>123</v>
      </c>
    </row>
    <row r="862" spans="1:21" x14ac:dyDescent="0.3">
      <c r="A862">
        <v>47</v>
      </c>
      <c r="B862" s="1">
        <v>40545</v>
      </c>
      <c r="C862">
        <v>1</v>
      </c>
      <c r="D862">
        <v>0</v>
      </c>
      <c r="E862">
        <v>1</v>
      </c>
      <c r="F862">
        <v>23</v>
      </c>
      <c r="G862" t="b">
        <v>0</v>
      </c>
      <c r="H862">
        <v>0</v>
      </c>
      <c r="I862">
        <v>1</v>
      </c>
      <c r="J862">
        <v>0.22</v>
      </c>
      <c r="K862">
        <v>0.2273</v>
      </c>
      <c r="L862">
        <v>0.47</v>
      </c>
      <c r="M862">
        <v>0.16420000000000001</v>
      </c>
      <c r="N862">
        <v>0</v>
      </c>
      <c r="O862">
        <v>8</v>
      </c>
      <c r="P862">
        <v>8</v>
      </c>
      <c r="Q862" t="s">
        <v>62</v>
      </c>
      <c r="R862" t="s">
        <v>120</v>
      </c>
      <c r="S862" t="s">
        <v>25</v>
      </c>
      <c r="T862" t="s">
        <v>30</v>
      </c>
      <c r="U862" t="s">
        <v>123</v>
      </c>
    </row>
    <row r="863" spans="1:21" x14ac:dyDescent="0.3">
      <c r="A863">
        <v>186</v>
      </c>
      <c r="B863" s="1">
        <v>40552</v>
      </c>
      <c r="C863">
        <v>1</v>
      </c>
      <c r="D863">
        <v>0</v>
      </c>
      <c r="E863">
        <v>1</v>
      </c>
      <c r="F863">
        <v>0</v>
      </c>
      <c r="G863" t="b">
        <v>0</v>
      </c>
      <c r="H863">
        <v>0</v>
      </c>
      <c r="I863">
        <v>1</v>
      </c>
      <c r="J863">
        <v>0.1</v>
      </c>
      <c r="K863">
        <v>7.5800000000000006E-2</v>
      </c>
      <c r="L863">
        <v>0.42</v>
      </c>
      <c r="M863">
        <v>0.3881</v>
      </c>
      <c r="N863">
        <v>1</v>
      </c>
      <c r="O863">
        <v>24</v>
      </c>
      <c r="P863">
        <v>25</v>
      </c>
      <c r="Q863" t="s">
        <v>62</v>
      </c>
      <c r="R863" t="s">
        <v>120</v>
      </c>
      <c r="S863" t="s">
        <v>25</v>
      </c>
      <c r="T863" t="s">
        <v>30</v>
      </c>
      <c r="U863" t="s">
        <v>123</v>
      </c>
    </row>
    <row r="864" spans="1:21" x14ac:dyDescent="0.3">
      <c r="A864">
        <v>187</v>
      </c>
      <c r="B864" s="1">
        <v>40552</v>
      </c>
      <c r="C864">
        <v>1</v>
      </c>
      <c r="D864">
        <v>0</v>
      </c>
      <c r="E864">
        <v>1</v>
      </c>
      <c r="F864">
        <v>1</v>
      </c>
      <c r="G864" t="b">
        <v>0</v>
      </c>
      <c r="H864">
        <v>0</v>
      </c>
      <c r="I864">
        <v>1</v>
      </c>
      <c r="J864">
        <v>0.1</v>
      </c>
      <c r="K864">
        <v>6.0600000000000001E-2</v>
      </c>
      <c r="L864">
        <v>0.42</v>
      </c>
      <c r="M864">
        <v>0.4627</v>
      </c>
      <c r="N864">
        <v>0</v>
      </c>
      <c r="O864">
        <v>12</v>
      </c>
      <c r="P864">
        <v>12</v>
      </c>
      <c r="Q864" t="s">
        <v>62</v>
      </c>
      <c r="R864" t="s">
        <v>120</v>
      </c>
      <c r="S864" t="s">
        <v>25</v>
      </c>
      <c r="T864" t="s">
        <v>30</v>
      </c>
      <c r="U864" t="s">
        <v>123</v>
      </c>
    </row>
    <row r="865" spans="1:21" x14ac:dyDescent="0.3">
      <c r="A865">
        <v>188</v>
      </c>
      <c r="B865" s="1">
        <v>40552</v>
      </c>
      <c r="C865">
        <v>1</v>
      </c>
      <c r="D865">
        <v>0</v>
      </c>
      <c r="E865">
        <v>1</v>
      </c>
      <c r="F865">
        <v>2</v>
      </c>
      <c r="G865" t="b">
        <v>0</v>
      </c>
      <c r="H865">
        <v>0</v>
      </c>
      <c r="I865">
        <v>1</v>
      </c>
      <c r="J865">
        <v>0.1</v>
      </c>
      <c r="K865">
        <v>6.0600000000000001E-2</v>
      </c>
      <c r="L865">
        <v>0.46</v>
      </c>
      <c r="M865">
        <v>0.4627</v>
      </c>
      <c r="N865">
        <v>0</v>
      </c>
      <c r="O865">
        <v>11</v>
      </c>
      <c r="P865">
        <v>11</v>
      </c>
      <c r="Q865" t="s">
        <v>62</v>
      </c>
      <c r="R865" t="s">
        <v>120</v>
      </c>
      <c r="S865" t="s">
        <v>25</v>
      </c>
      <c r="T865" t="s">
        <v>30</v>
      </c>
      <c r="U865" t="s">
        <v>123</v>
      </c>
    </row>
    <row r="866" spans="1:21" x14ac:dyDescent="0.3">
      <c r="A866">
        <v>189</v>
      </c>
      <c r="B866" s="1">
        <v>40552</v>
      </c>
      <c r="C866">
        <v>1</v>
      </c>
      <c r="D866">
        <v>0</v>
      </c>
      <c r="E866">
        <v>1</v>
      </c>
      <c r="F866">
        <v>3</v>
      </c>
      <c r="G866" t="b">
        <v>0</v>
      </c>
      <c r="H866">
        <v>0</v>
      </c>
      <c r="I866">
        <v>1</v>
      </c>
      <c r="J866">
        <v>0.1</v>
      </c>
      <c r="K866">
        <v>7.5800000000000006E-2</v>
      </c>
      <c r="L866">
        <v>0.46</v>
      </c>
      <c r="M866">
        <v>0.41789999999999999</v>
      </c>
      <c r="N866">
        <v>0</v>
      </c>
      <c r="O866">
        <v>4</v>
      </c>
      <c r="P866">
        <v>4</v>
      </c>
      <c r="Q866" t="s">
        <v>62</v>
      </c>
      <c r="R866" t="s">
        <v>120</v>
      </c>
      <c r="S866" t="s">
        <v>25</v>
      </c>
      <c r="T866" t="s">
        <v>30</v>
      </c>
      <c r="U866" t="s">
        <v>123</v>
      </c>
    </row>
    <row r="867" spans="1:21" x14ac:dyDescent="0.3">
      <c r="A867">
        <v>190</v>
      </c>
      <c r="B867" s="1">
        <v>40552</v>
      </c>
      <c r="C867">
        <v>1</v>
      </c>
      <c r="D867">
        <v>0</v>
      </c>
      <c r="E867">
        <v>1</v>
      </c>
      <c r="F867">
        <v>4</v>
      </c>
      <c r="G867" t="b">
        <v>0</v>
      </c>
      <c r="H867">
        <v>0</v>
      </c>
      <c r="I867">
        <v>1</v>
      </c>
      <c r="J867">
        <v>0.08</v>
      </c>
      <c r="K867">
        <v>9.0899999999999995E-2</v>
      </c>
      <c r="L867">
        <v>0.53</v>
      </c>
      <c r="M867">
        <v>0.19400000000000001</v>
      </c>
      <c r="N867">
        <v>0</v>
      </c>
      <c r="O867">
        <v>1</v>
      </c>
      <c r="P867">
        <v>1</v>
      </c>
      <c r="Q867" t="s">
        <v>62</v>
      </c>
      <c r="R867" t="s">
        <v>120</v>
      </c>
      <c r="S867" t="s">
        <v>25</v>
      </c>
      <c r="T867" t="s">
        <v>30</v>
      </c>
      <c r="U867" t="s">
        <v>123</v>
      </c>
    </row>
    <row r="868" spans="1:21" x14ac:dyDescent="0.3">
      <c r="A868">
        <v>191</v>
      </c>
      <c r="B868" s="1">
        <v>40552</v>
      </c>
      <c r="C868">
        <v>1</v>
      </c>
      <c r="D868">
        <v>0</v>
      </c>
      <c r="E868">
        <v>1</v>
      </c>
      <c r="F868">
        <v>5</v>
      </c>
      <c r="G868" t="b">
        <v>0</v>
      </c>
      <c r="H868">
        <v>0</v>
      </c>
      <c r="I868">
        <v>1</v>
      </c>
      <c r="J868">
        <v>0.08</v>
      </c>
      <c r="K868">
        <v>9.0899999999999995E-2</v>
      </c>
      <c r="L868">
        <v>0.53</v>
      </c>
      <c r="M868">
        <v>0.19400000000000001</v>
      </c>
      <c r="N868">
        <v>0</v>
      </c>
      <c r="O868">
        <v>1</v>
      </c>
      <c r="P868">
        <v>1</v>
      </c>
      <c r="Q868" t="s">
        <v>62</v>
      </c>
      <c r="R868" t="s">
        <v>120</v>
      </c>
      <c r="S868" t="s">
        <v>25</v>
      </c>
      <c r="T868" t="s">
        <v>30</v>
      </c>
      <c r="U868" t="s">
        <v>123</v>
      </c>
    </row>
    <row r="869" spans="1:21" x14ac:dyDescent="0.3">
      <c r="A869">
        <v>192</v>
      </c>
      <c r="B869" s="1">
        <v>40552</v>
      </c>
      <c r="C869">
        <v>1</v>
      </c>
      <c r="D869">
        <v>0</v>
      </c>
      <c r="E869">
        <v>1</v>
      </c>
      <c r="F869">
        <v>6</v>
      </c>
      <c r="G869" t="b">
        <v>0</v>
      </c>
      <c r="H869">
        <v>0</v>
      </c>
      <c r="I869">
        <v>1</v>
      </c>
      <c r="J869">
        <v>0.1</v>
      </c>
      <c r="K869">
        <v>9.0899999999999995E-2</v>
      </c>
      <c r="L869">
        <v>0.49</v>
      </c>
      <c r="M869">
        <v>0.28360000000000002</v>
      </c>
      <c r="N869">
        <v>0</v>
      </c>
      <c r="O869">
        <v>1</v>
      </c>
      <c r="P869">
        <v>1</v>
      </c>
      <c r="Q869" t="s">
        <v>62</v>
      </c>
      <c r="R869" t="s">
        <v>120</v>
      </c>
      <c r="S869" t="s">
        <v>25</v>
      </c>
      <c r="T869" t="s">
        <v>30</v>
      </c>
      <c r="U869" t="s">
        <v>123</v>
      </c>
    </row>
    <row r="870" spans="1:21" x14ac:dyDescent="0.3">
      <c r="A870">
        <v>193</v>
      </c>
      <c r="B870" s="1">
        <v>40552</v>
      </c>
      <c r="C870">
        <v>1</v>
      </c>
      <c r="D870">
        <v>0</v>
      </c>
      <c r="E870">
        <v>1</v>
      </c>
      <c r="F870">
        <v>7</v>
      </c>
      <c r="G870" t="b">
        <v>0</v>
      </c>
      <c r="H870">
        <v>0</v>
      </c>
      <c r="I870">
        <v>1</v>
      </c>
      <c r="J870">
        <v>0.08</v>
      </c>
      <c r="K870">
        <v>9.0899999999999995E-2</v>
      </c>
      <c r="L870">
        <v>0.53</v>
      </c>
      <c r="M870">
        <v>0.19400000000000001</v>
      </c>
      <c r="N870">
        <v>1</v>
      </c>
      <c r="O870">
        <v>5</v>
      </c>
      <c r="P870">
        <v>6</v>
      </c>
      <c r="Q870" t="s">
        <v>62</v>
      </c>
      <c r="R870" t="s">
        <v>120</v>
      </c>
      <c r="S870" t="s">
        <v>25</v>
      </c>
      <c r="T870" t="s">
        <v>30</v>
      </c>
      <c r="U870" t="s">
        <v>123</v>
      </c>
    </row>
    <row r="871" spans="1:21" x14ac:dyDescent="0.3">
      <c r="A871">
        <v>194</v>
      </c>
      <c r="B871" s="1">
        <v>40552</v>
      </c>
      <c r="C871">
        <v>1</v>
      </c>
      <c r="D871">
        <v>0</v>
      </c>
      <c r="E871">
        <v>1</v>
      </c>
      <c r="F871">
        <v>8</v>
      </c>
      <c r="G871" t="b">
        <v>0</v>
      </c>
      <c r="H871">
        <v>0</v>
      </c>
      <c r="I871">
        <v>1</v>
      </c>
      <c r="J871">
        <v>0.1</v>
      </c>
      <c r="K871">
        <v>9.0899999999999995E-2</v>
      </c>
      <c r="L871">
        <v>0.49</v>
      </c>
      <c r="M871">
        <v>0.28360000000000002</v>
      </c>
      <c r="N871">
        <v>0</v>
      </c>
      <c r="O871">
        <v>10</v>
      </c>
      <c r="P871">
        <v>10</v>
      </c>
      <c r="Q871" t="s">
        <v>62</v>
      </c>
      <c r="R871" t="s">
        <v>120</v>
      </c>
      <c r="S871" t="s">
        <v>25</v>
      </c>
      <c r="T871" t="s">
        <v>30</v>
      </c>
      <c r="U871" t="s">
        <v>123</v>
      </c>
    </row>
    <row r="872" spans="1:21" x14ac:dyDescent="0.3">
      <c r="A872">
        <v>195</v>
      </c>
      <c r="B872" s="1">
        <v>40552</v>
      </c>
      <c r="C872">
        <v>1</v>
      </c>
      <c r="D872">
        <v>0</v>
      </c>
      <c r="E872">
        <v>1</v>
      </c>
      <c r="F872">
        <v>9</v>
      </c>
      <c r="G872" t="b">
        <v>0</v>
      </c>
      <c r="H872">
        <v>0</v>
      </c>
      <c r="I872">
        <v>1</v>
      </c>
      <c r="J872">
        <v>0.12</v>
      </c>
      <c r="K872">
        <v>7.5800000000000006E-2</v>
      </c>
      <c r="L872">
        <v>0.46</v>
      </c>
      <c r="M872">
        <v>0.52239999999999998</v>
      </c>
      <c r="N872">
        <v>0</v>
      </c>
      <c r="O872">
        <v>19</v>
      </c>
      <c r="P872">
        <v>19</v>
      </c>
      <c r="Q872" t="s">
        <v>62</v>
      </c>
      <c r="R872" t="s">
        <v>120</v>
      </c>
      <c r="S872" t="s">
        <v>25</v>
      </c>
      <c r="T872" t="s">
        <v>30</v>
      </c>
      <c r="U872" t="s">
        <v>123</v>
      </c>
    </row>
    <row r="873" spans="1:21" x14ac:dyDescent="0.3">
      <c r="A873">
        <v>196</v>
      </c>
      <c r="B873" s="1">
        <v>40552</v>
      </c>
      <c r="C873">
        <v>1</v>
      </c>
      <c r="D873">
        <v>0</v>
      </c>
      <c r="E873">
        <v>1</v>
      </c>
      <c r="F873">
        <v>10</v>
      </c>
      <c r="G873" t="b">
        <v>0</v>
      </c>
      <c r="H873">
        <v>0</v>
      </c>
      <c r="I873">
        <v>1</v>
      </c>
      <c r="J873">
        <v>0.14000000000000001</v>
      </c>
      <c r="K873">
        <v>0.1061</v>
      </c>
      <c r="L873">
        <v>0.43</v>
      </c>
      <c r="M873">
        <v>0.3881</v>
      </c>
      <c r="N873">
        <v>0</v>
      </c>
      <c r="O873">
        <v>49</v>
      </c>
      <c r="P873">
        <v>49</v>
      </c>
      <c r="Q873" t="s">
        <v>62</v>
      </c>
      <c r="R873" t="s">
        <v>120</v>
      </c>
      <c r="S873" t="s">
        <v>25</v>
      </c>
      <c r="T873" t="s">
        <v>30</v>
      </c>
      <c r="U873" t="s">
        <v>123</v>
      </c>
    </row>
    <row r="874" spans="1:21" x14ac:dyDescent="0.3">
      <c r="A874">
        <v>197</v>
      </c>
      <c r="B874" s="1">
        <v>40552</v>
      </c>
      <c r="C874">
        <v>1</v>
      </c>
      <c r="D874">
        <v>0</v>
      </c>
      <c r="E874">
        <v>1</v>
      </c>
      <c r="F874">
        <v>11</v>
      </c>
      <c r="G874" t="b">
        <v>0</v>
      </c>
      <c r="H874">
        <v>0</v>
      </c>
      <c r="I874">
        <v>1</v>
      </c>
      <c r="J874">
        <v>0.16</v>
      </c>
      <c r="K874">
        <v>0.1212</v>
      </c>
      <c r="L874">
        <v>0.4</v>
      </c>
      <c r="M874">
        <v>0.52239999999999998</v>
      </c>
      <c r="N874">
        <v>2</v>
      </c>
      <c r="O874">
        <v>47</v>
      </c>
      <c r="P874">
        <v>49</v>
      </c>
      <c r="Q874" t="s">
        <v>62</v>
      </c>
      <c r="R874" t="s">
        <v>120</v>
      </c>
      <c r="S874" t="s">
        <v>25</v>
      </c>
      <c r="T874" t="s">
        <v>30</v>
      </c>
      <c r="U874" t="s">
        <v>123</v>
      </c>
    </row>
    <row r="875" spans="1:21" x14ac:dyDescent="0.3">
      <c r="A875">
        <v>198</v>
      </c>
      <c r="B875" s="1">
        <v>40552</v>
      </c>
      <c r="C875">
        <v>1</v>
      </c>
      <c r="D875">
        <v>0</v>
      </c>
      <c r="E875">
        <v>1</v>
      </c>
      <c r="F875">
        <v>12</v>
      </c>
      <c r="G875" t="b">
        <v>0</v>
      </c>
      <c r="H875">
        <v>0</v>
      </c>
      <c r="I875">
        <v>1</v>
      </c>
      <c r="J875">
        <v>0.18</v>
      </c>
      <c r="K875">
        <v>0.13639999999999999</v>
      </c>
      <c r="L875">
        <v>0.37</v>
      </c>
      <c r="M875">
        <v>0.44779999999999998</v>
      </c>
      <c r="N875">
        <v>4</v>
      </c>
      <c r="O875">
        <v>79</v>
      </c>
      <c r="P875">
        <v>83</v>
      </c>
      <c r="Q875" t="s">
        <v>62</v>
      </c>
      <c r="R875" t="s">
        <v>120</v>
      </c>
      <c r="S875" t="s">
        <v>25</v>
      </c>
      <c r="T875" t="s">
        <v>30</v>
      </c>
      <c r="U875" t="s">
        <v>123</v>
      </c>
    </row>
    <row r="876" spans="1:21" x14ac:dyDescent="0.3">
      <c r="A876">
        <v>199</v>
      </c>
      <c r="B876" s="1">
        <v>40552</v>
      </c>
      <c r="C876">
        <v>1</v>
      </c>
      <c r="D876">
        <v>0</v>
      </c>
      <c r="E876">
        <v>1</v>
      </c>
      <c r="F876">
        <v>13</v>
      </c>
      <c r="G876" t="b">
        <v>0</v>
      </c>
      <c r="H876">
        <v>0</v>
      </c>
      <c r="I876">
        <v>1</v>
      </c>
      <c r="J876">
        <v>0.2</v>
      </c>
      <c r="K876">
        <v>0.16669999999999999</v>
      </c>
      <c r="L876">
        <v>0.34</v>
      </c>
      <c r="M876">
        <v>0.44779999999999998</v>
      </c>
      <c r="N876">
        <v>6</v>
      </c>
      <c r="O876">
        <v>69</v>
      </c>
      <c r="P876">
        <v>75</v>
      </c>
      <c r="Q876" t="s">
        <v>62</v>
      </c>
      <c r="R876" t="s">
        <v>120</v>
      </c>
      <c r="S876" t="s">
        <v>25</v>
      </c>
      <c r="T876" t="s">
        <v>30</v>
      </c>
      <c r="U876" t="s">
        <v>123</v>
      </c>
    </row>
    <row r="877" spans="1:21" x14ac:dyDescent="0.3">
      <c r="A877">
        <v>200</v>
      </c>
      <c r="B877" s="1">
        <v>40552</v>
      </c>
      <c r="C877">
        <v>1</v>
      </c>
      <c r="D877">
        <v>0</v>
      </c>
      <c r="E877">
        <v>1</v>
      </c>
      <c r="F877">
        <v>14</v>
      </c>
      <c r="G877" t="b">
        <v>0</v>
      </c>
      <c r="H877">
        <v>0</v>
      </c>
      <c r="I877">
        <v>1</v>
      </c>
      <c r="J877">
        <v>0.22</v>
      </c>
      <c r="K877">
        <v>0.18179999999999999</v>
      </c>
      <c r="L877">
        <v>0.32</v>
      </c>
      <c r="M877">
        <v>0.4627</v>
      </c>
      <c r="N877">
        <v>8</v>
      </c>
      <c r="O877">
        <v>64</v>
      </c>
      <c r="P877">
        <v>72</v>
      </c>
      <c r="Q877" t="s">
        <v>62</v>
      </c>
      <c r="R877" t="s">
        <v>120</v>
      </c>
      <c r="S877" t="s">
        <v>25</v>
      </c>
      <c r="T877" t="s">
        <v>30</v>
      </c>
      <c r="U877" t="s">
        <v>123</v>
      </c>
    </row>
    <row r="878" spans="1:21" x14ac:dyDescent="0.3">
      <c r="A878">
        <v>201</v>
      </c>
      <c r="B878" s="1">
        <v>40552</v>
      </c>
      <c r="C878">
        <v>1</v>
      </c>
      <c r="D878">
        <v>0</v>
      </c>
      <c r="E878">
        <v>1</v>
      </c>
      <c r="F878">
        <v>15</v>
      </c>
      <c r="G878" t="b">
        <v>0</v>
      </c>
      <c r="H878">
        <v>0</v>
      </c>
      <c r="I878">
        <v>1</v>
      </c>
      <c r="J878">
        <v>0.22</v>
      </c>
      <c r="K878">
        <v>0.19700000000000001</v>
      </c>
      <c r="L878">
        <v>0.35</v>
      </c>
      <c r="M878">
        <v>0.35820000000000002</v>
      </c>
      <c r="N878">
        <v>5</v>
      </c>
      <c r="O878">
        <v>77</v>
      </c>
      <c r="P878">
        <v>82</v>
      </c>
      <c r="Q878" t="s">
        <v>62</v>
      </c>
      <c r="R878" t="s">
        <v>120</v>
      </c>
      <c r="S878" t="s">
        <v>25</v>
      </c>
      <c r="T878" t="s">
        <v>30</v>
      </c>
      <c r="U878" t="s">
        <v>123</v>
      </c>
    </row>
    <row r="879" spans="1:21" x14ac:dyDescent="0.3">
      <c r="A879">
        <v>202</v>
      </c>
      <c r="B879" s="1">
        <v>40552</v>
      </c>
      <c r="C879">
        <v>1</v>
      </c>
      <c r="D879">
        <v>0</v>
      </c>
      <c r="E879">
        <v>1</v>
      </c>
      <c r="F879">
        <v>16</v>
      </c>
      <c r="G879" t="b">
        <v>0</v>
      </c>
      <c r="H879">
        <v>0</v>
      </c>
      <c r="I879">
        <v>1</v>
      </c>
      <c r="J879">
        <v>0.2</v>
      </c>
      <c r="K879">
        <v>0.16669999999999999</v>
      </c>
      <c r="L879">
        <v>0.34</v>
      </c>
      <c r="M879">
        <v>0.44779999999999998</v>
      </c>
      <c r="N879">
        <v>13</v>
      </c>
      <c r="O879">
        <v>79</v>
      </c>
      <c r="P879">
        <v>92</v>
      </c>
      <c r="Q879" t="s">
        <v>62</v>
      </c>
      <c r="R879" t="s">
        <v>120</v>
      </c>
      <c r="S879" t="s">
        <v>25</v>
      </c>
      <c r="T879" t="s">
        <v>30</v>
      </c>
      <c r="U879" t="s">
        <v>123</v>
      </c>
    </row>
    <row r="880" spans="1:21" x14ac:dyDescent="0.3">
      <c r="A880">
        <v>203</v>
      </c>
      <c r="B880" s="1">
        <v>40552</v>
      </c>
      <c r="C880">
        <v>1</v>
      </c>
      <c r="D880">
        <v>0</v>
      </c>
      <c r="E880">
        <v>1</v>
      </c>
      <c r="F880">
        <v>17</v>
      </c>
      <c r="G880" t="b">
        <v>0</v>
      </c>
      <c r="H880">
        <v>0</v>
      </c>
      <c r="I880">
        <v>1</v>
      </c>
      <c r="J880">
        <v>0.18</v>
      </c>
      <c r="K880">
        <v>0.1515</v>
      </c>
      <c r="L880">
        <v>0.37</v>
      </c>
      <c r="M880">
        <v>0.3881</v>
      </c>
      <c r="N880">
        <v>3</v>
      </c>
      <c r="O880">
        <v>59</v>
      </c>
      <c r="P880">
        <v>62</v>
      </c>
      <c r="Q880" t="s">
        <v>62</v>
      </c>
      <c r="R880" t="s">
        <v>120</v>
      </c>
      <c r="S880" t="s">
        <v>25</v>
      </c>
      <c r="T880" t="s">
        <v>30</v>
      </c>
      <c r="U880" t="s">
        <v>123</v>
      </c>
    </row>
    <row r="881" spans="1:21" x14ac:dyDescent="0.3">
      <c r="A881">
        <v>204</v>
      </c>
      <c r="B881" s="1">
        <v>40552</v>
      </c>
      <c r="C881">
        <v>1</v>
      </c>
      <c r="D881">
        <v>0</v>
      </c>
      <c r="E881">
        <v>1</v>
      </c>
      <c r="F881">
        <v>18</v>
      </c>
      <c r="G881" t="b">
        <v>0</v>
      </c>
      <c r="H881">
        <v>0</v>
      </c>
      <c r="I881">
        <v>1</v>
      </c>
      <c r="J881">
        <v>0.16</v>
      </c>
      <c r="K881">
        <v>0.13639999999999999</v>
      </c>
      <c r="L881">
        <v>0.4</v>
      </c>
      <c r="M881">
        <v>0.32840000000000003</v>
      </c>
      <c r="N881">
        <v>4</v>
      </c>
      <c r="O881">
        <v>44</v>
      </c>
      <c r="P881">
        <v>48</v>
      </c>
      <c r="Q881" t="s">
        <v>62</v>
      </c>
      <c r="R881" t="s">
        <v>120</v>
      </c>
      <c r="S881" t="s">
        <v>25</v>
      </c>
      <c r="T881" t="s">
        <v>30</v>
      </c>
      <c r="U881" t="s">
        <v>123</v>
      </c>
    </row>
    <row r="882" spans="1:21" x14ac:dyDescent="0.3">
      <c r="A882">
        <v>205</v>
      </c>
      <c r="B882" s="1">
        <v>40552</v>
      </c>
      <c r="C882">
        <v>1</v>
      </c>
      <c r="D882">
        <v>0</v>
      </c>
      <c r="E882">
        <v>1</v>
      </c>
      <c r="F882">
        <v>19</v>
      </c>
      <c r="G882" t="b">
        <v>0</v>
      </c>
      <c r="H882">
        <v>0</v>
      </c>
      <c r="I882">
        <v>1</v>
      </c>
      <c r="J882">
        <v>0.16</v>
      </c>
      <c r="K882">
        <v>0.13639999999999999</v>
      </c>
      <c r="L882">
        <v>0.43</v>
      </c>
      <c r="M882">
        <v>0.32840000000000003</v>
      </c>
      <c r="N882">
        <v>1</v>
      </c>
      <c r="O882">
        <v>40</v>
      </c>
      <c r="P882">
        <v>41</v>
      </c>
      <c r="Q882" t="s">
        <v>62</v>
      </c>
      <c r="R882" t="s">
        <v>120</v>
      </c>
      <c r="S882" t="s">
        <v>25</v>
      </c>
      <c r="T882" t="s">
        <v>30</v>
      </c>
      <c r="U882" t="s">
        <v>123</v>
      </c>
    </row>
    <row r="883" spans="1:21" x14ac:dyDescent="0.3">
      <c r="A883">
        <v>206</v>
      </c>
      <c r="B883" s="1">
        <v>40552</v>
      </c>
      <c r="C883">
        <v>1</v>
      </c>
      <c r="D883">
        <v>0</v>
      </c>
      <c r="E883">
        <v>1</v>
      </c>
      <c r="F883">
        <v>20</v>
      </c>
      <c r="G883" t="b">
        <v>0</v>
      </c>
      <c r="H883">
        <v>0</v>
      </c>
      <c r="I883">
        <v>1</v>
      </c>
      <c r="J883">
        <v>0.14000000000000001</v>
      </c>
      <c r="K883">
        <v>0.1212</v>
      </c>
      <c r="L883">
        <v>0.46</v>
      </c>
      <c r="M883">
        <v>0.25369999999999998</v>
      </c>
      <c r="N883">
        <v>0</v>
      </c>
      <c r="O883">
        <v>38</v>
      </c>
      <c r="P883">
        <v>38</v>
      </c>
      <c r="Q883" t="s">
        <v>62</v>
      </c>
      <c r="R883" t="s">
        <v>120</v>
      </c>
      <c r="S883" t="s">
        <v>25</v>
      </c>
      <c r="T883" t="s">
        <v>30</v>
      </c>
      <c r="U883" t="s">
        <v>123</v>
      </c>
    </row>
    <row r="884" spans="1:21" x14ac:dyDescent="0.3">
      <c r="A884">
        <v>207</v>
      </c>
      <c r="B884" s="1">
        <v>40552</v>
      </c>
      <c r="C884">
        <v>1</v>
      </c>
      <c r="D884">
        <v>0</v>
      </c>
      <c r="E884">
        <v>1</v>
      </c>
      <c r="F884">
        <v>21</v>
      </c>
      <c r="G884" t="b">
        <v>0</v>
      </c>
      <c r="H884">
        <v>0</v>
      </c>
      <c r="I884">
        <v>1</v>
      </c>
      <c r="J884">
        <v>0.14000000000000001</v>
      </c>
      <c r="K884">
        <v>0.1061</v>
      </c>
      <c r="L884">
        <v>0.46</v>
      </c>
      <c r="M884">
        <v>0.41789999999999999</v>
      </c>
      <c r="N884">
        <v>1</v>
      </c>
      <c r="O884">
        <v>19</v>
      </c>
      <c r="P884">
        <v>20</v>
      </c>
      <c r="Q884" t="s">
        <v>62</v>
      </c>
      <c r="R884" t="s">
        <v>120</v>
      </c>
      <c r="S884" t="s">
        <v>25</v>
      </c>
      <c r="T884" t="s">
        <v>30</v>
      </c>
      <c r="U884" t="s">
        <v>123</v>
      </c>
    </row>
    <row r="885" spans="1:21" x14ac:dyDescent="0.3">
      <c r="A885">
        <v>208</v>
      </c>
      <c r="B885" s="1">
        <v>40552</v>
      </c>
      <c r="C885">
        <v>1</v>
      </c>
      <c r="D885">
        <v>0</v>
      </c>
      <c r="E885">
        <v>1</v>
      </c>
      <c r="F885">
        <v>22</v>
      </c>
      <c r="G885" t="b">
        <v>0</v>
      </c>
      <c r="H885">
        <v>0</v>
      </c>
      <c r="I885">
        <v>1</v>
      </c>
      <c r="J885">
        <v>0.14000000000000001</v>
      </c>
      <c r="K885">
        <v>0.1212</v>
      </c>
      <c r="L885">
        <v>0.46</v>
      </c>
      <c r="M885">
        <v>0.29849999999999999</v>
      </c>
      <c r="N885">
        <v>5</v>
      </c>
      <c r="O885">
        <v>10</v>
      </c>
      <c r="P885">
        <v>15</v>
      </c>
      <c r="Q885" t="s">
        <v>62</v>
      </c>
      <c r="R885" t="s">
        <v>120</v>
      </c>
      <c r="S885" t="s">
        <v>25</v>
      </c>
      <c r="T885" t="s">
        <v>30</v>
      </c>
      <c r="U885" t="s">
        <v>123</v>
      </c>
    </row>
    <row r="886" spans="1:21" x14ac:dyDescent="0.3">
      <c r="A886">
        <v>209</v>
      </c>
      <c r="B886" s="1">
        <v>40552</v>
      </c>
      <c r="C886">
        <v>1</v>
      </c>
      <c r="D886">
        <v>0</v>
      </c>
      <c r="E886">
        <v>1</v>
      </c>
      <c r="F886">
        <v>23</v>
      </c>
      <c r="G886" t="b">
        <v>0</v>
      </c>
      <c r="H886">
        <v>0</v>
      </c>
      <c r="I886">
        <v>1</v>
      </c>
      <c r="J886">
        <v>0.12</v>
      </c>
      <c r="K886">
        <v>0.13639999999999999</v>
      </c>
      <c r="L886">
        <v>0.5</v>
      </c>
      <c r="M886">
        <v>0.19400000000000001</v>
      </c>
      <c r="N886">
        <v>0</v>
      </c>
      <c r="O886">
        <v>6</v>
      </c>
      <c r="P886">
        <v>6</v>
      </c>
      <c r="Q886" t="s">
        <v>62</v>
      </c>
      <c r="R886" t="s">
        <v>120</v>
      </c>
      <c r="S886" t="s">
        <v>25</v>
      </c>
      <c r="T886" t="s">
        <v>30</v>
      </c>
      <c r="U886" t="s">
        <v>123</v>
      </c>
    </row>
    <row r="887" spans="1:21" x14ac:dyDescent="0.3">
      <c r="A887">
        <v>349</v>
      </c>
      <c r="B887" s="1">
        <v>40559</v>
      </c>
      <c r="C887">
        <v>1</v>
      </c>
      <c r="D887">
        <v>0</v>
      </c>
      <c r="E887">
        <v>1</v>
      </c>
      <c r="F887">
        <v>0</v>
      </c>
      <c r="G887" t="b">
        <v>0</v>
      </c>
      <c r="H887">
        <v>0</v>
      </c>
      <c r="I887">
        <v>1</v>
      </c>
      <c r="J887">
        <v>0.26</v>
      </c>
      <c r="K887">
        <v>0.30299999999999999</v>
      </c>
      <c r="L887">
        <v>0.56000000000000005</v>
      </c>
      <c r="M887">
        <v>0</v>
      </c>
      <c r="N887">
        <v>6</v>
      </c>
      <c r="O887">
        <v>33</v>
      </c>
      <c r="P887">
        <v>39</v>
      </c>
      <c r="Q887" t="s">
        <v>62</v>
      </c>
      <c r="R887" t="s">
        <v>120</v>
      </c>
      <c r="S887" t="s">
        <v>25</v>
      </c>
      <c r="T887" t="s">
        <v>30</v>
      </c>
      <c r="U887" t="s">
        <v>123</v>
      </c>
    </row>
    <row r="888" spans="1:21" x14ac:dyDescent="0.3">
      <c r="A888">
        <v>350</v>
      </c>
      <c r="B888" s="1">
        <v>40559</v>
      </c>
      <c r="C888">
        <v>1</v>
      </c>
      <c r="D888">
        <v>0</v>
      </c>
      <c r="E888">
        <v>1</v>
      </c>
      <c r="F888">
        <v>1</v>
      </c>
      <c r="G888" t="b">
        <v>0</v>
      </c>
      <c r="H888">
        <v>0</v>
      </c>
      <c r="I888">
        <v>1</v>
      </c>
      <c r="J888">
        <v>0.26</v>
      </c>
      <c r="K888">
        <v>0.2727</v>
      </c>
      <c r="L888">
        <v>0.56000000000000005</v>
      </c>
      <c r="M888">
        <v>0.1343</v>
      </c>
      <c r="N888">
        <v>4</v>
      </c>
      <c r="O888">
        <v>19</v>
      </c>
      <c r="P888">
        <v>23</v>
      </c>
      <c r="Q888" t="s">
        <v>62</v>
      </c>
      <c r="R888" t="s">
        <v>120</v>
      </c>
      <c r="S888" t="s">
        <v>25</v>
      </c>
      <c r="T888" t="s">
        <v>30</v>
      </c>
      <c r="U888" t="s">
        <v>123</v>
      </c>
    </row>
    <row r="889" spans="1:21" x14ac:dyDescent="0.3">
      <c r="A889">
        <v>351</v>
      </c>
      <c r="B889" s="1">
        <v>40559</v>
      </c>
      <c r="C889">
        <v>1</v>
      </c>
      <c r="D889">
        <v>0</v>
      </c>
      <c r="E889">
        <v>1</v>
      </c>
      <c r="F889">
        <v>2</v>
      </c>
      <c r="G889" t="b">
        <v>0</v>
      </c>
      <c r="H889">
        <v>0</v>
      </c>
      <c r="I889">
        <v>1</v>
      </c>
      <c r="J889">
        <v>0.26</v>
      </c>
      <c r="K889">
        <v>0.28789999999999999</v>
      </c>
      <c r="L889">
        <v>0.56000000000000005</v>
      </c>
      <c r="M889">
        <v>8.9599999999999999E-2</v>
      </c>
      <c r="N889">
        <v>3</v>
      </c>
      <c r="O889">
        <v>13</v>
      </c>
      <c r="P889">
        <v>16</v>
      </c>
      <c r="Q889" t="s">
        <v>62</v>
      </c>
      <c r="R889" t="s">
        <v>120</v>
      </c>
      <c r="S889" t="s">
        <v>25</v>
      </c>
      <c r="T889" t="s">
        <v>30</v>
      </c>
      <c r="U889" t="s">
        <v>123</v>
      </c>
    </row>
    <row r="890" spans="1:21" x14ac:dyDescent="0.3">
      <c r="A890">
        <v>352</v>
      </c>
      <c r="B890" s="1">
        <v>40559</v>
      </c>
      <c r="C890">
        <v>1</v>
      </c>
      <c r="D890">
        <v>0</v>
      </c>
      <c r="E890">
        <v>1</v>
      </c>
      <c r="F890">
        <v>3</v>
      </c>
      <c r="G890" t="b">
        <v>0</v>
      </c>
      <c r="H890">
        <v>0</v>
      </c>
      <c r="I890">
        <v>1</v>
      </c>
      <c r="J890">
        <v>0.22</v>
      </c>
      <c r="K890">
        <v>0.2727</v>
      </c>
      <c r="L890">
        <v>0.69</v>
      </c>
      <c r="M890">
        <v>0</v>
      </c>
      <c r="N890">
        <v>9</v>
      </c>
      <c r="O890">
        <v>6</v>
      </c>
      <c r="P890">
        <v>15</v>
      </c>
      <c r="Q890" t="s">
        <v>62</v>
      </c>
      <c r="R890" t="s">
        <v>120</v>
      </c>
      <c r="S890" t="s">
        <v>25</v>
      </c>
      <c r="T890" t="s">
        <v>30</v>
      </c>
      <c r="U890" t="s">
        <v>123</v>
      </c>
    </row>
    <row r="891" spans="1:21" x14ac:dyDescent="0.3">
      <c r="A891">
        <v>353</v>
      </c>
      <c r="B891" s="1">
        <v>40559</v>
      </c>
      <c r="C891">
        <v>1</v>
      </c>
      <c r="D891">
        <v>0</v>
      </c>
      <c r="E891">
        <v>1</v>
      </c>
      <c r="F891">
        <v>4</v>
      </c>
      <c r="G891" t="b">
        <v>0</v>
      </c>
      <c r="H891">
        <v>0</v>
      </c>
      <c r="I891">
        <v>1</v>
      </c>
      <c r="J891">
        <v>0.26</v>
      </c>
      <c r="K891">
        <v>0.2576</v>
      </c>
      <c r="L891">
        <v>0.56000000000000005</v>
      </c>
      <c r="M891">
        <v>0.16420000000000001</v>
      </c>
      <c r="N891">
        <v>0</v>
      </c>
      <c r="O891">
        <v>1</v>
      </c>
      <c r="P891">
        <v>1</v>
      </c>
      <c r="Q891" t="s">
        <v>62</v>
      </c>
      <c r="R891" t="s">
        <v>120</v>
      </c>
      <c r="S891" t="s">
        <v>25</v>
      </c>
      <c r="T891" t="s">
        <v>30</v>
      </c>
      <c r="U891" t="s">
        <v>123</v>
      </c>
    </row>
    <row r="892" spans="1:21" x14ac:dyDescent="0.3">
      <c r="A892">
        <v>354</v>
      </c>
      <c r="B892" s="1">
        <v>40559</v>
      </c>
      <c r="C892">
        <v>1</v>
      </c>
      <c r="D892">
        <v>0</v>
      </c>
      <c r="E892">
        <v>1</v>
      </c>
      <c r="F892">
        <v>5</v>
      </c>
      <c r="G892" t="b">
        <v>0</v>
      </c>
      <c r="H892">
        <v>0</v>
      </c>
      <c r="I892">
        <v>2</v>
      </c>
      <c r="J892">
        <v>0.26</v>
      </c>
      <c r="K892">
        <v>0.2576</v>
      </c>
      <c r="L892">
        <v>0.56000000000000005</v>
      </c>
      <c r="M892">
        <v>0.16420000000000001</v>
      </c>
      <c r="N892">
        <v>1</v>
      </c>
      <c r="O892">
        <v>1</v>
      </c>
      <c r="P892">
        <v>2</v>
      </c>
      <c r="Q892" t="s">
        <v>64</v>
      </c>
      <c r="R892" t="s">
        <v>120</v>
      </c>
      <c r="S892" t="s">
        <v>25</v>
      </c>
      <c r="T892" t="s">
        <v>30</v>
      </c>
      <c r="U892" t="s">
        <v>124</v>
      </c>
    </row>
    <row r="893" spans="1:21" x14ac:dyDescent="0.3">
      <c r="A893">
        <v>355</v>
      </c>
      <c r="B893" s="1">
        <v>40559</v>
      </c>
      <c r="C893">
        <v>1</v>
      </c>
      <c r="D893">
        <v>0</v>
      </c>
      <c r="E893">
        <v>1</v>
      </c>
      <c r="F893">
        <v>6</v>
      </c>
      <c r="G893" t="b">
        <v>0</v>
      </c>
      <c r="H893">
        <v>0</v>
      </c>
      <c r="I893">
        <v>2</v>
      </c>
      <c r="J893">
        <v>0.26</v>
      </c>
      <c r="K893">
        <v>0.2576</v>
      </c>
      <c r="L893">
        <v>0.56000000000000005</v>
      </c>
      <c r="M893">
        <v>0.16420000000000001</v>
      </c>
      <c r="N893">
        <v>0</v>
      </c>
      <c r="O893">
        <v>1</v>
      </c>
      <c r="P893">
        <v>1</v>
      </c>
      <c r="Q893" t="s">
        <v>64</v>
      </c>
      <c r="R893" t="s">
        <v>120</v>
      </c>
      <c r="S893" t="s">
        <v>25</v>
      </c>
      <c r="T893" t="s">
        <v>30</v>
      </c>
      <c r="U893" t="s">
        <v>124</v>
      </c>
    </row>
    <row r="894" spans="1:21" x14ac:dyDescent="0.3">
      <c r="A894">
        <v>356</v>
      </c>
      <c r="B894" s="1">
        <v>40559</v>
      </c>
      <c r="C894">
        <v>1</v>
      </c>
      <c r="D894">
        <v>0</v>
      </c>
      <c r="E894">
        <v>1</v>
      </c>
      <c r="F894">
        <v>7</v>
      </c>
      <c r="G894" t="b">
        <v>0</v>
      </c>
      <c r="H894">
        <v>0</v>
      </c>
      <c r="I894">
        <v>2</v>
      </c>
      <c r="J894">
        <v>0.24</v>
      </c>
      <c r="K894">
        <v>0.21210000000000001</v>
      </c>
      <c r="L894">
        <v>0.56000000000000005</v>
      </c>
      <c r="M894">
        <v>0.29849999999999999</v>
      </c>
      <c r="N894">
        <v>0</v>
      </c>
      <c r="O894">
        <v>3</v>
      </c>
      <c r="P894">
        <v>3</v>
      </c>
      <c r="Q894" t="s">
        <v>64</v>
      </c>
      <c r="R894" t="s">
        <v>120</v>
      </c>
      <c r="S894" t="s">
        <v>25</v>
      </c>
      <c r="T894" t="s">
        <v>30</v>
      </c>
      <c r="U894" t="s">
        <v>124</v>
      </c>
    </row>
    <row r="895" spans="1:21" x14ac:dyDescent="0.3">
      <c r="A895">
        <v>357</v>
      </c>
      <c r="B895" s="1">
        <v>40559</v>
      </c>
      <c r="C895">
        <v>1</v>
      </c>
      <c r="D895">
        <v>0</v>
      </c>
      <c r="E895">
        <v>1</v>
      </c>
      <c r="F895">
        <v>8</v>
      </c>
      <c r="G895" t="b">
        <v>0</v>
      </c>
      <c r="H895">
        <v>0</v>
      </c>
      <c r="I895">
        <v>1</v>
      </c>
      <c r="J895">
        <v>0.22</v>
      </c>
      <c r="K895">
        <v>0.21210000000000001</v>
      </c>
      <c r="L895">
        <v>0.55000000000000004</v>
      </c>
      <c r="M895">
        <v>0.28360000000000002</v>
      </c>
      <c r="N895">
        <v>0</v>
      </c>
      <c r="O895">
        <v>18</v>
      </c>
      <c r="P895">
        <v>18</v>
      </c>
      <c r="Q895" t="s">
        <v>62</v>
      </c>
      <c r="R895" t="s">
        <v>120</v>
      </c>
      <c r="S895" t="s">
        <v>25</v>
      </c>
      <c r="T895" t="s">
        <v>30</v>
      </c>
      <c r="U895" t="s">
        <v>123</v>
      </c>
    </row>
    <row r="896" spans="1:21" x14ac:dyDescent="0.3">
      <c r="A896">
        <v>358</v>
      </c>
      <c r="B896" s="1">
        <v>40559</v>
      </c>
      <c r="C896">
        <v>1</v>
      </c>
      <c r="D896">
        <v>0</v>
      </c>
      <c r="E896">
        <v>1</v>
      </c>
      <c r="F896">
        <v>9</v>
      </c>
      <c r="G896" t="b">
        <v>0</v>
      </c>
      <c r="H896">
        <v>0</v>
      </c>
      <c r="I896">
        <v>1</v>
      </c>
      <c r="J896">
        <v>0.22</v>
      </c>
      <c r="K896">
        <v>0.21210000000000001</v>
      </c>
      <c r="L896">
        <v>0.51</v>
      </c>
      <c r="M896">
        <v>0.25369999999999998</v>
      </c>
      <c r="N896">
        <v>3</v>
      </c>
      <c r="O896">
        <v>29</v>
      </c>
      <c r="P896">
        <v>32</v>
      </c>
      <c r="Q896" t="s">
        <v>62</v>
      </c>
      <c r="R896" t="s">
        <v>120</v>
      </c>
      <c r="S896" t="s">
        <v>25</v>
      </c>
      <c r="T896" t="s">
        <v>30</v>
      </c>
      <c r="U896" t="s">
        <v>123</v>
      </c>
    </row>
    <row r="897" spans="1:21" x14ac:dyDescent="0.3">
      <c r="A897">
        <v>359</v>
      </c>
      <c r="B897" s="1">
        <v>40559</v>
      </c>
      <c r="C897">
        <v>1</v>
      </c>
      <c r="D897">
        <v>0</v>
      </c>
      <c r="E897">
        <v>1</v>
      </c>
      <c r="F897">
        <v>10</v>
      </c>
      <c r="G897" t="b">
        <v>0</v>
      </c>
      <c r="H897">
        <v>0</v>
      </c>
      <c r="I897">
        <v>1</v>
      </c>
      <c r="J897">
        <v>0.22</v>
      </c>
      <c r="K897">
        <v>0.21210000000000001</v>
      </c>
      <c r="L897">
        <v>0.51</v>
      </c>
      <c r="M897">
        <v>0.28360000000000002</v>
      </c>
      <c r="N897">
        <v>8</v>
      </c>
      <c r="O897">
        <v>71</v>
      </c>
      <c r="P897">
        <v>79</v>
      </c>
      <c r="Q897" t="s">
        <v>62</v>
      </c>
      <c r="R897" t="s">
        <v>120</v>
      </c>
      <c r="S897" t="s">
        <v>25</v>
      </c>
      <c r="T897" t="s">
        <v>30</v>
      </c>
      <c r="U897" t="s">
        <v>123</v>
      </c>
    </row>
    <row r="898" spans="1:21" x14ac:dyDescent="0.3">
      <c r="A898">
        <v>360</v>
      </c>
      <c r="B898" s="1">
        <v>40559</v>
      </c>
      <c r="C898">
        <v>1</v>
      </c>
      <c r="D898">
        <v>0</v>
      </c>
      <c r="E898">
        <v>1</v>
      </c>
      <c r="F898">
        <v>11</v>
      </c>
      <c r="G898" t="b">
        <v>0</v>
      </c>
      <c r="H898">
        <v>0</v>
      </c>
      <c r="I898">
        <v>1</v>
      </c>
      <c r="J898">
        <v>0.24</v>
      </c>
      <c r="K898">
        <v>0.2273</v>
      </c>
      <c r="L898">
        <v>0.44</v>
      </c>
      <c r="M898">
        <v>0.25369999999999998</v>
      </c>
      <c r="N898">
        <v>23</v>
      </c>
      <c r="O898">
        <v>70</v>
      </c>
      <c r="P898">
        <v>93</v>
      </c>
      <c r="Q898" t="s">
        <v>62</v>
      </c>
      <c r="R898" t="s">
        <v>120</v>
      </c>
      <c r="S898" t="s">
        <v>25</v>
      </c>
      <c r="T898" t="s">
        <v>30</v>
      </c>
      <c r="U898" t="s">
        <v>123</v>
      </c>
    </row>
    <row r="899" spans="1:21" x14ac:dyDescent="0.3">
      <c r="A899">
        <v>361</v>
      </c>
      <c r="B899" s="1">
        <v>40559</v>
      </c>
      <c r="C899">
        <v>1</v>
      </c>
      <c r="D899">
        <v>0</v>
      </c>
      <c r="E899">
        <v>1</v>
      </c>
      <c r="F899">
        <v>12</v>
      </c>
      <c r="G899" t="b">
        <v>0</v>
      </c>
      <c r="H899">
        <v>0</v>
      </c>
      <c r="I899">
        <v>1</v>
      </c>
      <c r="J899">
        <v>0.24</v>
      </c>
      <c r="K899">
        <v>0.21210000000000001</v>
      </c>
      <c r="L899">
        <v>0.41</v>
      </c>
      <c r="M899">
        <v>0.28360000000000002</v>
      </c>
      <c r="N899">
        <v>29</v>
      </c>
      <c r="O899">
        <v>75</v>
      </c>
      <c r="P899">
        <v>104</v>
      </c>
      <c r="Q899" t="s">
        <v>62</v>
      </c>
      <c r="R899" t="s">
        <v>120</v>
      </c>
      <c r="S899" t="s">
        <v>25</v>
      </c>
      <c r="T899" t="s">
        <v>30</v>
      </c>
      <c r="U899" t="s">
        <v>123</v>
      </c>
    </row>
    <row r="900" spans="1:21" x14ac:dyDescent="0.3">
      <c r="A900">
        <v>362</v>
      </c>
      <c r="B900" s="1">
        <v>40559</v>
      </c>
      <c r="C900">
        <v>1</v>
      </c>
      <c r="D900">
        <v>0</v>
      </c>
      <c r="E900">
        <v>1</v>
      </c>
      <c r="F900">
        <v>13</v>
      </c>
      <c r="G900" t="b">
        <v>0</v>
      </c>
      <c r="H900">
        <v>0</v>
      </c>
      <c r="I900">
        <v>1</v>
      </c>
      <c r="J900">
        <v>0.26</v>
      </c>
      <c r="K900">
        <v>0.2273</v>
      </c>
      <c r="L900">
        <v>0.35</v>
      </c>
      <c r="M900">
        <v>0.29849999999999999</v>
      </c>
      <c r="N900">
        <v>23</v>
      </c>
      <c r="O900">
        <v>95</v>
      </c>
      <c r="P900">
        <v>118</v>
      </c>
      <c r="Q900" t="s">
        <v>62</v>
      </c>
      <c r="R900" t="s">
        <v>120</v>
      </c>
      <c r="S900" t="s">
        <v>25</v>
      </c>
      <c r="T900" t="s">
        <v>30</v>
      </c>
      <c r="U900" t="s">
        <v>123</v>
      </c>
    </row>
    <row r="901" spans="1:21" x14ac:dyDescent="0.3">
      <c r="A901">
        <v>363</v>
      </c>
      <c r="B901" s="1">
        <v>40559</v>
      </c>
      <c r="C901">
        <v>1</v>
      </c>
      <c r="D901">
        <v>0</v>
      </c>
      <c r="E901">
        <v>1</v>
      </c>
      <c r="F901">
        <v>14</v>
      </c>
      <c r="G901" t="b">
        <v>0</v>
      </c>
      <c r="H901">
        <v>0</v>
      </c>
      <c r="I901">
        <v>1</v>
      </c>
      <c r="J901">
        <v>0.28000000000000003</v>
      </c>
      <c r="K901">
        <v>0.2727</v>
      </c>
      <c r="L901">
        <v>0.36</v>
      </c>
      <c r="M901">
        <v>0.25369999999999998</v>
      </c>
      <c r="N901">
        <v>22</v>
      </c>
      <c r="O901">
        <v>69</v>
      </c>
      <c r="P901">
        <v>91</v>
      </c>
      <c r="Q901" t="s">
        <v>62</v>
      </c>
      <c r="R901" t="s">
        <v>120</v>
      </c>
      <c r="S901" t="s">
        <v>25</v>
      </c>
      <c r="T901" t="s">
        <v>30</v>
      </c>
      <c r="U901" t="s">
        <v>123</v>
      </c>
    </row>
    <row r="902" spans="1:21" x14ac:dyDescent="0.3">
      <c r="A902">
        <v>364</v>
      </c>
      <c r="B902" s="1">
        <v>40559</v>
      </c>
      <c r="C902">
        <v>1</v>
      </c>
      <c r="D902">
        <v>0</v>
      </c>
      <c r="E902">
        <v>1</v>
      </c>
      <c r="F902">
        <v>15</v>
      </c>
      <c r="G902" t="b">
        <v>0</v>
      </c>
      <c r="H902">
        <v>0</v>
      </c>
      <c r="I902">
        <v>1</v>
      </c>
      <c r="J902">
        <v>0.26</v>
      </c>
      <c r="K902">
        <v>0.2424</v>
      </c>
      <c r="L902">
        <v>0.38</v>
      </c>
      <c r="M902">
        <v>0.25369999999999998</v>
      </c>
      <c r="N902">
        <v>35</v>
      </c>
      <c r="O902">
        <v>78</v>
      </c>
      <c r="P902">
        <v>113</v>
      </c>
      <c r="Q902" t="s">
        <v>62</v>
      </c>
      <c r="R902" t="s">
        <v>120</v>
      </c>
      <c r="S902" t="s">
        <v>25</v>
      </c>
      <c r="T902" t="s">
        <v>30</v>
      </c>
      <c r="U902" t="s">
        <v>123</v>
      </c>
    </row>
    <row r="903" spans="1:21" x14ac:dyDescent="0.3">
      <c r="A903">
        <v>365</v>
      </c>
      <c r="B903" s="1">
        <v>40559</v>
      </c>
      <c r="C903">
        <v>1</v>
      </c>
      <c r="D903">
        <v>0</v>
      </c>
      <c r="E903">
        <v>1</v>
      </c>
      <c r="F903">
        <v>16</v>
      </c>
      <c r="G903" t="b">
        <v>0</v>
      </c>
      <c r="H903">
        <v>0</v>
      </c>
      <c r="I903">
        <v>1</v>
      </c>
      <c r="J903">
        <v>0.24</v>
      </c>
      <c r="K903">
        <v>0.2273</v>
      </c>
      <c r="L903">
        <v>0.38</v>
      </c>
      <c r="M903">
        <v>0.22389999999999999</v>
      </c>
      <c r="N903">
        <v>22</v>
      </c>
      <c r="O903">
        <v>77</v>
      </c>
      <c r="P903">
        <v>99</v>
      </c>
      <c r="Q903" t="s">
        <v>62</v>
      </c>
      <c r="R903" t="s">
        <v>120</v>
      </c>
      <c r="S903" t="s">
        <v>25</v>
      </c>
      <c r="T903" t="s">
        <v>30</v>
      </c>
      <c r="U903" t="s">
        <v>123</v>
      </c>
    </row>
    <row r="904" spans="1:21" x14ac:dyDescent="0.3">
      <c r="A904">
        <v>366</v>
      </c>
      <c r="B904" s="1">
        <v>40559</v>
      </c>
      <c r="C904">
        <v>1</v>
      </c>
      <c r="D904">
        <v>0</v>
      </c>
      <c r="E904">
        <v>1</v>
      </c>
      <c r="F904">
        <v>17</v>
      </c>
      <c r="G904" t="b">
        <v>0</v>
      </c>
      <c r="H904">
        <v>0</v>
      </c>
      <c r="I904">
        <v>1</v>
      </c>
      <c r="J904">
        <v>0.22</v>
      </c>
      <c r="K904">
        <v>0.21210000000000001</v>
      </c>
      <c r="L904">
        <v>0.37</v>
      </c>
      <c r="M904">
        <v>0.25369999999999998</v>
      </c>
      <c r="N904">
        <v>23</v>
      </c>
      <c r="O904">
        <v>82</v>
      </c>
      <c r="P904">
        <v>105</v>
      </c>
      <c r="Q904" t="s">
        <v>62</v>
      </c>
      <c r="R904" t="s">
        <v>120</v>
      </c>
      <c r="S904" t="s">
        <v>25</v>
      </c>
      <c r="T904" t="s">
        <v>30</v>
      </c>
      <c r="U904" t="s">
        <v>123</v>
      </c>
    </row>
    <row r="905" spans="1:21" x14ac:dyDescent="0.3">
      <c r="A905">
        <v>367</v>
      </c>
      <c r="B905" s="1">
        <v>40559</v>
      </c>
      <c r="C905">
        <v>1</v>
      </c>
      <c r="D905">
        <v>0</v>
      </c>
      <c r="E905">
        <v>1</v>
      </c>
      <c r="F905">
        <v>18</v>
      </c>
      <c r="G905" t="b">
        <v>0</v>
      </c>
      <c r="H905">
        <v>0</v>
      </c>
      <c r="I905">
        <v>1</v>
      </c>
      <c r="J905">
        <v>0.2</v>
      </c>
      <c r="K905">
        <v>0.21210000000000001</v>
      </c>
      <c r="L905">
        <v>0.4</v>
      </c>
      <c r="M905">
        <v>0.16420000000000001</v>
      </c>
      <c r="N905">
        <v>11</v>
      </c>
      <c r="O905">
        <v>56</v>
      </c>
      <c r="P905">
        <v>67</v>
      </c>
      <c r="Q905" t="s">
        <v>62</v>
      </c>
      <c r="R905" t="s">
        <v>120</v>
      </c>
      <c r="S905" t="s">
        <v>25</v>
      </c>
      <c r="T905" t="s">
        <v>30</v>
      </c>
      <c r="U905" t="s">
        <v>123</v>
      </c>
    </row>
    <row r="906" spans="1:21" x14ac:dyDescent="0.3">
      <c r="A906">
        <v>368</v>
      </c>
      <c r="B906" s="1">
        <v>40559</v>
      </c>
      <c r="C906">
        <v>1</v>
      </c>
      <c r="D906">
        <v>0</v>
      </c>
      <c r="E906">
        <v>1</v>
      </c>
      <c r="F906">
        <v>19</v>
      </c>
      <c r="G906" t="b">
        <v>0</v>
      </c>
      <c r="H906">
        <v>0</v>
      </c>
      <c r="I906">
        <v>1</v>
      </c>
      <c r="J906">
        <v>0.18</v>
      </c>
      <c r="K906">
        <v>0.19700000000000001</v>
      </c>
      <c r="L906">
        <v>0.47</v>
      </c>
      <c r="M906">
        <v>0.1343</v>
      </c>
      <c r="N906">
        <v>14</v>
      </c>
      <c r="O906">
        <v>47</v>
      </c>
      <c r="P906">
        <v>61</v>
      </c>
      <c r="Q906" t="s">
        <v>62</v>
      </c>
      <c r="R906" t="s">
        <v>120</v>
      </c>
      <c r="S906" t="s">
        <v>25</v>
      </c>
      <c r="T906" t="s">
        <v>30</v>
      </c>
      <c r="U906" t="s">
        <v>123</v>
      </c>
    </row>
    <row r="907" spans="1:21" x14ac:dyDescent="0.3">
      <c r="A907">
        <v>369</v>
      </c>
      <c r="B907" s="1">
        <v>40559</v>
      </c>
      <c r="C907">
        <v>1</v>
      </c>
      <c r="D907">
        <v>0</v>
      </c>
      <c r="E907">
        <v>1</v>
      </c>
      <c r="F907">
        <v>20</v>
      </c>
      <c r="G907" t="b">
        <v>0</v>
      </c>
      <c r="H907">
        <v>0</v>
      </c>
      <c r="I907">
        <v>1</v>
      </c>
      <c r="J907">
        <v>0.18</v>
      </c>
      <c r="K907">
        <v>0.19700000000000001</v>
      </c>
      <c r="L907">
        <v>0.47</v>
      </c>
      <c r="M907">
        <v>0.16420000000000001</v>
      </c>
      <c r="N907">
        <v>7</v>
      </c>
      <c r="O907">
        <v>50</v>
      </c>
      <c r="P907">
        <v>57</v>
      </c>
      <c r="Q907" t="s">
        <v>62</v>
      </c>
      <c r="R907" t="s">
        <v>120</v>
      </c>
      <c r="S907" t="s">
        <v>25</v>
      </c>
      <c r="T907" t="s">
        <v>30</v>
      </c>
      <c r="U907" t="s">
        <v>123</v>
      </c>
    </row>
    <row r="908" spans="1:21" x14ac:dyDescent="0.3">
      <c r="A908">
        <v>370</v>
      </c>
      <c r="B908" s="1">
        <v>40559</v>
      </c>
      <c r="C908">
        <v>1</v>
      </c>
      <c r="D908">
        <v>0</v>
      </c>
      <c r="E908">
        <v>1</v>
      </c>
      <c r="F908">
        <v>21</v>
      </c>
      <c r="G908" t="b">
        <v>0</v>
      </c>
      <c r="H908">
        <v>0</v>
      </c>
      <c r="I908">
        <v>1</v>
      </c>
      <c r="J908">
        <v>0.18</v>
      </c>
      <c r="K908">
        <v>0.19700000000000001</v>
      </c>
      <c r="L908">
        <v>0.51</v>
      </c>
      <c r="M908">
        <v>0.16420000000000001</v>
      </c>
      <c r="N908">
        <v>6</v>
      </c>
      <c r="O908">
        <v>22</v>
      </c>
      <c r="P908">
        <v>28</v>
      </c>
      <c r="Q908" t="s">
        <v>62</v>
      </c>
      <c r="R908" t="s">
        <v>120</v>
      </c>
      <c r="S908" t="s">
        <v>25</v>
      </c>
      <c r="T908" t="s">
        <v>30</v>
      </c>
      <c r="U908" t="s">
        <v>123</v>
      </c>
    </row>
    <row r="909" spans="1:21" x14ac:dyDescent="0.3">
      <c r="A909">
        <v>371</v>
      </c>
      <c r="B909" s="1">
        <v>40559</v>
      </c>
      <c r="C909">
        <v>1</v>
      </c>
      <c r="D909">
        <v>0</v>
      </c>
      <c r="E909">
        <v>1</v>
      </c>
      <c r="F909">
        <v>22</v>
      </c>
      <c r="G909" t="b">
        <v>0</v>
      </c>
      <c r="H909">
        <v>0</v>
      </c>
      <c r="I909">
        <v>2</v>
      </c>
      <c r="J909">
        <v>0.2</v>
      </c>
      <c r="K909">
        <v>0.21210000000000001</v>
      </c>
      <c r="L909">
        <v>0.49</v>
      </c>
      <c r="M909">
        <v>0.1343</v>
      </c>
      <c r="N909">
        <v>2</v>
      </c>
      <c r="O909">
        <v>19</v>
      </c>
      <c r="P909">
        <v>21</v>
      </c>
      <c r="Q909" t="s">
        <v>64</v>
      </c>
      <c r="R909" t="s">
        <v>120</v>
      </c>
      <c r="S909" t="s">
        <v>25</v>
      </c>
      <c r="T909" t="s">
        <v>30</v>
      </c>
      <c r="U909" t="s">
        <v>124</v>
      </c>
    </row>
    <row r="910" spans="1:21" x14ac:dyDescent="0.3">
      <c r="A910">
        <v>372</v>
      </c>
      <c r="B910" s="1">
        <v>40559</v>
      </c>
      <c r="C910">
        <v>1</v>
      </c>
      <c r="D910">
        <v>0</v>
      </c>
      <c r="E910">
        <v>1</v>
      </c>
      <c r="F910">
        <v>23</v>
      </c>
      <c r="G910" t="b">
        <v>0</v>
      </c>
      <c r="H910">
        <v>0</v>
      </c>
      <c r="I910">
        <v>2</v>
      </c>
      <c r="J910">
        <v>0.2</v>
      </c>
      <c r="K910">
        <v>0.2273</v>
      </c>
      <c r="L910">
        <v>0.4</v>
      </c>
      <c r="M910">
        <v>0.1045</v>
      </c>
      <c r="N910">
        <v>0</v>
      </c>
      <c r="O910">
        <v>18</v>
      </c>
      <c r="P910">
        <v>18</v>
      </c>
      <c r="Q910" t="s">
        <v>64</v>
      </c>
      <c r="R910" t="s">
        <v>120</v>
      </c>
      <c r="S910" t="s">
        <v>25</v>
      </c>
      <c r="T910" t="s">
        <v>30</v>
      </c>
      <c r="U910" t="s">
        <v>124</v>
      </c>
    </row>
    <row r="911" spans="1:21" x14ac:dyDescent="0.3">
      <c r="A911">
        <v>503</v>
      </c>
      <c r="B911" s="1">
        <v>40566</v>
      </c>
      <c r="C911">
        <v>1</v>
      </c>
      <c r="D911">
        <v>0</v>
      </c>
      <c r="E911">
        <v>1</v>
      </c>
      <c r="F911">
        <v>0</v>
      </c>
      <c r="G911" t="b">
        <v>0</v>
      </c>
      <c r="H911">
        <v>0</v>
      </c>
      <c r="I911">
        <v>1</v>
      </c>
      <c r="J911">
        <v>0.04</v>
      </c>
      <c r="K911">
        <v>7.5800000000000006E-2</v>
      </c>
      <c r="L911">
        <v>0.56999999999999995</v>
      </c>
      <c r="M911">
        <v>0.1045</v>
      </c>
      <c r="N911">
        <v>2</v>
      </c>
      <c r="O911">
        <v>20</v>
      </c>
      <c r="P911">
        <v>22</v>
      </c>
      <c r="Q911" t="s">
        <v>62</v>
      </c>
      <c r="R911" t="s">
        <v>120</v>
      </c>
      <c r="S911" t="s">
        <v>25</v>
      </c>
      <c r="T911" t="s">
        <v>30</v>
      </c>
      <c r="U911" t="s">
        <v>123</v>
      </c>
    </row>
    <row r="912" spans="1:21" x14ac:dyDescent="0.3">
      <c r="A912">
        <v>504</v>
      </c>
      <c r="B912" s="1">
        <v>40566</v>
      </c>
      <c r="C912">
        <v>1</v>
      </c>
      <c r="D912">
        <v>0</v>
      </c>
      <c r="E912">
        <v>1</v>
      </c>
      <c r="F912">
        <v>1</v>
      </c>
      <c r="G912" t="b">
        <v>0</v>
      </c>
      <c r="H912">
        <v>0</v>
      </c>
      <c r="I912">
        <v>1</v>
      </c>
      <c r="J912">
        <v>0.04</v>
      </c>
      <c r="K912">
        <v>7.5800000000000006E-2</v>
      </c>
      <c r="L912">
        <v>0.56999999999999995</v>
      </c>
      <c r="M912">
        <v>0.1045</v>
      </c>
      <c r="N912">
        <v>1</v>
      </c>
      <c r="O912">
        <v>12</v>
      </c>
      <c r="P912">
        <v>13</v>
      </c>
      <c r="Q912" t="s">
        <v>62</v>
      </c>
      <c r="R912" t="s">
        <v>120</v>
      </c>
      <c r="S912" t="s">
        <v>25</v>
      </c>
      <c r="T912" t="s">
        <v>30</v>
      </c>
      <c r="U912" t="s">
        <v>123</v>
      </c>
    </row>
    <row r="913" spans="1:21" x14ac:dyDescent="0.3">
      <c r="A913">
        <v>505</v>
      </c>
      <c r="B913" s="1">
        <v>40566</v>
      </c>
      <c r="C913">
        <v>1</v>
      </c>
      <c r="D913">
        <v>0</v>
      </c>
      <c r="E913">
        <v>1</v>
      </c>
      <c r="F913">
        <v>2</v>
      </c>
      <c r="G913" t="b">
        <v>0</v>
      </c>
      <c r="H913">
        <v>0</v>
      </c>
      <c r="I913">
        <v>1</v>
      </c>
      <c r="J913">
        <v>0.02</v>
      </c>
      <c r="K913">
        <v>6.0600000000000001E-2</v>
      </c>
      <c r="L913">
        <v>0.62</v>
      </c>
      <c r="M913">
        <v>0.1343</v>
      </c>
      <c r="N913">
        <v>3</v>
      </c>
      <c r="O913">
        <v>15</v>
      </c>
      <c r="P913">
        <v>18</v>
      </c>
      <c r="Q913" t="s">
        <v>62</v>
      </c>
      <c r="R913" t="s">
        <v>120</v>
      </c>
      <c r="S913" t="s">
        <v>25</v>
      </c>
      <c r="T913" t="s">
        <v>30</v>
      </c>
      <c r="U913" t="s">
        <v>123</v>
      </c>
    </row>
    <row r="914" spans="1:21" x14ac:dyDescent="0.3">
      <c r="A914">
        <v>506</v>
      </c>
      <c r="B914" s="1">
        <v>40566</v>
      </c>
      <c r="C914">
        <v>1</v>
      </c>
      <c r="D914">
        <v>0</v>
      </c>
      <c r="E914">
        <v>1</v>
      </c>
      <c r="F914">
        <v>3</v>
      </c>
      <c r="G914" t="b">
        <v>0</v>
      </c>
      <c r="H914">
        <v>0</v>
      </c>
      <c r="I914">
        <v>1</v>
      </c>
      <c r="J914">
        <v>0.02</v>
      </c>
      <c r="K914">
        <v>6.0600000000000001E-2</v>
      </c>
      <c r="L914">
        <v>0.62</v>
      </c>
      <c r="M914">
        <v>0.1343</v>
      </c>
      <c r="N914">
        <v>1</v>
      </c>
      <c r="O914">
        <v>4</v>
      </c>
      <c r="P914">
        <v>5</v>
      </c>
      <c r="Q914" t="s">
        <v>62</v>
      </c>
      <c r="R914" t="s">
        <v>120</v>
      </c>
      <c r="S914" t="s">
        <v>25</v>
      </c>
      <c r="T914" t="s">
        <v>30</v>
      </c>
      <c r="U914" t="s">
        <v>123</v>
      </c>
    </row>
    <row r="915" spans="1:21" x14ac:dyDescent="0.3">
      <c r="A915">
        <v>507</v>
      </c>
      <c r="B915" s="1">
        <v>40566</v>
      </c>
      <c r="C915">
        <v>1</v>
      </c>
      <c r="D915">
        <v>0</v>
      </c>
      <c r="E915">
        <v>1</v>
      </c>
      <c r="F915">
        <v>5</v>
      </c>
      <c r="G915" t="b">
        <v>0</v>
      </c>
      <c r="H915">
        <v>0</v>
      </c>
      <c r="I915">
        <v>2</v>
      </c>
      <c r="J915">
        <v>0.04</v>
      </c>
      <c r="K915">
        <v>7.5800000000000006E-2</v>
      </c>
      <c r="L915">
        <v>0.56999999999999995</v>
      </c>
      <c r="M915">
        <v>0.1045</v>
      </c>
      <c r="N915">
        <v>0</v>
      </c>
      <c r="O915">
        <v>3</v>
      </c>
      <c r="P915">
        <v>3</v>
      </c>
      <c r="Q915" t="s">
        <v>64</v>
      </c>
      <c r="R915" t="s">
        <v>120</v>
      </c>
      <c r="S915" t="s">
        <v>25</v>
      </c>
      <c r="T915" t="s">
        <v>30</v>
      </c>
      <c r="U915" t="s">
        <v>124</v>
      </c>
    </row>
    <row r="916" spans="1:21" x14ac:dyDescent="0.3">
      <c r="A916">
        <v>508</v>
      </c>
      <c r="B916" s="1">
        <v>40566</v>
      </c>
      <c r="C916">
        <v>1</v>
      </c>
      <c r="D916">
        <v>0</v>
      </c>
      <c r="E916">
        <v>1</v>
      </c>
      <c r="F916">
        <v>6</v>
      </c>
      <c r="G916" t="b">
        <v>0</v>
      </c>
      <c r="H916">
        <v>0</v>
      </c>
      <c r="I916">
        <v>2</v>
      </c>
      <c r="J916">
        <v>0.04</v>
      </c>
      <c r="K916">
        <v>7.5800000000000006E-2</v>
      </c>
      <c r="L916">
        <v>0.56999999999999995</v>
      </c>
      <c r="M916">
        <v>0.1045</v>
      </c>
      <c r="N916">
        <v>0</v>
      </c>
      <c r="O916">
        <v>1</v>
      </c>
      <c r="P916">
        <v>1</v>
      </c>
      <c r="Q916" t="s">
        <v>64</v>
      </c>
      <c r="R916" t="s">
        <v>120</v>
      </c>
      <c r="S916" t="s">
        <v>25</v>
      </c>
      <c r="T916" t="s">
        <v>30</v>
      </c>
      <c r="U916" t="s">
        <v>124</v>
      </c>
    </row>
    <row r="917" spans="1:21" x14ac:dyDescent="0.3">
      <c r="A917">
        <v>509</v>
      </c>
      <c r="B917" s="1">
        <v>40566</v>
      </c>
      <c r="C917">
        <v>1</v>
      </c>
      <c r="D917">
        <v>0</v>
      </c>
      <c r="E917">
        <v>1</v>
      </c>
      <c r="F917">
        <v>7</v>
      </c>
      <c r="G917" t="b">
        <v>0</v>
      </c>
      <c r="H917">
        <v>0</v>
      </c>
      <c r="I917">
        <v>1</v>
      </c>
      <c r="J917">
        <v>0.08</v>
      </c>
      <c r="K917">
        <v>0.1061</v>
      </c>
      <c r="L917">
        <v>0.57999999999999996</v>
      </c>
      <c r="M917">
        <v>0.16420000000000001</v>
      </c>
      <c r="N917">
        <v>1</v>
      </c>
      <c r="O917">
        <v>1</v>
      </c>
      <c r="P917">
        <v>2</v>
      </c>
      <c r="Q917" t="s">
        <v>62</v>
      </c>
      <c r="R917" t="s">
        <v>120</v>
      </c>
      <c r="S917" t="s">
        <v>25</v>
      </c>
      <c r="T917" t="s">
        <v>30</v>
      </c>
      <c r="U917" t="s">
        <v>123</v>
      </c>
    </row>
    <row r="918" spans="1:21" x14ac:dyDescent="0.3">
      <c r="A918">
        <v>510</v>
      </c>
      <c r="B918" s="1">
        <v>40566</v>
      </c>
      <c r="C918">
        <v>1</v>
      </c>
      <c r="D918">
        <v>0</v>
      </c>
      <c r="E918">
        <v>1</v>
      </c>
      <c r="F918">
        <v>8</v>
      </c>
      <c r="G918" t="b">
        <v>0</v>
      </c>
      <c r="H918">
        <v>0</v>
      </c>
      <c r="I918">
        <v>1</v>
      </c>
      <c r="J918">
        <v>0.06</v>
      </c>
      <c r="K918">
        <v>7.5800000000000006E-2</v>
      </c>
      <c r="L918">
        <v>0.62</v>
      </c>
      <c r="M918">
        <v>0.16420000000000001</v>
      </c>
      <c r="N918">
        <v>2</v>
      </c>
      <c r="O918">
        <v>17</v>
      </c>
      <c r="P918">
        <v>19</v>
      </c>
      <c r="Q918" t="s">
        <v>62</v>
      </c>
      <c r="R918" t="s">
        <v>120</v>
      </c>
      <c r="S918" t="s">
        <v>25</v>
      </c>
      <c r="T918" t="s">
        <v>30</v>
      </c>
      <c r="U918" t="s">
        <v>123</v>
      </c>
    </row>
    <row r="919" spans="1:21" x14ac:dyDescent="0.3">
      <c r="A919">
        <v>511</v>
      </c>
      <c r="B919" s="1">
        <v>40566</v>
      </c>
      <c r="C919">
        <v>1</v>
      </c>
      <c r="D919">
        <v>0</v>
      </c>
      <c r="E919">
        <v>1</v>
      </c>
      <c r="F919">
        <v>9</v>
      </c>
      <c r="G919" t="b">
        <v>0</v>
      </c>
      <c r="H919">
        <v>0</v>
      </c>
      <c r="I919">
        <v>1</v>
      </c>
      <c r="J919">
        <v>0.1</v>
      </c>
      <c r="K919">
        <v>7.5800000000000006E-2</v>
      </c>
      <c r="L919">
        <v>0.54</v>
      </c>
      <c r="M919">
        <v>0.35820000000000002</v>
      </c>
      <c r="N919">
        <v>3</v>
      </c>
      <c r="O919">
        <v>25</v>
      </c>
      <c r="P919">
        <v>28</v>
      </c>
      <c r="Q919" t="s">
        <v>62</v>
      </c>
      <c r="R919" t="s">
        <v>120</v>
      </c>
      <c r="S919" t="s">
        <v>25</v>
      </c>
      <c r="T919" t="s">
        <v>30</v>
      </c>
      <c r="U919" t="s">
        <v>123</v>
      </c>
    </row>
    <row r="920" spans="1:21" x14ac:dyDescent="0.3">
      <c r="A920">
        <v>512</v>
      </c>
      <c r="B920" s="1">
        <v>40566</v>
      </c>
      <c r="C920">
        <v>1</v>
      </c>
      <c r="D920">
        <v>0</v>
      </c>
      <c r="E920">
        <v>1</v>
      </c>
      <c r="F920">
        <v>10</v>
      </c>
      <c r="G920" t="b">
        <v>0</v>
      </c>
      <c r="H920">
        <v>0</v>
      </c>
      <c r="I920">
        <v>1</v>
      </c>
      <c r="J920">
        <v>0.14000000000000001</v>
      </c>
      <c r="K920">
        <v>0.1061</v>
      </c>
      <c r="L920">
        <v>0.46</v>
      </c>
      <c r="M920">
        <v>0.3881</v>
      </c>
      <c r="N920">
        <v>7</v>
      </c>
      <c r="O920">
        <v>51</v>
      </c>
      <c r="P920">
        <v>58</v>
      </c>
      <c r="Q920" t="s">
        <v>62</v>
      </c>
      <c r="R920" t="s">
        <v>120</v>
      </c>
      <c r="S920" t="s">
        <v>25</v>
      </c>
      <c r="T920" t="s">
        <v>30</v>
      </c>
      <c r="U920" t="s">
        <v>123</v>
      </c>
    </row>
    <row r="921" spans="1:21" x14ac:dyDescent="0.3">
      <c r="A921">
        <v>513</v>
      </c>
      <c r="B921" s="1">
        <v>40566</v>
      </c>
      <c r="C921">
        <v>1</v>
      </c>
      <c r="D921">
        <v>0</v>
      </c>
      <c r="E921">
        <v>1</v>
      </c>
      <c r="F921">
        <v>11</v>
      </c>
      <c r="G921" t="b">
        <v>0</v>
      </c>
      <c r="H921">
        <v>0</v>
      </c>
      <c r="I921">
        <v>1</v>
      </c>
      <c r="J921">
        <v>0.14000000000000001</v>
      </c>
      <c r="K921">
        <v>0.13639999999999999</v>
      </c>
      <c r="L921">
        <v>0.43</v>
      </c>
      <c r="M921">
        <v>0.22389999999999999</v>
      </c>
      <c r="N921">
        <v>22</v>
      </c>
      <c r="O921">
        <v>77</v>
      </c>
      <c r="P921">
        <v>99</v>
      </c>
      <c r="Q921" t="s">
        <v>62</v>
      </c>
      <c r="R921" t="s">
        <v>120</v>
      </c>
      <c r="S921" t="s">
        <v>25</v>
      </c>
      <c r="T921" t="s">
        <v>30</v>
      </c>
      <c r="U921" t="s">
        <v>123</v>
      </c>
    </row>
    <row r="922" spans="1:21" x14ac:dyDescent="0.3">
      <c r="A922">
        <v>514</v>
      </c>
      <c r="B922" s="1">
        <v>40566</v>
      </c>
      <c r="C922">
        <v>1</v>
      </c>
      <c r="D922">
        <v>0</v>
      </c>
      <c r="E922">
        <v>1</v>
      </c>
      <c r="F922">
        <v>12</v>
      </c>
      <c r="G922" t="b">
        <v>0</v>
      </c>
      <c r="H922">
        <v>0</v>
      </c>
      <c r="I922">
        <v>1</v>
      </c>
      <c r="J922">
        <v>0.16</v>
      </c>
      <c r="K922">
        <v>0.1212</v>
      </c>
      <c r="L922">
        <v>0.37</v>
      </c>
      <c r="M922">
        <v>0.4627</v>
      </c>
      <c r="N922">
        <v>24</v>
      </c>
      <c r="O922">
        <v>92</v>
      </c>
      <c r="P922">
        <v>116</v>
      </c>
      <c r="Q922" t="s">
        <v>62</v>
      </c>
      <c r="R922" t="s">
        <v>120</v>
      </c>
      <c r="S922" t="s">
        <v>25</v>
      </c>
      <c r="T922" t="s">
        <v>30</v>
      </c>
      <c r="U922" t="s">
        <v>123</v>
      </c>
    </row>
    <row r="923" spans="1:21" x14ac:dyDescent="0.3">
      <c r="A923">
        <v>515</v>
      </c>
      <c r="B923" s="1">
        <v>40566</v>
      </c>
      <c r="C923">
        <v>1</v>
      </c>
      <c r="D923">
        <v>0</v>
      </c>
      <c r="E923">
        <v>1</v>
      </c>
      <c r="F923">
        <v>13</v>
      </c>
      <c r="G923" t="b">
        <v>0</v>
      </c>
      <c r="H923">
        <v>0</v>
      </c>
      <c r="I923">
        <v>1</v>
      </c>
      <c r="J923">
        <v>0.14000000000000001</v>
      </c>
      <c r="K923">
        <v>0.1061</v>
      </c>
      <c r="L923">
        <v>0.33</v>
      </c>
      <c r="M923">
        <v>0.3881</v>
      </c>
      <c r="N923">
        <v>12</v>
      </c>
      <c r="O923">
        <v>75</v>
      </c>
      <c r="P923">
        <v>87</v>
      </c>
      <c r="Q923" t="s">
        <v>62</v>
      </c>
      <c r="R923" t="s">
        <v>120</v>
      </c>
      <c r="S923" t="s">
        <v>25</v>
      </c>
      <c r="T923" t="s">
        <v>30</v>
      </c>
      <c r="U923" t="s">
        <v>123</v>
      </c>
    </row>
    <row r="924" spans="1:21" x14ac:dyDescent="0.3">
      <c r="A924">
        <v>516</v>
      </c>
      <c r="B924" s="1">
        <v>40566</v>
      </c>
      <c r="C924">
        <v>1</v>
      </c>
      <c r="D924">
        <v>0</v>
      </c>
      <c r="E924">
        <v>1</v>
      </c>
      <c r="F924">
        <v>14</v>
      </c>
      <c r="G924" t="b">
        <v>0</v>
      </c>
      <c r="H924">
        <v>0</v>
      </c>
      <c r="I924">
        <v>1</v>
      </c>
      <c r="J924">
        <v>0.16</v>
      </c>
      <c r="K924">
        <v>0.13639999999999999</v>
      </c>
      <c r="L924">
        <v>0.28000000000000003</v>
      </c>
      <c r="M924">
        <v>0.35820000000000002</v>
      </c>
      <c r="N924">
        <v>17</v>
      </c>
      <c r="O924">
        <v>93</v>
      </c>
      <c r="P924">
        <v>110</v>
      </c>
      <c r="Q924" t="s">
        <v>62</v>
      </c>
      <c r="R924" t="s">
        <v>120</v>
      </c>
      <c r="S924" t="s">
        <v>25</v>
      </c>
      <c r="T924" t="s">
        <v>30</v>
      </c>
      <c r="U924" t="s">
        <v>123</v>
      </c>
    </row>
    <row r="925" spans="1:21" x14ac:dyDescent="0.3">
      <c r="A925">
        <v>517</v>
      </c>
      <c r="B925" s="1">
        <v>40566</v>
      </c>
      <c r="C925">
        <v>1</v>
      </c>
      <c r="D925">
        <v>0</v>
      </c>
      <c r="E925">
        <v>1</v>
      </c>
      <c r="F925">
        <v>15</v>
      </c>
      <c r="G925" t="b">
        <v>0</v>
      </c>
      <c r="H925">
        <v>0</v>
      </c>
      <c r="I925">
        <v>1</v>
      </c>
      <c r="J925">
        <v>0.16</v>
      </c>
      <c r="K925">
        <v>0.13639999999999999</v>
      </c>
      <c r="L925">
        <v>0.28000000000000003</v>
      </c>
      <c r="M925">
        <v>0.35820000000000002</v>
      </c>
      <c r="N925">
        <v>13</v>
      </c>
      <c r="O925">
        <v>64</v>
      </c>
      <c r="P925">
        <v>77</v>
      </c>
      <c r="Q925" t="s">
        <v>62</v>
      </c>
      <c r="R925" t="s">
        <v>120</v>
      </c>
      <c r="S925" t="s">
        <v>25</v>
      </c>
      <c r="T925" t="s">
        <v>30</v>
      </c>
      <c r="U925" t="s">
        <v>123</v>
      </c>
    </row>
    <row r="926" spans="1:21" x14ac:dyDescent="0.3">
      <c r="A926">
        <v>518</v>
      </c>
      <c r="B926" s="1">
        <v>40566</v>
      </c>
      <c r="C926">
        <v>1</v>
      </c>
      <c r="D926">
        <v>0</v>
      </c>
      <c r="E926">
        <v>1</v>
      </c>
      <c r="F926">
        <v>16</v>
      </c>
      <c r="G926" t="b">
        <v>0</v>
      </c>
      <c r="H926">
        <v>0</v>
      </c>
      <c r="I926">
        <v>1</v>
      </c>
      <c r="J926">
        <v>0.16</v>
      </c>
      <c r="K926">
        <v>0.13639999999999999</v>
      </c>
      <c r="L926">
        <v>0.26</v>
      </c>
      <c r="M926">
        <v>0.32840000000000003</v>
      </c>
      <c r="N926">
        <v>9</v>
      </c>
      <c r="O926">
        <v>56</v>
      </c>
      <c r="P926">
        <v>65</v>
      </c>
      <c r="Q926" t="s">
        <v>62</v>
      </c>
      <c r="R926" t="s">
        <v>120</v>
      </c>
      <c r="S926" t="s">
        <v>25</v>
      </c>
      <c r="T926" t="s">
        <v>30</v>
      </c>
      <c r="U926" t="s">
        <v>123</v>
      </c>
    </row>
    <row r="927" spans="1:21" x14ac:dyDescent="0.3">
      <c r="A927">
        <v>519</v>
      </c>
      <c r="B927" s="1">
        <v>40566</v>
      </c>
      <c r="C927">
        <v>1</v>
      </c>
      <c r="D927">
        <v>0</v>
      </c>
      <c r="E927">
        <v>1</v>
      </c>
      <c r="F927">
        <v>17</v>
      </c>
      <c r="G927" t="b">
        <v>0</v>
      </c>
      <c r="H927">
        <v>0</v>
      </c>
      <c r="I927">
        <v>1</v>
      </c>
      <c r="J927">
        <v>0.14000000000000001</v>
      </c>
      <c r="K927">
        <v>0.1061</v>
      </c>
      <c r="L927">
        <v>0.26</v>
      </c>
      <c r="M927">
        <v>0.3881</v>
      </c>
      <c r="N927">
        <v>5</v>
      </c>
      <c r="O927">
        <v>50</v>
      </c>
      <c r="P927">
        <v>55</v>
      </c>
      <c r="Q927" t="s">
        <v>62</v>
      </c>
      <c r="R927" t="s">
        <v>120</v>
      </c>
      <c r="S927" t="s">
        <v>25</v>
      </c>
      <c r="T927" t="s">
        <v>30</v>
      </c>
      <c r="U927" t="s">
        <v>123</v>
      </c>
    </row>
    <row r="928" spans="1:21" x14ac:dyDescent="0.3">
      <c r="A928">
        <v>520</v>
      </c>
      <c r="B928" s="1">
        <v>40566</v>
      </c>
      <c r="C928">
        <v>1</v>
      </c>
      <c r="D928">
        <v>0</v>
      </c>
      <c r="E928">
        <v>1</v>
      </c>
      <c r="F928">
        <v>18</v>
      </c>
      <c r="G928" t="b">
        <v>0</v>
      </c>
      <c r="H928">
        <v>0</v>
      </c>
      <c r="I928">
        <v>1</v>
      </c>
      <c r="J928">
        <v>0.12</v>
      </c>
      <c r="K928">
        <v>0.1212</v>
      </c>
      <c r="L928">
        <v>0.3</v>
      </c>
      <c r="M928">
        <v>0.25369999999999998</v>
      </c>
      <c r="N928">
        <v>5</v>
      </c>
      <c r="O928">
        <v>44</v>
      </c>
      <c r="P928">
        <v>49</v>
      </c>
      <c r="Q928" t="s">
        <v>62</v>
      </c>
      <c r="R928" t="s">
        <v>120</v>
      </c>
      <c r="S928" t="s">
        <v>25</v>
      </c>
      <c r="T928" t="s">
        <v>30</v>
      </c>
      <c r="U928" t="s">
        <v>123</v>
      </c>
    </row>
    <row r="929" spans="1:21" x14ac:dyDescent="0.3">
      <c r="A929">
        <v>521</v>
      </c>
      <c r="B929" s="1">
        <v>40566</v>
      </c>
      <c r="C929">
        <v>1</v>
      </c>
      <c r="D929">
        <v>0</v>
      </c>
      <c r="E929">
        <v>1</v>
      </c>
      <c r="F929">
        <v>19</v>
      </c>
      <c r="G929" t="b">
        <v>0</v>
      </c>
      <c r="H929">
        <v>0</v>
      </c>
      <c r="I929">
        <v>1</v>
      </c>
      <c r="J929">
        <v>0.12</v>
      </c>
      <c r="K929">
        <v>0.1212</v>
      </c>
      <c r="L929">
        <v>0.3</v>
      </c>
      <c r="M929">
        <v>0.28360000000000002</v>
      </c>
      <c r="N929">
        <v>5</v>
      </c>
      <c r="O929">
        <v>45</v>
      </c>
      <c r="P929">
        <v>50</v>
      </c>
      <c r="Q929" t="s">
        <v>62</v>
      </c>
      <c r="R929" t="s">
        <v>120</v>
      </c>
      <c r="S929" t="s">
        <v>25</v>
      </c>
      <c r="T929" t="s">
        <v>30</v>
      </c>
      <c r="U929" t="s">
        <v>123</v>
      </c>
    </row>
    <row r="930" spans="1:21" x14ac:dyDescent="0.3">
      <c r="A930">
        <v>522</v>
      </c>
      <c r="B930" s="1">
        <v>40566</v>
      </c>
      <c r="C930">
        <v>1</v>
      </c>
      <c r="D930">
        <v>0</v>
      </c>
      <c r="E930">
        <v>1</v>
      </c>
      <c r="F930">
        <v>20</v>
      </c>
      <c r="G930" t="b">
        <v>0</v>
      </c>
      <c r="H930">
        <v>0</v>
      </c>
      <c r="I930">
        <v>1</v>
      </c>
      <c r="J930">
        <v>0.1</v>
      </c>
      <c r="K930">
        <v>0.1061</v>
      </c>
      <c r="L930">
        <v>0.36</v>
      </c>
      <c r="M930">
        <v>0.25369999999999998</v>
      </c>
      <c r="N930">
        <v>4</v>
      </c>
      <c r="O930">
        <v>31</v>
      </c>
      <c r="P930">
        <v>35</v>
      </c>
      <c r="Q930" t="s">
        <v>62</v>
      </c>
      <c r="R930" t="s">
        <v>120</v>
      </c>
      <c r="S930" t="s">
        <v>25</v>
      </c>
      <c r="T930" t="s">
        <v>30</v>
      </c>
      <c r="U930" t="s">
        <v>123</v>
      </c>
    </row>
    <row r="931" spans="1:21" x14ac:dyDescent="0.3">
      <c r="A931">
        <v>523</v>
      </c>
      <c r="B931" s="1">
        <v>40566</v>
      </c>
      <c r="C931">
        <v>1</v>
      </c>
      <c r="D931">
        <v>0</v>
      </c>
      <c r="E931">
        <v>1</v>
      </c>
      <c r="F931">
        <v>21</v>
      </c>
      <c r="G931" t="b">
        <v>0</v>
      </c>
      <c r="H931">
        <v>0</v>
      </c>
      <c r="I931">
        <v>1</v>
      </c>
      <c r="J931">
        <v>0.1</v>
      </c>
      <c r="K931">
        <v>0.1061</v>
      </c>
      <c r="L931">
        <v>0.36</v>
      </c>
      <c r="M931">
        <v>0.19400000000000001</v>
      </c>
      <c r="N931">
        <v>5</v>
      </c>
      <c r="O931">
        <v>20</v>
      </c>
      <c r="P931">
        <v>25</v>
      </c>
      <c r="Q931" t="s">
        <v>62</v>
      </c>
      <c r="R931" t="s">
        <v>120</v>
      </c>
      <c r="S931" t="s">
        <v>25</v>
      </c>
      <c r="T931" t="s">
        <v>30</v>
      </c>
      <c r="U931" t="s">
        <v>123</v>
      </c>
    </row>
    <row r="932" spans="1:21" x14ac:dyDescent="0.3">
      <c r="A932">
        <v>524</v>
      </c>
      <c r="B932" s="1">
        <v>40566</v>
      </c>
      <c r="C932">
        <v>1</v>
      </c>
      <c r="D932">
        <v>0</v>
      </c>
      <c r="E932">
        <v>1</v>
      </c>
      <c r="F932">
        <v>22</v>
      </c>
      <c r="G932" t="b">
        <v>0</v>
      </c>
      <c r="H932">
        <v>0</v>
      </c>
      <c r="I932">
        <v>1</v>
      </c>
      <c r="J932">
        <v>0.08</v>
      </c>
      <c r="K932">
        <v>9.0899999999999995E-2</v>
      </c>
      <c r="L932">
        <v>0.38</v>
      </c>
      <c r="M932">
        <v>0.19400000000000001</v>
      </c>
      <c r="N932">
        <v>5</v>
      </c>
      <c r="O932">
        <v>23</v>
      </c>
      <c r="P932">
        <v>28</v>
      </c>
      <c r="Q932" t="s">
        <v>62</v>
      </c>
      <c r="R932" t="s">
        <v>120</v>
      </c>
      <c r="S932" t="s">
        <v>25</v>
      </c>
      <c r="T932" t="s">
        <v>30</v>
      </c>
      <c r="U932" t="s">
        <v>123</v>
      </c>
    </row>
    <row r="933" spans="1:21" x14ac:dyDescent="0.3">
      <c r="A933">
        <v>525</v>
      </c>
      <c r="B933" s="1">
        <v>40566</v>
      </c>
      <c r="C933">
        <v>1</v>
      </c>
      <c r="D933">
        <v>0</v>
      </c>
      <c r="E933">
        <v>1</v>
      </c>
      <c r="F933">
        <v>23</v>
      </c>
      <c r="G933" t="b">
        <v>0</v>
      </c>
      <c r="H933">
        <v>0</v>
      </c>
      <c r="I933">
        <v>1</v>
      </c>
      <c r="J933">
        <v>0.06</v>
      </c>
      <c r="K933">
        <v>6.0600000000000001E-2</v>
      </c>
      <c r="L933">
        <v>0.41</v>
      </c>
      <c r="M933">
        <v>0.22389999999999999</v>
      </c>
      <c r="N933">
        <v>4</v>
      </c>
      <c r="O933">
        <v>17</v>
      </c>
      <c r="P933">
        <v>21</v>
      </c>
      <c r="Q933" t="s">
        <v>62</v>
      </c>
      <c r="R933" t="s">
        <v>120</v>
      </c>
      <c r="S933" t="s">
        <v>25</v>
      </c>
      <c r="T933" t="s">
        <v>30</v>
      </c>
      <c r="U933" t="s">
        <v>123</v>
      </c>
    </row>
    <row r="934" spans="1:21" x14ac:dyDescent="0.3">
      <c r="A934">
        <v>642</v>
      </c>
      <c r="B934" s="1">
        <v>40573</v>
      </c>
      <c r="C934">
        <v>1</v>
      </c>
      <c r="D934">
        <v>0</v>
      </c>
      <c r="E934">
        <v>1</v>
      </c>
      <c r="F934">
        <v>0</v>
      </c>
      <c r="G934" t="b">
        <v>0</v>
      </c>
      <c r="H934">
        <v>0</v>
      </c>
      <c r="I934">
        <v>1</v>
      </c>
      <c r="J934">
        <v>0.16</v>
      </c>
      <c r="K934">
        <v>0.18179999999999999</v>
      </c>
      <c r="L934">
        <v>0.8</v>
      </c>
      <c r="M934">
        <v>0.1045</v>
      </c>
      <c r="N934">
        <v>0</v>
      </c>
      <c r="O934">
        <v>33</v>
      </c>
      <c r="P934">
        <v>33</v>
      </c>
      <c r="Q934" t="s">
        <v>62</v>
      </c>
      <c r="R934" t="s">
        <v>120</v>
      </c>
      <c r="S934" t="s">
        <v>25</v>
      </c>
      <c r="T934" t="s">
        <v>30</v>
      </c>
      <c r="U934" t="s">
        <v>123</v>
      </c>
    </row>
    <row r="935" spans="1:21" x14ac:dyDescent="0.3">
      <c r="A935">
        <v>643</v>
      </c>
      <c r="B935" s="1">
        <v>40573</v>
      </c>
      <c r="C935">
        <v>1</v>
      </c>
      <c r="D935">
        <v>0</v>
      </c>
      <c r="E935">
        <v>1</v>
      </c>
      <c r="F935">
        <v>1</v>
      </c>
      <c r="G935" t="b">
        <v>0</v>
      </c>
      <c r="H935">
        <v>0</v>
      </c>
      <c r="I935">
        <v>1</v>
      </c>
      <c r="J935">
        <v>0.14000000000000001</v>
      </c>
      <c r="K935">
        <v>0.21210000000000001</v>
      </c>
      <c r="L935">
        <v>0.8</v>
      </c>
      <c r="M935">
        <v>0</v>
      </c>
      <c r="N935">
        <v>7</v>
      </c>
      <c r="O935">
        <v>22</v>
      </c>
      <c r="P935">
        <v>29</v>
      </c>
      <c r="Q935" t="s">
        <v>62</v>
      </c>
      <c r="R935" t="s">
        <v>120</v>
      </c>
      <c r="S935" t="s">
        <v>25</v>
      </c>
      <c r="T935" t="s">
        <v>30</v>
      </c>
      <c r="U935" t="s">
        <v>123</v>
      </c>
    </row>
    <row r="936" spans="1:21" x14ac:dyDescent="0.3">
      <c r="A936">
        <v>644</v>
      </c>
      <c r="B936" s="1">
        <v>40573</v>
      </c>
      <c r="C936">
        <v>1</v>
      </c>
      <c r="D936">
        <v>0</v>
      </c>
      <c r="E936">
        <v>1</v>
      </c>
      <c r="F936">
        <v>2</v>
      </c>
      <c r="G936" t="b">
        <v>0</v>
      </c>
      <c r="H936">
        <v>0</v>
      </c>
      <c r="I936">
        <v>1</v>
      </c>
      <c r="J936">
        <v>0.16</v>
      </c>
      <c r="K936">
        <v>0.2273</v>
      </c>
      <c r="L936">
        <v>0.8</v>
      </c>
      <c r="M936">
        <v>0</v>
      </c>
      <c r="N936">
        <v>1</v>
      </c>
      <c r="O936">
        <v>10</v>
      </c>
      <c r="P936">
        <v>11</v>
      </c>
      <c r="Q936" t="s">
        <v>62</v>
      </c>
      <c r="R936" t="s">
        <v>120</v>
      </c>
      <c r="S936" t="s">
        <v>25</v>
      </c>
      <c r="T936" t="s">
        <v>30</v>
      </c>
      <c r="U936" t="s">
        <v>123</v>
      </c>
    </row>
    <row r="937" spans="1:21" x14ac:dyDescent="0.3">
      <c r="A937">
        <v>645</v>
      </c>
      <c r="B937" s="1">
        <v>40573</v>
      </c>
      <c r="C937">
        <v>1</v>
      </c>
      <c r="D937">
        <v>0</v>
      </c>
      <c r="E937">
        <v>1</v>
      </c>
      <c r="F937">
        <v>3</v>
      </c>
      <c r="G937" t="b">
        <v>0</v>
      </c>
      <c r="H937">
        <v>0</v>
      </c>
      <c r="I937">
        <v>1</v>
      </c>
      <c r="J937">
        <v>0.14000000000000001</v>
      </c>
      <c r="K937">
        <v>0.21210000000000001</v>
      </c>
      <c r="L937">
        <v>0.93</v>
      </c>
      <c r="M937">
        <v>0</v>
      </c>
      <c r="N937">
        <v>1</v>
      </c>
      <c r="O937">
        <v>7</v>
      </c>
      <c r="P937">
        <v>8</v>
      </c>
      <c r="Q937" t="s">
        <v>62</v>
      </c>
      <c r="R937" t="s">
        <v>120</v>
      </c>
      <c r="S937" t="s">
        <v>25</v>
      </c>
      <c r="T937" t="s">
        <v>30</v>
      </c>
      <c r="U937" t="s">
        <v>123</v>
      </c>
    </row>
    <row r="938" spans="1:21" x14ac:dyDescent="0.3">
      <c r="A938">
        <v>646</v>
      </c>
      <c r="B938" s="1">
        <v>40573</v>
      </c>
      <c r="C938">
        <v>1</v>
      </c>
      <c r="D938">
        <v>0</v>
      </c>
      <c r="E938">
        <v>1</v>
      </c>
      <c r="F938">
        <v>4</v>
      </c>
      <c r="G938" t="b">
        <v>0</v>
      </c>
      <c r="H938">
        <v>0</v>
      </c>
      <c r="I938">
        <v>1</v>
      </c>
      <c r="J938">
        <v>0.14000000000000001</v>
      </c>
      <c r="K938">
        <v>0.21210000000000001</v>
      </c>
      <c r="L938">
        <v>0.93</v>
      </c>
      <c r="M938">
        <v>0</v>
      </c>
      <c r="N938">
        <v>0</v>
      </c>
      <c r="O938">
        <v>1</v>
      </c>
      <c r="P938">
        <v>1</v>
      </c>
      <c r="Q938" t="s">
        <v>62</v>
      </c>
      <c r="R938" t="s">
        <v>120</v>
      </c>
      <c r="S938" t="s">
        <v>25</v>
      </c>
      <c r="T938" t="s">
        <v>30</v>
      </c>
      <c r="U938" t="s">
        <v>123</v>
      </c>
    </row>
    <row r="939" spans="1:21" x14ac:dyDescent="0.3">
      <c r="A939">
        <v>647</v>
      </c>
      <c r="B939" s="1">
        <v>40573</v>
      </c>
      <c r="C939">
        <v>1</v>
      </c>
      <c r="D939">
        <v>0</v>
      </c>
      <c r="E939">
        <v>1</v>
      </c>
      <c r="F939">
        <v>5</v>
      </c>
      <c r="G939" t="b">
        <v>0</v>
      </c>
      <c r="H939">
        <v>0</v>
      </c>
      <c r="I939">
        <v>1</v>
      </c>
      <c r="J939">
        <v>0.14000000000000001</v>
      </c>
      <c r="K939">
        <v>0.21210000000000001</v>
      </c>
      <c r="L939">
        <v>0.86</v>
      </c>
      <c r="M939">
        <v>0</v>
      </c>
      <c r="N939">
        <v>0</v>
      </c>
      <c r="O939">
        <v>3</v>
      </c>
      <c r="P939">
        <v>3</v>
      </c>
      <c r="Q939" t="s">
        <v>62</v>
      </c>
      <c r="R939" t="s">
        <v>120</v>
      </c>
      <c r="S939" t="s">
        <v>25</v>
      </c>
      <c r="T939" t="s">
        <v>30</v>
      </c>
      <c r="U939" t="s">
        <v>123</v>
      </c>
    </row>
    <row r="940" spans="1:21" x14ac:dyDescent="0.3">
      <c r="A940">
        <v>648</v>
      </c>
      <c r="B940" s="1">
        <v>40573</v>
      </c>
      <c r="C940">
        <v>1</v>
      </c>
      <c r="D940">
        <v>0</v>
      </c>
      <c r="E940">
        <v>1</v>
      </c>
      <c r="F940">
        <v>7</v>
      </c>
      <c r="G940" t="b">
        <v>0</v>
      </c>
      <c r="H940">
        <v>0</v>
      </c>
      <c r="I940">
        <v>1</v>
      </c>
      <c r="J940">
        <v>0.14000000000000001</v>
      </c>
      <c r="K940">
        <v>0.21210000000000001</v>
      </c>
      <c r="L940">
        <v>0.86</v>
      </c>
      <c r="M940">
        <v>0</v>
      </c>
      <c r="N940">
        <v>0</v>
      </c>
      <c r="O940">
        <v>3</v>
      </c>
      <c r="P940">
        <v>3</v>
      </c>
      <c r="Q940" t="s">
        <v>62</v>
      </c>
      <c r="R940" t="s">
        <v>120</v>
      </c>
      <c r="S940" t="s">
        <v>25</v>
      </c>
      <c r="T940" t="s">
        <v>30</v>
      </c>
      <c r="U940" t="s">
        <v>123</v>
      </c>
    </row>
    <row r="941" spans="1:21" x14ac:dyDescent="0.3">
      <c r="A941">
        <v>649</v>
      </c>
      <c r="B941" s="1">
        <v>40573</v>
      </c>
      <c r="C941">
        <v>1</v>
      </c>
      <c r="D941">
        <v>0</v>
      </c>
      <c r="E941">
        <v>1</v>
      </c>
      <c r="F941">
        <v>8</v>
      </c>
      <c r="G941" t="b">
        <v>0</v>
      </c>
      <c r="H941">
        <v>0</v>
      </c>
      <c r="I941">
        <v>2</v>
      </c>
      <c r="J941">
        <v>0.14000000000000001</v>
      </c>
      <c r="K941">
        <v>0.21210000000000001</v>
      </c>
      <c r="L941">
        <v>0.86</v>
      </c>
      <c r="M941">
        <v>0</v>
      </c>
      <c r="N941">
        <v>1</v>
      </c>
      <c r="O941">
        <v>11</v>
      </c>
      <c r="P941">
        <v>12</v>
      </c>
      <c r="Q941" t="s">
        <v>64</v>
      </c>
      <c r="R941" t="s">
        <v>120</v>
      </c>
      <c r="S941" t="s">
        <v>25</v>
      </c>
      <c r="T941" t="s">
        <v>30</v>
      </c>
      <c r="U941" t="s">
        <v>124</v>
      </c>
    </row>
    <row r="942" spans="1:21" x14ac:dyDescent="0.3">
      <c r="A942">
        <v>650</v>
      </c>
      <c r="B942" s="1">
        <v>40573</v>
      </c>
      <c r="C942">
        <v>1</v>
      </c>
      <c r="D942">
        <v>0</v>
      </c>
      <c r="E942">
        <v>1</v>
      </c>
      <c r="F942">
        <v>9</v>
      </c>
      <c r="G942" t="b">
        <v>0</v>
      </c>
      <c r="H942">
        <v>0</v>
      </c>
      <c r="I942">
        <v>2</v>
      </c>
      <c r="J942">
        <v>0.16</v>
      </c>
      <c r="K942">
        <v>0.2273</v>
      </c>
      <c r="L942">
        <v>0.8</v>
      </c>
      <c r="M942">
        <v>0</v>
      </c>
      <c r="N942">
        <v>4</v>
      </c>
      <c r="O942">
        <v>34</v>
      </c>
      <c r="P942">
        <v>38</v>
      </c>
      <c r="Q942" t="s">
        <v>64</v>
      </c>
      <c r="R942" t="s">
        <v>120</v>
      </c>
      <c r="S942" t="s">
        <v>25</v>
      </c>
      <c r="T942" t="s">
        <v>30</v>
      </c>
      <c r="U942" t="s">
        <v>124</v>
      </c>
    </row>
    <row r="943" spans="1:21" x14ac:dyDescent="0.3">
      <c r="A943">
        <v>651</v>
      </c>
      <c r="B943" s="1">
        <v>40573</v>
      </c>
      <c r="C943">
        <v>1</v>
      </c>
      <c r="D943">
        <v>0</v>
      </c>
      <c r="E943">
        <v>1</v>
      </c>
      <c r="F943">
        <v>10</v>
      </c>
      <c r="G943" t="b">
        <v>0</v>
      </c>
      <c r="H943">
        <v>0</v>
      </c>
      <c r="I943">
        <v>2</v>
      </c>
      <c r="J943">
        <v>0.18</v>
      </c>
      <c r="K943">
        <v>0.2424</v>
      </c>
      <c r="L943">
        <v>0.8</v>
      </c>
      <c r="M943">
        <v>0</v>
      </c>
      <c r="N943">
        <v>7</v>
      </c>
      <c r="O943">
        <v>57</v>
      </c>
      <c r="P943">
        <v>64</v>
      </c>
      <c r="Q943" t="s">
        <v>64</v>
      </c>
      <c r="R943" t="s">
        <v>120</v>
      </c>
      <c r="S943" t="s">
        <v>25</v>
      </c>
      <c r="T943" t="s">
        <v>30</v>
      </c>
      <c r="U943" t="s">
        <v>124</v>
      </c>
    </row>
    <row r="944" spans="1:21" x14ac:dyDescent="0.3">
      <c r="A944">
        <v>652</v>
      </c>
      <c r="B944" s="1">
        <v>40573</v>
      </c>
      <c r="C944">
        <v>1</v>
      </c>
      <c r="D944">
        <v>0</v>
      </c>
      <c r="E944">
        <v>1</v>
      </c>
      <c r="F944">
        <v>11</v>
      </c>
      <c r="G944" t="b">
        <v>0</v>
      </c>
      <c r="H944">
        <v>0</v>
      </c>
      <c r="I944">
        <v>1</v>
      </c>
      <c r="J944">
        <v>0.22</v>
      </c>
      <c r="K944">
        <v>0.2727</v>
      </c>
      <c r="L944">
        <v>0.75</v>
      </c>
      <c r="M944">
        <v>0</v>
      </c>
      <c r="N944">
        <v>9</v>
      </c>
      <c r="O944">
        <v>50</v>
      </c>
      <c r="P944">
        <v>59</v>
      </c>
      <c r="Q944" t="s">
        <v>62</v>
      </c>
      <c r="R944" t="s">
        <v>120</v>
      </c>
      <c r="S944" t="s">
        <v>25</v>
      </c>
      <c r="T944" t="s">
        <v>30</v>
      </c>
      <c r="U944" t="s">
        <v>123</v>
      </c>
    </row>
    <row r="945" spans="1:21" x14ac:dyDescent="0.3">
      <c r="A945">
        <v>653</v>
      </c>
      <c r="B945" s="1">
        <v>40573</v>
      </c>
      <c r="C945">
        <v>1</v>
      </c>
      <c r="D945">
        <v>0</v>
      </c>
      <c r="E945">
        <v>1</v>
      </c>
      <c r="F945">
        <v>12</v>
      </c>
      <c r="G945" t="b">
        <v>0</v>
      </c>
      <c r="H945">
        <v>0</v>
      </c>
      <c r="I945">
        <v>1</v>
      </c>
      <c r="J945">
        <v>0.3</v>
      </c>
      <c r="K945">
        <v>0.31819999999999998</v>
      </c>
      <c r="L945">
        <v>0.52</v>
      </c>
      <c r="M945">
        <v>0.1045</v>
      </c>
      <c r="N945">
        <v>10</v>
      </c>
      <c r="O945">
        <v>87</v>
      </c>
      <c r="P945">
        <v>97</v>
      </c>
      <c r="Q945" t="s">
        <v>62</v>
      </c>
      <c r="R945" t="s">
        <v>120</v>
      </c>
      <c r="S945" t="s">
        <v>25</v>
      </c>
      <c r="T945" t="s">
        <v>30</v>
      </c>
      <c r="U945" t="s">
        <v>123</v>
      </c>
    </row>
    <row r="946" spans="1:21" x14ac:dyDescent="0.3">
      <c r="A946">
        <v>654</v>
      </c>
      <c r="B946" s="1">
        <v>40573</v>
      </c>
      <c r="C946">
        <v>1</v>
      </c>
      <c r="D946">
        <v>0</v>
      </c>
      <c r="E946">
        <v>1</v>
      </c>
      <c r="F946">
        <v>13</v>
      </c>
      <c r="G946" t="b">
        <v>0</v>
      </c>
      <c r="H946">
        <v>0</v>
      </c>
      <c r="I946">
        <v>1</v>
      </c>
      <c r="J946">
        <v>0.28000000000000003</v>
      </c>
      <c r="K946">
        <v>0.28789999999999999</v>
      </c>
      <c r="L946">
        <v>0.61</v>
      </c>
      <c r="M946">
        <v>0.1045</v>
      </c>
      <c r="N946">
        <v>13</v>
      </c>
      <c r="O946">
        <v>71</v>
      </c>
      <c r="P946">
        <v>84</v>
      </c>
      <c r="Q946" t="s">
        <v>62</v>
      </c>
      <c r="R946" t="s">
        <v>120</v>
      </c>
      <c r="S946" t="s">
        <v>25</v>
      </c>
      <c r="T946" t="s">
        <v>30</v>
      </c>
      <c r="U946" t="s">
        <v>123</v>
      </c>
    </row>
    <row r="947" spans="1:21" x14ac:dyDescent="0.3">
      <c r="A947">
        <v>655</v>
      </c>
      <c r="B947" s="1">
        <v>40573</v>
      </c>
      <c r="C947">
        <v>1</v>
      </c>
      <c r="D947">
        <v>0</v>
      </c>
      <c r="E947">
        <v>1</v>
      </c>
      <c r="F947">
        <v>14</v>
      </c>
      <c r="G947" t="b">
        <v>0</v>
      </c>
      <c r="H947">
        <v>0</v>
      </c>
      <c r="I947">
        <v>1</v>
      </c>
      <c r="J947">
        <v>0.28000000000000003</v>
      </c>
      <c r="K947">
        <v>0.30299999999999999</v>
      </c>
      <c r="L947">
        <v>0.61</v>
      </c>
      <c r="M947">
        <v>8.9599999999999999E-2</v>
      </c>
      <c r="N947">
        <v>18</v>
      </c>
      <c r="O947">
        <v>104</v>
      </c>
      <c r="P947">
        <v>122</v>
      </c>
      <c r="Q947" t="s">
        <v>62</v>
      </c>
      <c r="R947" t="s">
        <v>120</v>
      </c>
      <c r="S947" t="s">
        <v>25</v>
      </c>
      <c r="T947" t="s">
        <v>30</v>
      </c>
      <c r="U947" t="s">
        <v>123</v>
      </c>
    </row>
    <row r="948" spans="1:21" x14ac:dyDescent="0.3">
      <c r="A948">
        <v>656</v>
      </c>
      <c r="B948" s="1">
        <v>40573</v>
      </c>
      <c r="C948">
        <v>1</v>
      </c>
      <c r="D948">
        <v>0</v>
      </c>
      <c r="E948">
        <v>1</v>
      </c>
      <c r="F948">
        <v>15</v>
      </c>
      <c r="G948" t="b">
        <v>0</v>
      </c>
      <c r="H948">
        <v>0</v>
      </c>
      <c r="I948">
        <v>1</v>
      </c>
      <c r="J948">
        <v>0.3</v>
      </c>
      <c r="K948">
        <v>0.33329999999999999</v>
      </c>
      <c r="L948">
        <v>0.56000000000000005</v>
      </c>
      <c r="M948">
        <v>0</v>
      </c>
      <c r="N948">
        <v>14</v>
      </c>
      <c r="O948">
        <v>95</v>
      </c>
      <c r="P948">
        <v>109</v>
      </c>
      <c r="Q948" t="s">
        <v>62</v>
      </c>
      <c r="R948" t="s">
        <v>120</v>
      </c>
      <c r="S948" t="s">
        <v>25</v>
      </c>
      <c r="T948" t="s">
        <v>30</v>
      </c>
      <c r="U948" t="s">
        <v>123</v>
      </c>
    </row>
    <row r="949" spans="1:21" x14ac:dyDescent="0.3">
      <c r="A949">
        <v>657</v>
      </c>
      <c r="B949" s="1">
        <v>40573</v>
      </c>
      <c r="C949">
        <v>1</v>
      </c>
      <c r="D949">
        <v>0</v>
      </c>
      <c r="E949">
        <v>1</v>
      </c>
      <c r="F949">
        <v>16</v>
      </c>
      <c r="G949" t="b">
        <v>0</v>
      </c>
      <c r="H949">
        <v>0</v>
      </c>
      <c r="I949">
        <v>1</v>
      </c>
      <c r="J949">
        <v>0.3</v>
      </c>
      <c r="K949">
        <v>0.33329999999999999</v>
      </c>
      <c r="L949">
        <v>0.56000000000000005</v>
      </c>
      <c r="M949">
        <v>0</v>
      </c>
      <c r="N949">
        <v>19</v>
      </c>
      <c r="O949">
        <v>104</v>
      </c>
      <c r="P949">
        <v>123</v>
      </c>
      <c r="Q949" t="s">
        <v>62</v>
      </c>
      <c r="R949" t="s">
        <v>120</v>
      </c>
      <c r="S949" t="s">
        <v>25</v>
      </c>
      <c r="T949" t="s">
        <v>30</v>
      </c>
      <c r="U949" t="s">
        <v>123</v>
      </c>
    </row>
    <row r="950" spans="1:21" x14ac:dyDescent="0.3">
      <c r="A950">
        <v>658</v>
      </c>
      <c r="B950" s="1">
        <v>40573</v>
      </c>
      <c r="C950">
        <v>1</v>
      </c>
      <c r="D950">
        <v>0</v>
      </c>
      <c r="E950">
        <v>1</v>
      </c>
      <c r="F950">
        <v>17</v>
      </c>
      <c r="G950" t="b">
        <v>0</v>
      </c>
      <c r="H950">
        <v>0</v>
      </c>
      <c r="I950">
        <v>1</v>
      </c>
      <c r="J950">
        <v>0.3</v>
      </c>
      <c r="K950">
        <v>0.28789999999999999</v>
      </c>
      <c r="L950">
        <v>0.56000000000000005</v>
      </c>
      <c r="M950">
        <v>0.19400000000000001</v>
      </c>
      <c r="N950">
        <v>6</v>
      </c>
      <c r="O950">
        <v>71</v>
      </c>
      <c r="P950">
        <v>77</v>
      </c>
      <c r="Q950" t="s">
        <v>62</v>
      </c>
      <c r="R950" t="s">
        <v>120</v>
      </c>
      <c r="S950" t="s">
        <v>25</v>
      </c>
      <c r="T950" t="s">
        <v>30</v>
      </c>
      <c r="U950" t="s">
        <v>123</v>
      </c>
    </row>
    <row r="951" spans="1:21" x14ac:dyDescent="0.3">
      <c r="A951">
        <v>659</v>
      </c>
      <c r="B951" s="1">
        <v>40573</v>
      </c>
      <c r="C951">
        <v>1</v>
      </c>
      <c r="D951">
        <v>0</v>
      </c>
      <c r="E951">
        <v>1</v>
      </c>
      <c r="F951">
        <v>18</v>
      </c>
      <c r="G951" t="b">
        <v>0</v>
      </c>
      <c r="H951">
        <v>0</v>
      </c>
      <c r="I951">
        <v>1</v>
      </c>
      <c r="J951">
        <v>0.26</v>
      </c>
      <c r="K951">
        <v>0.2576</v>
      </c>
      <c r="L951">
        <v>0.65</v>
      </c>
      <c r="M951">
        <v>0.16420000000000001</v>
      </c>
      <c r="N951">
        <v>8</v>
      </c>
      <c r="O951">
        <v>57</v>
      </c>
      <c r="P951">
        <v>65</v>
      </c>
      <c r="Q951" t="s">
        <v>62</v>
      </c>
      <c r="R951" t="s">
        <v>120</v>
      </c>
      <c r="S951" t="s">
        <v>25</v>
      </c>
      <c r="T951" t="s">
        <v>30</v>
      </c>
      <c r="U951" t="s">
        <v>123</v>
      </c>
    </row>
    <row r="952" spans="1:21" x14ac:dyDescent="0.3">
      <c r="A952">
        <v>660</v>
      </c>
      <c r="B952" s="1">
        <v>40573</v>
      </c>
      <c r="C952">
        <v>1</v>
      </c>
      <c r="D952">
        <v>0</v>
      </c>
      <c r="E952">
        <v>1</v>
      </c>
      <c r="F952">
        <v>19</v>
      </c>
      <c r="G952" t="b">
        <v>0</v>
      </c>
      <c r="H952">
        <v>0</v>
      </c>
      <c r="I952">
        <v>1</v>
      </c>
      <c r="J952">
        <v>0.26</v>
      </c>
      <c r="K952">
        <v>0.2576</v>
      </c>
      <c r="L952">
        <v>0.65</v>
      </c>
      <c r="M952">
        <v>0.19400000000000001</v>
      </c>
      <c r="N952">
        <v>9</v>
      </c>
      <c r="O952">
        <v>46</v>
      </c>
      <c r="P952">
        <v>55</v>
      </c>
      <c r="Q952" t="s">
        <v>62</v>
      </c>
      <c r="R952" t="s">
        <v>120</v>
      </c>
      <c r="S952" t="s">
        <v>25</v>
      </c>
      <c r="T952" t="s">
        <v>30</v>
      </c>
      <c r="U952" t="s">
        <v>123</v>
      </c>
    </row>
    <row r="953" spans="1:21" x14ac:dyDescent="0.3">
      <c r="A953">
        <v>661</v>
      </c>
      <c r="B953" s="1">
        <v>40573</v>
      </c>
      <c r="C953">
        <v>1</v>
      </c>
      <c r="D953">
        <v>0</v>
      </c>
      <c r="E953">
        <v>1</v>
      </c>
      <c r="F953">
        <v>20</v>
      </c>
      <c r="G953" t="b">
        <v>0</v>
      </c>
      <c r="H953">
        <v>0</v>
      </c>
      <c r="I953">
        <v>2</v>
      </c>
      <c r="J953">
        <v>0.26</v>
      </c>
      <c r="K953">
        <v>0.2727</v>
      </c>
      <c r="L953">
        <v>0.65</v>
      </c>
      <c r="M953">
        <v>0.1045</v>
      </c>
      <c r="N953">
        <v>3</v>
      </c>
      <c r="O953">
        <v>30</v>
      </c>
      <c r="P953">
        <v>33</v>
      </c>
      <c r="Q953" t="s">
        <v>64</v>
      </c>
      <c r="R953" t="s">
        <v>120</v>
      </c>
      <c r="S953" t="s">
        <v>25</v>
      </c>
      <c r="T953" t="s">
        <v>30</v>
      </c>
      <c r="U953" t="s">
        <v>124</v>
      </c>
    </row>
    <row r="954" spans="1:21" x14ac:dyDescent="0.3">
      <c r="A954">
        <v>662</v>
      </c>
      <c r="B954" s="1">
        <v>40573</v>
      </c>
      <c r="C954">
        <v>1</v>
      </c>
      <c r="D954">
        <v>0</v>
      </c>
      <c r="E954">
        <v>1</v>
      </c>
      <c r="F954">
        <v>21</v>
      </c>
      <c r="G954" t="b">
        <v>0</v>
      </c>
      <c r="H954">
        <v>0</v>
      </c>
      <c r="I954">
        <v>2</v>
      </c>
      <c r="J954">
        <v>0.24</v>
      </c>
      <c r="K954">
        <v>0.2424</v>
      </c>
      <c r="L954">
        <v>0.7</v>
      </c>
      <c r="M954">
        <v>0.16420000000000001</v>
      </c>
      <c r="N954">
        <v>3</v>
      </c>
      <c r="O954">
        <v>25</v>
      </c>
      <c r="P954">
        <v>28</v>
      </c>
      <c r="Q954" t="s">
        <v>64</v>
      </c>
      <c r="R954" t="s">
        <v>120</v>
      </c>
      <c r="S954" t="s">
        <v>25</v>
      </c>
      <c r="T954" t="s">
        <v>30</v>
      </c>
      <c r="U954" t="s">
        <v>124</v>
      </c>
    </row>
    <row r="955" spans="1:21" x14ac:dyDescent="0.3">
      <c r="A955">
        <v>663</v>
      </c>
      <c r="B955" s="1">
        <v>40573</v>
      </c>
      <c r="C955">
        <v>1</v>
      </c>
      <c r="D955">
        <v>0</v>
      </c>
      <c r="E955">
        <v>1</v>
      </c>
      <c r="F955">
        <v>22</v>
      </c>
      <c r="G955" t="b">
        <v>0</v>
      </c>
      <c r="H955">
        <v>0</v>
      </c>
      <c r="I955">
        <v>2</v>
      </c>
      <c r="J955">
        <v>0.24</v>
      </c>
      <c r="K955">
        <v>0.2273</v>
      </c>
      <c r="L955">
        <v>0.7</v>
      </c>
      <c r="M955">
        <v>0.19400000000000001</v>
      </c>
      <c r="N955">
        <v>2</v>
      </c>
      <c r="O955">
        <v>19</v>
      </c>
      <c r="P955">
        <v>21</v>
      </c>
      <c r="Q955" t="s">
        <v>64</v>
      </c>
      <c r="R955" t="s">
        <v>120</v>
      </c>
      <c r="S955" t="s">
        <v>25</v>
      </c>
      <c r="T955" t="s">
        <v>30</v>
      </c>
      <c r="U955" t="s">
        <v>124</v>
      </c>
    </row>
    <row r="956" spans="1:21" x14ac:dyDescent="0.3">
      <c r="A956">
        <v>664</v>
      </c>
      <c r="B956" s="1">
        <v>40573</v>
      </c>
      <c r="C956">
        <v>1</v>
      </c>
      <c r="D956">
        <v>0</v>
      </c>
      <c r="E956">
        <v>1</v>
      </c>
      <c r="F956">
        <v>23</v>
      </c>
      <c r="G956" t="b">
        <v>0</v>
      </c>
      <c r="H956">
        <v>0</v>
      </c>
      <c r="I956">
        <v>2</v>
      </c>
      <c r="J956">
        <v>0.24</v>
      </c>
      <c r="K956">
        <v>0.21210000000000001</v>
      </c>
      <c r="L956">
        <v>0.65</v>
      </c>
      <c r="M956">
        <v>0.28360000000000002</v>
      </c>
      <c r="N956">
        <v>5</v>
      </c>
      <c r="O956">
        <v>16</v>
      </c>
      <c r="P956">
        <v>21</v>
      </c>
      <c r="Q956" t="s">
        <v>64</v>
      </c>
      <c r="R956" t="s">
        <v>120</v>
      </c>
      <c r="S956" t="s">
        <v>25</v>
      </c>
      <c r="T956" t="s">
        <v>30</v>
      </c>
      <c r="U956" t="s">
        <v>124</v>
      </c>
    </row>
    <row r="957" spans="1:21" x14ac:dyDescent="0.3">
      <c r="A957">
        <v>806</v>
      </c>
      <c r="B957" s="1">
        <v>40580</v>
      </c>
      <c r="C957">
        <v>1</v>
      </c>
      <c r="D957">
        <v>0</v>
      </c>
      <c r="E957">
        <v>2</v>
      </c>
      <c r="F957">
        <v>0</v>
      </c>
      <c r="G957" t="b">
        <v>0</v>
      </c>
      <c r="H957">
        <v>0</v>
      </c>
      <c r="I957">
        <v>1</v>
      </c>
      <c r="J957">
        <v>0.26</v>
      </c>
      <c r="K957">
        <v>0.2576</v>
      </c>
      <c r="L957">
        <v>0.7</v>
      </c>
      <c r="M957">
        <v>0.19400000000000001</v>
      </c>
      <c r="N957">
        <v>2</v>
      </c>
      <c r="O957">
        <v>37</v>
      </c>
      <c r="P957">
        <v>39</v>
      </c>
      <c r="Q957" t="s">
        <v>62</v>
      </c>
      <c r="R957" t="s">
        <v>120</v>
      </c>
      <c r="S957" t="s">
        <v>25</v>
      </c>
      <c r="T957" t="s">
        <v>29</v>
      </c>
      <c r="U957" t="s">
        <v>123</v>
      </c>
    </row>
    <row r="958" spans="1:21" x14ac:dyDescent="0.3">
      <c r="A958">
        <v>807</v>
      </c>
      <c r="B958" s="1">
        <v>40580</v>
      </c>
      <c r="C958">
        <v>1</v>
      </c>
      <c r="D958">
        <v>0</v>
      </c>
      <c r="E958">
        <v>2</v>
      </c>
      <c r="F958">
        <v>1</v>
      </c>
      <c r="G958" t="b">
        <v>0</v>
      </c>
      <c r="H958">
        <v>0</v>
      </c>
      <c r="I958">
        <v>1</v>
      </c>
      <c r="J958">
        <v>0.26</v>
      </c>
      <c r="K958">
        <v>0.2273</v>
      </c>
      <c r="L958">
        <v>0.65</v>
      </c>
      <c r="M958">
        <v>0.41789999999999999</v>
      </c>
      <c r="N958">
        <v>4</v>
      </c>
      <c r="O958">
        <v>40</v>
      </c>
      <c r="P958">
        <v>44</v>
      </c>
      <c r="Q958" t="s">
        <v>62</v>
      </c>
      <c r="R958" t="s">
        <v>120</v>
      </c>
      <c r="S958" t="s">
        <v>25</v>
      </c>
      <c r="T958" t="s">
        <v>29</v>
      </c>
      <c r="U958" t="s">
        <v>123</v>
      </c>
    </row>
    <row r="959" spans="1:21" x14ac:dyDescent="0.3">
      <c r="A959">
        <v>808</v>
      </c>
      <c r="B959" s="1">
        <v>40580</v>
      </c>
      <c r="C959">
        <v>1</v>
      </c>
      <c r="D959">
        <v>0</v>
      </c>
      <c r="E959">
        <v>2</v>
      </c>
      <c r="F959">
        <v>2</v>
      </c>
      <c r="G959" t="b">
        <v>0</v>
      </c>
      <c r="H959">
        <v>0</v>
      </c>
      <c r="I959">
        <v>1</v>
      </c>
      <c r="J959">
        <v>0.26</v>
      </c>
      <c r="K959">
        <v>0.2273</v>
      </c>
      <c r="L959">
        <v>0.6</v>
      </c>
      <c r="M959">
        <v>0.32840000000000003</v>
      </c>
      <c r="N959">
        <v>0</v>
      </c>
      <c r="O959">
        <v>20</v>
      </c>
      <c r="P959">
        <v>20</v>
      </c>
      <c r="Q959" t="s">
        <v>62</v>
      </c>
      <c r="R959" t="s">
        <v>120</v>
      </c>
      <c r="S959" t="s">
        <v>25</v>
      </c>
      <c r="T959" t="s">
        <v>29</v>
      </c>
      <c r="U959" t="s">
        <v>123</v>
      </c>
    </row>
    <row r="960" spans="1:21" x14ac:dyDescent="0.3">
      <c r="A960">
        <v>809</v>
      </c>
      <c r="B960" s="1">
        <v>40580</v>
      </c>
      <c r="C960">
        <v>1</v>
      </c>
      <c r="D960">
        <v>0</v>
      </c>
      <c r="E960">
        <v>2</v>
      </c>
      <c r="F960">
        <v>3</v>
      </c>
      <c r="G960" t="b">
        <v>0</v>
      </c>
      <c r="H960">
        <v>0</v>
      </c>
      <c r="I960">
        <v>1</v>
      </c>
      <c r="J960">
        <v>0.26</v>
      </c>
      <c r="K960">
        <v>0.28789999999999999</v>
      </c>
      <c r="L960">
        <v>0.6</v>
      </c>
      <c r="M960">
        <v>8.9599999999999999E-2</v>
      </c>
      <c r="N960">
        <v>3</v>
      </c>
      <c r="O960">
        <v>10</v>
      </c>
      <c r="P960">
        <v>13</v>
      </c>
      <c r="Q960" t="s">
        <v>62</v>
      </c>
      <c r="R960" t="s">
        <v>120</v>
      </c>
      <c r="S960" t="s">
        <v>25</v>
      </c>
      <c r="T960" t="s">
        <v>29</v>
      </c>
      <c r="U960" t="s">
        <v>123</v>
      </c>
    </row>
    <row r="961" spans="1:21" x14ac:dyDescent="0.3">
      <c r="A961">
        <v>810</v>
      </c>
      <c r="B961" s="1">
        <v>40580</v>
      </c>
      <c r="C961">
        <v>1</v>
      </c>
      <c r="D961">
        <v>0</v>
      </c>
      <c r="E961">
        <v>2</v>
      </c>
      <c r="F961">
        <v>4</v>
      </c>
      <c r="G961" t="b">
        <v>0</v>
      </c>
      <c r="H961">
        <v>0</v>
      </c>
      <c r="I961">
        <v>1</v>
      </c>
      <c r="J961">
        <v>0.26</v>
      </c>
      <c r="K961">
        <v>0.2273</v>
      </c>
      <c r="L961">
        <v>0.6</v>
      </c>
      <c r="M961">
        <v>0.35820000000000002</v>
      </c>
      <c r="N961">
        <v>0</v>
      </c>
      <c r="O961">
        <v>2</v>
      </c>
      <c r="P961">
        <v>2</v>
      </c>
      <c r="Q961" t="s">
        <v>62</v>
      </c>
      <c r="R961" t="s">
        <v>120</v>
      </c>
      <c r="S961" t="s">
        <v>25</v>
      </c>
      <c r="T961" t="s">
        <v>29</v>
      </c>
      <c r="U961" t="s">
        <v>123</v>
      </c>
    </row>
    <row r="962" spans="1:21" x14ac:dyDescent="0.3">
      <c r="A962">
        <v>811</v>
      </c>
      <c r="B962" s="1">
        <v>40580</v>
      </c>
      <c r="C962">
        <v>1</v>
      </c>
      <c r="D962">
        <v>0</v>
      </c>
      <c r="E962">
        <v>2</v>
      </c>
      <c r="F962">
        <v>5</v>
      </c>
      <c r="G962" t="b">
        <v>0</v>
      </c>
      <c r="H962">
        <v>0</v>
      </c>
      <c r="I962">
        <v>1</v>
      </c>
      <c r="J962">
        <v>0.26</v>
      </c>
      <c r="K962">
        <v>0.2576</v>
      </c>
      <c r="L962">
        <v>0.6</v>
      </c>
      <c r="M962">
        <v>0.22389999999999999</v>
      </c>
      <c r="N962">
        <v>0</v>
      </c>
      <c r="O962">
        <v>1</v>
      </c>
      <c r="P962">
        <v>1</v>
      </c>
      <c r="Q962" t="s">
        <v>62</v>
      </c>
      <c r="R962" t="s">
        <v>120</v>
      </c>
      <c r="S962" t="s">
        <v>25</v>
      </c>
      <c r="T962" t="s">
        <v>29</v>
      </c>
      <c r="U962" t="s">
        <v>123</v>
      </c>
    </row>
    <row r="963" spans="1:21" x14ac:dyDescent="0.3">
      <c r="A963">
        <v>812</v>
      </c>
      <c r="B963" s="1">
        <v>40580</v>
      </c>
      <c r="C963">
        <v>1</v>
      </c>
      <c r="D963">
        <v>0</v>
      </c>
      <c r="E963">
        <v>2</v>
      </c>
      <c r="F963">
        <v>6</v>
      </c>
      <c r="G963" t="b">
        <v>0</v>
      </c>
      <c r="H963">
        <v>0</v>
      </c>
      <c r="I963">
        <v>1</v>
      </c>
      <c r="J963">
        <v>0.26</v>
      </c>
      <c r="K963">
        <v>0.2576</v>
      </c>
      <c r="L963">
        <v>0.6</v>
      </c>
      <c r="M963">
        <v>0.22389999999999999</v>
      </c>
      <c r="N963">
        <v>0</v>
      </c>
      <c r="O963">
        <v>1</v>
      </c>
      <c r="P963">
        <v>1</v>
      </c>
      <c r="Q963" t="s">
        <v>62</v>
      </c>
      <c r="R963" t="s">
        <v>120</v>
      </c>
      <c r="S963" t="s">
        <v>25</v>
      </c>
      <c r="T963" t="s">
        <v>29</v>
      </c>
      <c r="U963" t="s">
        <v>123</v>
      </c>
    </row>
    <row r="964" spans="1:21" x14ac:dyDescent="0.3">
      <c r="A964">
        <v>813</v>
      </c>
      <c r="B964" s="1">
        <v>40580</v>
      </c>
      <c r="C964">
        <v>1</v>
      </c>
      <c r="D964">
        <v>0</v>
      </c>
      <c r="E964">
        <v>2</v>
      </c>
      <c r="F964">
        <v>7</v>
      </c>
      <c r="G964" t="b">
        <v>0</v>
      </c>
      <c r="H964">
        <v>0</v>
      </c>
      <c r="I964">
        <v>1</v>
      </c>
      <c r="J964">
        <v>0.24</v>
      </c>
      <c r="K964">
        <v>0.2424</v>
      </c>
      <c r="L964">
        <v>0.65</v>
      </c>
      <c r="M964">
        <v>0.16420000000000001</v>
      </c>
      <c r="N964">
        <v>0</v>
      </c>
      <c r="O964">
        <v>8</v>
      </c>
      <c r="P964">
        <v>8</v>
      </c>
      <c r="Q964" t="s">
        <v>62</v>
      </c>
      <c r="R964" t="s">
        <v>120</v>
      </c>
      <c r="S964" t="s">
        <v>25</v>
      </c>
      <c r="T964" t="s">
        <v>29</v>
      </c>
      <c r="U964" t="s">
        <v>123</v>
      </c>
    </row>
    <row r="965" spans="1:21" x14ac:dyDescent="0.3">
      <c r="A965">
        <v>814</v>
      </c>
      <c r="B965" s="1">
        <v>40580</v>
      </c>
      <c r="C965">
        <v>1</v>
      </c>
      <c r="D965">
        <v>0</v>
      </c>
      <c r="E965">
        <v>2</v>
      </c>
      <c r="F965">
        <v>8</v>
      </c>
      <c r="G965" t="b">
        <v>0</v>
      </c>
      <c r="H965">
        <v>0</v>
      </c>
      <c r="I965">
        <v>1</v>
      </c>
      <c r="J965">
        <v>0.24</v>
      </c>
      <c r="K965">
        <v>0.2576</v>
      </c>
      <c r="L965">
        <v>0.65</v>
      </c>
      <c r="M965">
        <v>0.1045</v>
      </c>
      <c r="N965">
        <v>2</v>
      </c>
      <c r="O965">
        <v>21</v>
      </c>
      <c r="P965">
        <v>23</v>
      </c>
      <c r="Q965" t="s">
        <v>62</v>
      </c>
      <c r="R965" t="s">
        <v>120</v>
      </c>
      <c r="S965" t="s">
        <v>25</v>
      </c>
      <c r="T965" t="s">
        <v>29</v>
      </c>
      <c r="U965" t="s">
        <v>123</v>
      </c>
    </row>
    <row r="966" spans="1:21" x14ac:dyDescent="0.3">
      <c r="A966">
        <v>815</v>
      </c>
      <c r="B966" s="1">
        <v>40580</v>
      </c>
      <c r="C966">
        <v>1</v>
      </c>
      <c r="D966">
        <v>0</v>
      </c>
      <c r="E966">
        <v>2</v>
      </c>
      <c r="F966">
        <v>9</v>
      </c>
      <c r="G966" t="b">
        <v>0</v>
      </c>
      <c r="H966">
        <v>0</v>
      </c>
      <c r="I966">
        <v>1</v>
      </c>
      <c r="J966">
        <v>0.28000000000000003</v>
      </c>
      <c r="K966">
        <v>0.28789999999999999</v>
      </c>
      <c r="L966">
        <v>0.56000000000000005</v>
      </c>
      <c r="M966">
        <v>0.1045</v>
      </c>
      <c r="N966">
        <v>7</v>
      </c>
      <c r="O966">
        <v>38</v>
      </c>
      <c r="P966">
        <v>45</v>
      </c>
      <c r="Q966" t="s">
        <v>62</v>
      </c>
      <c r="R966" t="s">
        <v>120</v>
      </c>
      <c r="S966" t="s">
        <v>25</v>
      </c>
      <c r="T966" t="s">
        <v>29</v>
      </c>
      <c r="U966" t="s">
        <v>123</v>
      </c>
    </row>
    <row r="967" spans="1:21" x14ac:dyDescent="0.3">
      <c r="A967">
        <v>816</v>
      </c>
      <c r="B967" s="1">
        <v>40580</v>
      </c>
      <c r="C967">
        <v>1</v>
      </c>
      <c r="D967">
        <v>0</v>
      </c>
      <c r="E967">
        <v>2</v>
      </c>
      <c r="F967">
        <v>10</v>
      </c>
      <c r="G967" t="b">
        <v>0</v>
      </c>
      <c r="H967">
        <v>0</v>
      </c>
      <c r="I967">
        <v>1</v>
      </c>
      <c r="J967">
        <v>0.3</v>
      </c>
      <c r="K967">
        <v>0.28789999999999999</v>
      </c>
      <c r="L967">
        <v>0.52</v>
      </c>
      <c r="M967">
        <v>0.25369999999999998</v>
      </c>
      <c r="N967">
        <v>15</v>
      </c>
      <c r="O967">
        <v>74</v>
      </c>
      <c r="P967">
        <v>89</v>
      </c>
      <c r="Q967" t="s">
        <v>62</v>
      </c>
      <c r="R967" t="s">
        <v>120</v>
      </c>
      <c r="S967" t="s">
        <v>25</v>
      </c>
      <c r="T967" t="s">
        <v>29</v>
      </c>
      <c r="U967" t="s">
        <v>123</v>
      </c>
    </row>
    <row r="968" spans="1:21" x14ac:dyDescent="0.3">
      <c r="A968">
        <v>817</v>
      </c>
      <c r="B968" s="1">
        <v>40580</v>
      </c>
      <c r="C968">
        <v>1</v>
      </c>
      <c r="D968">
        <v>0</v>
      </c>
      <c r="E968">
        <v>2</v>
      </c>
      <c r="F968">
        <v>11</v>
      </c>
      <c r="G968" t="b">
        <v>0</v>
      </c>
      <c r="H968">
        <v>0</v>
      </c>
      <c r="I968">
        <v>1</v>
      </c>
      <c r="J968">
        <v>0.32</v>
      </c>
      <c r="K968">
        <v>0.30299999999999999</v>
      </c>
      <c r="L968">
        <v>0.49</v>
      </c>
      <c r="M968">
        <v>0.25369999999999998</v>
      </c>
      <c r="N968">
        <v>28</v>
      </c>
      <c r="O968">
        <v>89</v>
      </c>
      <c r="P968">
        <v>117</v>
      </c>
      <c r="Q968" t="s">
        <v>62</v>
      </c>
      <c r="R968" t="s">
        <v>120</v>
      </c>
      <c r="S968" t="s">
        <v>25</v>
      </c>
      <c r="T968" t="s">
        <v>29</v>
      </c>
      <c r="U968" t="s">
        <v>123</v>
      </c>
    </row>
    <row r="969" spans="1:21" x14ac:dyDescent="0.3">
      <c r="A969">
        <v>818</v>
      </c>
      <c r="B969" s="1">
        <v>40580</v>
      </c>
      <c r="C969">
        <v>1</v>
      </c>
      <c r="D969">
        <v>0</v>
      </c>
      <c r="E969">
        <v>2</v>
      </c>
      <c r="F969">
        <v>12</v>
      </c>
      <c r="G969" t="b">
        <v>0</v>
      </c>
      <c r="H969">
        <v>0</v>
      </c>
      <c r="I969">
        <v>1</v>
      </c>
      <c r="J969">
        <v>0.34</v>
      </c>
      <c r="K969">
        <v>0.33329999999999999</v>
      </c>
      <c r="L969">
        <v>0.46</v>
      </c>
      <c r="M969">
        <v>0</v>
      </c>
      <c r="N969">
        <v>48</v>
      </c>
      <c r="O969">
        <v>126</v>
      </c>
      <c r="P969">
        <v>174</v>
      </c>
      <c r="Q969" t="s">
        <v>62</v>
      </c>
      <c r="R969" t="s">
        <v>120</v>
      </c>
      <c r="S969" t="s">
        <v>25</v>
      </c>
      <c r="T969" t="s">
        <v>29</v>
      </c>
      <c r="U969" t="s">
        <v>123</v>
      </c>
    </row>
    <row r="970" spans="1:21" x14ac:dyDescent="0.3">
      <c r="A970">
        <v>819</v>
      </c>
      <c r="B970" s="1">
        <v>40580</v>
      </c>
      <c r="C970">
        <v>1</v>
      </c>
      <c r="D970">
        <v>0</v>
      </c>
      <c r="E970">
        <v>2</v>
      </c>
      <c r="F970">
        <v>13</v>
      </c>
      <c r="G970" t="b">
        <v>0</v>
      </c>
      <c r="H970">
        <v>0</v>
      </c>
      <c r="I970">
        <v>1</v>
      </c>
      <c r="J970">
        <v>0.34</v>
      </c>
      <c r="K970">
        <v>0.36359999999999998</v>
      </c>
      <c r="L970">
        <v>0.46</v>
      </c>
      <c r="M970">
        <v>0</v>
      </c>
      <c r="N970">
        <v>47</v>
      </c>
      <c r="O970">
        <v>135</v>
      </c>
      <c r="P970">
        <v>182</v>
      </c>
      <c r="Q970" t="s">
        <v>62</v>
      </c>
      <c r="R970" t="s">
        <v>120</v>
      </c>
      <c r="S970" t="s">
        <v>25</v>
      </c>
      <c r="T970" t="s">
        <v>29</v>
      </c>
      <c r="U970" t="s">
        <v>123</v>
      </c>
    </row>
    <row r="971" spans="1:21" x14ac:dyDescent="0.3">
      <c r="A971">
        <v>820</v>
      </c>
      <c r="B971" s="1">
        <v>40580</v>
      </c>
      <c r="C971">
        <v>1</v>
      </c>
      <c r="D971">
        <v>0</v>
      </c>
      <c r="E971">
        <v>2</v>
      </c>
      <c r="F971">
        <v>14</v>
      </c>
      <c r="G971" t="b">
        <v>0</v>
      </c>
      <c r="H971">
        <v>0</v>
      </c>
      <c r="I971">
        <v>1</v>
      </c>
      <c r="J971">
        <v>0.34</v>
      </c>
      <c r="K971">
        <v>0.34849999999999998</v>
      </c>
      <c r="L971">
        <v>0.46</v>
      </c>
      <c r="M971">
        <v>8.9599999999999999E-2</v>
      </c>
      <c r="N971">
        <v>47</v>
      </c>
      <c r="O971">
        <v>114</v>
      </c>
      <c r="P971">
        <v>161</v>
      </c>
      <c r="Q971" t="s">
        <v>62</v>
      </c>
      <c r="R971" t="s">
        <v>120</v>
      </c>
      <c r="S971" t="s">
        <v>25</v>
      </c>
      <c r="T971" t="s">
        <v>29</v>
      </c>
      <c r="U971" t="s">
        <v>123</v>
      </c>
    </row>
    <row r="972" spans="1:21" x14ac:dyDescent="0.3">
      <c r="A972">
        <v>821</v>
      </c>
      <c r="B972" s="1">
        <v>40580</v>
      </c>
      <c r="C972">
        <v>1</v>
      </c>
      <c r="D972">
        <v>0</v>
      </c>
      <c r="E972">
        <v>2</v>
      </c>
      <c r="F972">
        <v>15</v>
      </c>
      <c r="G972" t="b">
        <v>0</v>
      </c>
      <c r="H972">
        <v>0</v>
      </c>
      <c r="I972">
        <v>1</v>
      </c>
      <c r="J972">
        <v>0.34</v>
      </c>
      <c r="K972">
        <v>0.34849999999999998</v>
      </c>
      <c r="L972">
        <v>0.46</v>
      </c>
      <c r="M972">
        <v>8.9599999999999999E-2</v>
      </c>
      <c r="N972">
        <v>52</v>
      </c>
      <c r="O972">
        <v>130</v>
      </c>
      <c r="P972">
        <v>182</v>
      </c>
      <c r="Q972" t="s">
        <v>62</v>
      </c>
      <c r="R972" t="s">
        <v>120</v>
      </c>
      <c r="S972" t="s">
        <v>25</v>
      </c>
      <c r="T972" t="s">
        <v>29</v>
      </c>
      <c r="U972" t="s">
        <v>123</v>
      </c>
    </row>
    <row r="973" spans="1:21" x14ac:dyDescent="0.3">
      <c r="A973">
        <v>822</v>
      </c>
      <c r="B973" s="1">
        <v>40580</v>
      </c>
      <c r="C973">
        <v>1</v>
      </c>
      <c r="D973">
        <v>0</v>
      </c>
      <c r="E973">
        <v>2</v>
      </c>
      <c r="F973">
        <v>16</v>
      </c>
      <c r="G973" t="b">
        <v>0</v>
      </c>
      <c r="H973">
        <v>0</v>
      </c>
      <c r="I973">
        <v>1</v>
      </c>
      <c r="J973">
        <v>0.34</v>
      </c>
      <c r="K973">
        <v>0.34849999999999998</v>
      </c>
      <c r="L973">
        <v>0.49</v>
      </c>
      <c r="M973">
        <v>0.1045</v>
      </c>
      <c r="N973">
        <v>42</v>
      </c>
      <c r="O973">
        <v>115</v>
      </c>
      <c r="P973">
        <v>157</v>
      </c>
      <c r="Q973" t="s">
        <v>62</v>
      </c>
      <c r="R973" t="s">
        <v>120</v>
      </c>
      <c r="S973" t="s">
        <v>25</v>
      </c>
      <c r="T973" t="s">
        <v>29</v>
      </c>
      <c r="U973" t="s">
        <v>123</v>
      </c>
    </row>
    <row r="974" spans="1:21" x14ac:dyDescent="0.3">
      <c r="A974">
        <v>823</v>
      </c>
      <c r="B974" s="1">
        <v>40580</v>
      </c>
      <c r="C974">
        <v>1</v>
      </c>
      <c r="D974">
        <v>0</v>
      </c>
      <c r="E974">
        <v>2</v>
      </c>
      <c r="F974">
        <v>17</v>
      </c>
      <c r="G974" t="b">
        <v>0</v>
      </c>
      <c r="H974">
        <v>0</v>
      </c>
      <c r="I974">
        <v>1</v>
      </c>
      <c r="J974">
        <v>0.34</v>
      </c>
      <c r="K974">
        <v>0.36359999999999998</v>
      </c>
      <c r="L974">
        <v>0.46</v>
      </c>
      <c r="M974">
        <v>0</v>
      </c>
      <c r="N974">
        <v>24</v>
      </c>
      <c r="O974">
        <v>97</v>
      </c>
      <c r="P974">
        <v>121</v>
      </c>
      <c r="Q974" t="s">
        <v>62</v>
      </c>
      <c r="R974" t="s">
        <v>120</v>
      </c>
      <c r="S974" t="s">
        <v>25</v>
      </c>
      <c r="T974" t="s">
        <v>29</v>
      </c>
      <c r="U974" t="s">
        <v>123</v>
      </c>
    </row>
    <row r="975" spans="1:21" x14ac:dyDescent="0.3">
      <c r="A975">
        <v>824</v>
      </c>
      <c r="B975" s="1">
        <v>40580</v>
      </c>
      <c r="C975">
        <v>1</v>
      </c>
      <c r="D975">
        <v>0</v>
      </c>
      <c r="E975">
        <v>2</v>
      </c>
      <c r="F975">
        <v>18</v>
      </c>
      <c r="G975" t="b">
        <v>0</v>
      </c>
      <c r="H975">
        <v>0</v>
      </c>
      <c r="I975">
        <v>1</v>
      </c>
      <c r="J975">
        <v>0.3</v>
      </c>
      <c r="K975">
        <v>0.30299999999999999</v>
      </c>
      <c r="L975">
        <v>0.56000000000000005</v>
      </c>
      <c r="M975">
        <v>0.16420000000000001</v>
      </c>
      <c r="N975">
        <v>13</v>
      </c>
      <c r="O975">
        <v>65</v>
      </c>
      <c r="P975">
        <v>78</v>
      </c>
      <c r="Q975" t="s">
        <v>62</v>
      </c>
      <c r="R975" t="s">
        <v>120</v>
      </c>
      <c r="S975" t="s">
        <v>25</v>
      </c>
      <c r="T975" t="s">
        <v>29</v>
      </c>
      <c r="U975" t="s">
        <v>123</v>
      </c>
    </row>
    <row r="976" spans="1:21" x14ac:dyDescent="0.3">
      <c r="A976">
        <v>825</v>
      </c>
      <c r="B976" s="1">
        <v>40580</v>
      </c>
      <c r="C976">
        <v>1</v>
      </c>
      <c r="D976">
        <v>0</v>
      </c>
      <c r="E976">
        <v>2</v>
      </c>
      <c r="F976">
        <v>19</v>
      </c>
      <c r="G976" t="b">
        <v>0</v>
      </c>
      <c r="H976">
        <v>0</v>
      </c>
      <c r="I976">
        <v>1</v>
      </c>
      <c r="J976">
        <v>0.28000000000000003</v>
      </c>
      <c r="K976">
        <v>0.28789999999999999</v>
      </c>
      <c r="L976">
        <v>0.61</v>
      </c>
      <c r="M976">
        <v>0.1343</v>
      </c>
      <c r="N976">
        <v>1</v>
      </c>
      <c r="O976">
        <v>20</v>
      </c>
      <c r="P976">
        <v>21</v>
      </c>
      <c r="Q976" t="s">
        <v>62</v>
      </c>
      <c r="R976" t="s">
        <v>120</v>
      </c>
      <c r="S976" t="s">
        <v>25</v>
      </c>
      <c r="T976" t="s">
        <v>29</v>
      </c>
      <c r="U976" t="s">
        <v>123</v>
      </c>
    </row>
    <row r="977" spans="1:21" x14ac:dyDescent="0.3">
      <c r="A977">
        <v>826</v>
      </c>
      <c r="B977" s="1">
        <v>40580</v>
      </c>
      <c r="C977">
        <v>1</v>
      </c>
      <c r="D977">
        <v>0</v>
      </c>
      <c r="E977">
        <v>2</v>
      </c>
      <c r="F977">
        <v>20</v>
      </c>
      <c r="G977" t="b">
        <v>0</v>
      </c>
      <c r="H977">
        <v>0</v>
      </c>
      <c r="I977">
        <v>1</v>
      </c>
      <c r="J977">
        <v>0.28000000000000003</v>
      </c>
      <c r="K977">
        <v>0.28789999999999999</v>
      </c>
      <c r="L977">
        <v>0.61</v>
      </c>
      <c r="M977">
        <v>0.1045</v>
      </c>
      <c r="N977">
        <v>5</v>
      </c>
      <c r="O977">
        <v>21</v>
      </c>
      <c r="P977">
        <v>26</v>
      </c>
      <c r="Q977" t="s">
        <v>62</v>
      </c>
      <c r="R977" t="s">
        <v>120</v>
      </c>
      <c r="S977" t="s">
        <v>25</v>
      </c>
      <c r="T977" t="s">
        <v>29</v>
      </c>
      <c r="U977" t="s">
        <v>123</v>
      </c>
    </row>
    <row r="978" spans="1:21" x14ac:dyDescent="0.3">
      <c r="A978">
        <v>827</v>
      </c>
      <c r="B978" s="1">
        <v>40580</v>
      </c>
      <c r="C978">
        <v>1</v>
      </c>
      <c r="D978">
        <v>0</v>
      </c>
      <c r="E978">
        <v>2</v>
      </c>
      <c r="F978">
        <v>21</v>
      </c>
      <c r="G978" t="b">
        <v>0</v>
      </c>
      <c r="H978">
        <v>0</v>
      </c>
      <c r="I978">
        <v>1</v>
      </c>
      <c r="J978">
        <v>0.26</v>
      </c>
      <c r="K978">
        <v>0.30299999999999999</v>
      </c>
      <c r="L978">
        <v>0.6</v>
      </c>
      <c r="M978">
        <v>0</v>
      </c>
      <c r="N978">
        <v>5</v>
      </c>
      <c r="O978">
        <v>22</v>
      </c>
      <c r="P978">
        <v>27</v>
      </c>
      <c r="Q978" t="s">
        <v>62</v>
      </c>
      <c r="R978" t="s">
        <v>120</v>
      </c>
      <c r="S978" t="s">
        <v>25</v>
      </c>
      <c r="T978" t="s">
        <v>29</v>
      </c>
      <c r="U978" t="s">
        <v>123</v>
      </c>
    </row>
    <row r="979" spans="1:21" x14ac:dyDescent="0.3">
      <c r="A979">
        <v>828</v>
      </c>
      <c r="B979" s="1">
        <v>40580</v>
      </c>
      <c r="C979">
        <v>1</v>
      </c>
      <c r="D979">
        <v>0</v>
      </c>
      <c r="E979">
        <v>2</v>
      </c>
      <c r="F979">
        <v>22</v>
      </c>
      <c r="G979" t="b">
        <v>0</v>
      </c>
      <c r="H979">
        <v>0</v>
      </c>
      <c r="I979">
        <v>1</v>
      </c>
      <c r="J979">
        <v>0.26</v>
      </c>
      <c r="K979">
        <v>0.30299999999999999</v>
      </c>
      <c r="L979">
        <v>0.6</v>
      </c>
      <c r="M979">
        <v>0</v>
      </c>
      <c r="N979">
        <v>5</v>
      </c>
      <c r="O979">
        <v>57</v>
      </c>
      <c r="P979">
        <v>62</v>
      </c>
      <c r="Q979" t="s">
        <v>62</v>
      </c>
      <c r="R979" t="s">
        <v>120</v>
      </c>
      <c r="S979" t="s">
        <v>25</v>
      </c>
      <c r="T979" t="s">
        <v>29</v>
      </c>
      <c r="U979" t="s">
        <v>123</v>
      </c>
    </row>
    <row r="980" spans="1:21" x14ac:dyDescent="0.3">
      <c r="A980">
        <v>829</v>
      </c>
      <c r="B980" s="1">
        <v>40580</v>
      </c>
      <c r="C980">
        <v>1</v>
      </c>
      <c r="D980">
        <v>0</v>
      </c>
      <c r="E980">
        <v>2</v>
      </c>
      <c r="F980">
        <v>23</v>
      </c>
      <c r="G980" t="b">
        <v>0</v>
      </c>
      <c r="H980">
        <v>0</v>
      </c>
      <c r="I980">
        <v>1</v>
      </c>
      <c r="J980">
        <v>0.24</v>
      </c>
      <c r="K980">
        <v>0.28789999999999999</v>
      </c>
      <c r="L980">
        <v>0.65</v>
      </c>
      <c r="M980">
        <v>0</v>
      </c>
      <c r="N980">
        <v>4</v>
      </c>
      <c r="O980">
        <v>26</v>
      </c>
      <c r="P980">
        <v>30</v>
      </c>
      <c r="Q980" t="s">
        <v>62</v>
      </c>
      <c r="R980" t="s">
        <v>120</v>
      </c>
      <c r="S980" t="s">
        <v>25</v>
      </c>
      <c r="T980" t="s">
        <v>29</v>
      </c>
      <c r="U980" t="s">
        <v>123</v>
      </c>
    </row>
    <row r="981" spans="1:21" x14ac:dyDescent="0.3">
      <c r="A981">
        <v>970</v>
      </c>
      <c r="B981" s="1">
        <v>40587</v>
      </c>
      <c r="C981">
        <v>1</v>
      </c>
      <c r="D981">
        <v>0</v>
      </c>
      <c r="E981">
        <v>2</v>
      </c>
      <c r="F981">
        <v>0</v>
      </c>
      <c r="G981" t="b">
        <v>0</v>
      </c>
      <c r="H981">
        <v>0</v>
      </c>
      <c r="I981">
        <v>1</v>
      </c>
      <c r="J981">
        <v>0.2</v>
      </c>
      <c r="K981">
        <v>0.2273</v>
      </c>
      <c r="L981">
        <v>0.64</v>
      </c>
      <c r="M981">
        <v>0.1045</v>
      </c>
      <c r="N981">
        <v>5</v>
      </c>
      <c r="O981">
        <v>34</v>
      </c>
      <c r="P981">
        <v>39</v>
      </c>
      <c r="Q981" t="s">
        <v>62</v>
      </c>
      <c r="R981" t="s">
        <v>120</v>
      </c>
      <c r="S981" t="s">
        <v>25</v>
      </c>
      <c r="T981" t="s">
        <v>29</v>
      </c>
      <c r="U981" t="s">
        <v>123</v>
      </c>
    </row>
    <row r="982" spans="1:21" x14ac:dyDescent="0.3">
      <c r="A982">
        <v>971</v>
      </c>
      <c r="B982" s="1">
        <v>40587</v>
      </c>
      <c r="C982">
        <v>1</v>
      </c>
      <c r="D982">
        <v>0</v>
      </c>
      <c r="E982">
        <v>2</v>
      </c>
      <c r="F982">
        <v>1</v>
      </c>
      <c r="G982" t="b">
        <v>0</v>
      </c>
      <c r="H982">
        <v>0</v>
      </c>
      <c r="I982">
        <v>1</v>
      </c>
      <c r="J982">
        <v>0.2</v>
      </c>
      <c r="K982">
        <v>0.2273</v>
      </c>
      <c r="L982">
        <v>0.59</v>
      </c>
      <c r="M982">
        <v>8.9599999999999999E-2</v>
      </c>
      <c r="N982">
        <v>1</v>
      </c>
      <c r="O982">
        <v>23</v>
      </c>
      <c r="P982">
        <v>24</v>
      </c>
      <c r="Q982" t="s">
        <v>62</v>
      </c>
      <c r="R982" t="s">
        <v>120</v>
      </c>
      <c r="S982" t="s">
        <v>25</v>
      </c>
      <c r="T982" t="s">
        <v>29</v>
      </c>
      <c r="U982" t="s">
        <v>123</v>
      </c>
    </row>
    <row r="983" spans="1:21" x14ac:dyDescent="0.3">
      <c r="A983">
        <v>972</v>
      </c>
      <c r="B983" s="1">
        <v>40587</v>
      </c>
      <c r="C983">
        <v>1</v>
      </c>
      <c r="D983">
        <v>0</v>
      </c>
      <c r="E983">
        <v>2</v>
      </c>
      <c r="F983">
        <v>2</v>
      </c>
      <c r="G983" t="b">
        <v>0</v>
      </c>
      <c r="H983">
        <v>0</v>
      </c>
      <c r="I983">
        <v>2</v>
      </c>
      <c r="J983">
        <v>0.2</v>
      </c>
      <c r="K983">
        <v>0.2273</v>
      </c>
      <c r="L983">
        <v>0.75</v>
      </c>
      <c r="M983">
        <v>8.9599999999999999E-2</v>
      </c>
      <c r="N983">
        <v>1</v>
      </c>
      <c r="O983">
        <v>19</v>
      </c>
      <c r="P983">
        <v>20</v>
      </c>
      <c r="Q983" t="s">
        <v>64</v>
      </c>
      <c r="R983" t="s">
        <v>120</v>
      </c>
      <c r="S983" t="s">
        <v>25</v>
      </c>
      <c r="T983" t="s">
        <v>29</v>
      </c>
      <c r="U983" t="s">
        <v>124</v>
      </c>
    </row>
    <row r="984" spans="1:21" x14ac:dyDescent="0.3">
      <c r="A984">
        <v>973</v>
      </c>
      <c r="B984" s="1">
        <v>40587</v>
      </c>
      <c r="C984">
        <v>1</v>
      </c>
      <c r="D984">
        <v>0</v>
      </c>
      <c r="E984">
        <v>2</v>
      </c>
      <c r="F984">
        <v>3</v>
      </c>
      <c r="G984" t="b">
        <v>0</v>
      </c>
      <c r="H984">
        <v>0</v>
      </c>
      <c r="I984">
        <v>2</v>
      </c>
      <c r="J984">
        <v>0.2</v>
      </c>
      <c r="K984">
        <v>0.2273</v>
      </c>
      <c r="L984">
        <v>0.69</v>
      </c>
      <c r="M984">
        <v>0.1045</v>
      </c>
      <c r="N984">
        <v>4</v>
      </c>
      <c r="O984">
        <v>8</v>
      </c>
      <c r="P984">
        <v>12</v>
      </c>
      <c r="Q984" t="s">
        <v>64</v>
      </c>
      <c r="R984" t="s">
        <v>120</v>
      </c>
      <c r="S984" t="s">
        <v>25</v>
      </c>
      <c r="T984" t="s">
        <v>29</v>
      </c>
      <c r="U984" t="s">
        <v>124</v>
      </c>
    </row>
    <row r="985" spans="1:21" x14ac:dyDescent="0.3">
      <c r="A985">
        <v>974</v>
      </c>
      <c r="B985" s="1">
        <v>40587</v>
      </c>
      <c r="C985">
        <v>1</v>
      </c>
      <c r="D985">
        <v>0</v>
      </c>
      <c r="E985">
        <v>2</v>
      </c>
      <c r="F985">
        <v>4</v>
      </c>
      <c r="G985" t="b">
        <v>0</v>
      </c>
      <c r="H985">
        <v>0</v>
      </c>
      <c r="I985">
        <v>2</v>
      </c>
      <c r="J985">
        <v>0.2</v>
      </c>
      <c r="K985">
        <v>0.21210000000000001</v>
      </c>
      <c r="L985">
        <v>0.69</v>
      </c>
      <c r="M985">
        <v>0.16420000000000001</v>
      </c>
      <c r="N985">
        <v>0</v>
      </c>
      <c r="O985">
        <v>2</v>
      </c>
      <c r="P985">
        <v>2</v>
      </c>
      <c r="Q985" t="s">
        <v>64</v>
      </c>
      <c r="R985" t="s">
        <v>120</v>
      </c>
      <c r="S985" t="s">
        <v>25</v>
      </c>
      <c r="T985" t="s">
        <v>29</v>
      </c>
      <c r="U985" t="s">
        <v>124</v>
      </c>
    </row>
    <row r="986" spans="1:21" x14ac:dyDescent="0.3">
      <c r="A986">
        <v>975</v>
      </c>
      <c r="B986" s="1">
        <v>40587</v>
      </c>
      <c r="C986">
        <v>1</v>
      </c>
      <c r="D986">
        <v>0</v>
      </c>
      <c r="E986">
        <v>2</v>
      </c>
      <c r="F986">
        <v>6</v>
      </c>
      <c r="G986" t="b">
        <v>0</v>
      </c>
      <c r="H986">
        <v>0</v>
      </c>
      <c r="I986">
        <v>2</v>
      </c>
      <c r="J986">
        <v>0.2</v>
      </c>
      <c r="K986">
        <v>0.21210000000000001</v>
      </c>
      <c r="L986">
        <v>0.69</v>
      </c>
      <c r="M986">
        <v>0.1343</v>
      </c>
      <c r="N986">
        <v>2</v>
      </c>
      <c r="O986">
        <v>3</v>
      </c>
      <c r="P986">
        <v>5</v>
      </c>
      <c r="Q986" t="s">
        <v>64</v>
      </c>
      <c r="R986" t="s">
        <v>120</v>
      </c>
      <c r="S986" t="s">
        <v>25</v>
      </c>
      <c r="T986" t="s">
        <v>29</v>
      </c>
      <c r="U986" t="s">
        <v>124</v>
      </c>
    </row>
    <row r="987" spans="1:21" x14ac:dyDescent="0.3">
      <c r="A987">
        <v>976</v>
      </c>
      <c r="B987" s="1">
        <v>40587</v>
      </c>
      <c r="C987">
        <v>1</v>
      </c>
      <c r="D987">
        <v>0</v>
      </c>
      <c r="E987">
        <v>2</v>
      </c>
      <c r="F987">
        <v>7</v>
      </c>
      <c r="G987" t="b">
        <v>0</v>
      </c>
      <c r="H987">
        <v>0</v>
      </c>
      <c r="I987">
        <v>2</v>
      </c>
      <c r="J987">
        <v>0.22</v>
      </c>
      <c r="K987">
        <v>0.2727</v>
      </c>
      <c r="L987">
        <v>0.55000000000000004</v>
      </c>
      <c r="M987">
        <v>0</v>
      </c>
      <c r="N987">
        <v>0</v>
      </c>
      <c r="O987">
        <v>3</v>
      </c>
      <c r="P987">
        <v>3</v>
      </c>
      <c r="Q987" t="s">
        <v>64</v>
      </c>
      <c r="R987" t="s">
        <v>120</v>
      </c>
      <c r="S987" t="s">
        <v>25</v>
      </c>
      <c r="T987" t="s">
        <v>29</v>
      </c>
      <c r="U987" t="s">
        <v>124</v>
      </c>
    </row>
    <row r="988" spans="1:21" x14ac:dyDescent="0.3">
      <c r="A988">
        <v>977</v>
      </c>
      <c r="B988" s="1">
        <v>40587</v>
      </c>
      <c r="C988">
        <v>1</v>
      </c>
      <c r="D988">
        <v>0</v>
      </c>
      <c r="E988">
        <v>2</v>
      </c>
      <c r="F988">
        <v>8</v>
      </c>
      <c r="G988" t="b">
        <v>0</v>
      </c>
      <c r="H988">
        <v>0</v>
      </c>
      <c r="I988">
        <v>2</v>
      </c>
      <c r="J988">
        <v>0.22</v>
      </c>
      <c r="K988">
        <v>0.2273</v>
      </c>
      <c r="L988">
        <v>0.64</v>
      </c>
      <c r="M988">
        <v>0.19400000000000001</v>
      </c>
      <c r="N988">
        <v>1</v>
      </c>
      <c r="O988">
        <v>11</v>
      </c>
      <c r="P988">
        <v>12</v>
      </c>
      <c r="Q988" t="s">
        <v>64</v>
      </c>
      <c r="R988" t="s">
        <v>120</v>
      </c>
      <c r="S988" t="s">
        <v>25</v>
      </c>
      <c r="T988" t="s">
        <v>29</v>
      </c>
      <c r="U988" t="s">
        <v>124</v>
      </c>
    </row>
    <row r="989" spans="1:21" x14ac:dyDescent="0.3">
      <c r="A989">
        <v>978</v>
      </c>
      <c r="B989" s="1">
        <v>40587</v>
      </c>
      <c r="C989">
        <v>1</v>
      </c>
      <c r="D989">
        <v>0</v>
      </c>
      <c r="E989">
        <v>2</v>
      </c>
      <c r="F989">
        <v>9</v>
      </c>
      <c r="G989" t="b">
        <v>0</v>
      </c>
      <c r="H989">
        <v>0</v>
      </c>
      <c r="I989">
        <v>2</v>
      </c>
      <c r="J989">
        <v>0.24</v>
      </c>
      <c r="K989">
        <v>0.2273</v>
      </c>
      <c r="L989">
        <v>0.6</v>
      </c>
      <c r="M989">
        <v>0.22389999999999999</v>
      </c>
      <c r="N989">
        <v>12</v>
      </c>
      <c r="O989">
        <v>35</v>
      </c>
      <c r="P989">
        <v>47</v>
      </c>
      <c r="Q989" t="s">
        <v>64</v>
      </c>
      <c r="R989" t="s">
        <v>120</v>
      </c>
      <c r="S989" t="s">
        <v>25</v>
      </c>
      <c r="T989" t="s">
        <v>29</v>
      </c>
      <c r="U989" t="s">
        <v>124</v>
      </c>
    </row>
    <row r="990" spans="1:21" x14ac:dyDescent="0.3">
      <c r="A990">
        <v>979</v>
      </c>
      <c r="B990" s="1">
        <v>40587</v>
      </c>
      <c r="C990">
        <v>1</v>
      </c>
      <c r="D990">
        <v>0</v>
      </c>
      <c r="E990">
        <v>2</v>
      </c>
      <c r="F990">
        <v>10</v>
      </c>
      <c r="G990" t="b">
        <v>0</v>
      </c>
      <c r="H990">
        <v>0</v>
      </c>
      <c r="I990">
        <v>1</v>
      </c>
      <c r="J990">
        <v>0.3</v>
      </c>
      <c r="K990">
        <v>0.2727</v>
      </c>
      <c r="L990">
        <v>0.45</v>
      </c>
      <c r="M990">
        <v>0.32840000000000003</v>
      </c>
      <c r="N990">
        <v>19</v>
      </c>
      <c r="O990">
        <v>86</v>
      </c>
      <c r="P990">
        <v>105</v>
      </c>
      <c r="Q990" t="s">
        <v>62</v>
      </c>
      <c r="R990" t="s">
        <v>120</v>
      </c>
      <c r="S990" t="s">
        <v>25</v>
      </c>
      <c r="T990" t="s">
        <v>29</v>
      </c>
      <c r="U990" t="s">
        <v>123</v>
      </c>
    </row>
    <row r="991" spans="1:21" x14ac:dyDescent="0.3">
      <c r="A991">
        <v>980</v>
      </c>
      <c r="B991" s="1">
        <v>40587</v>
      </c>
      <c r="C991">
        <v>1</v>
      </c>
      <c r="D991">
        <v>0</v>
      </c>
      <c r="E991">
        <v>2</v>
      </c>
      <c r="F991">
        <v>11</v>
      </c>
      <c r="G991" t="b">
        <v>0</v>
      </c>
      <c r="H991">
        <v>0</v>
      </c>
      <c r="I991">
        <v>1</v>
      </c>
      <c r="J991">
        <v>0.32</v>
      </c>
      <c r="K991">
        <v>0.28789999999999999</v>
      </c>
      <c r="L991">
        <v>0.39</v>
      </c>
      <c r="M991">
        <v>0.44779999999999998</v>
      </c>
      <c r="N991">
        <v>26</v>
      </c>
      <c r="O991">
        <v>86</v>
      </c>
      <c r="P991">
        <v>112</v>
      </c>
      <c r="Q991" t="s">
        <v>62</v>
      </c>
      <c r="R991" t="s">
        <v>120</v>
      </c>
      <c r="S991" t="s">
        <v>25</v>
      </c>
      <c r="T991" t="s">
        <v>29</v>
      </c>
      <c r="U991" t="s">
        <v>123</v>
      </c>
    </row>
    <row r="992" spans="1:21" x14ac:dyDescent="0.3">
      <c r="A992">
        <v>981</v>
      </c>
      <c r="B992" s="1">
        <v>40587</v>
      </c>
      <c r="C992">
        <v>1</v>
      </c>
      <c r="D992">
        <v>0</v>
      </c>
      <c r="E992">
        <v>2</v>
      </c>
      <c r="F992">
        <v>12</v>
      </c>
      <c r="G992" t="b">
        <v>0</v>
      </c>
      <c r="H992">
        <v>0</v>
      </c>
      <c r="I992">
        <v>1</v>
      </c>
      <c r="J992">
        <v>0.36</v>
      </c>
      <c r="K992">
        <v>0.31819999999999998</v>
      </c>
      <c r="L992">
        <v>0.32</v>
      </c>
      <c r="M992">
        <v>0.4627</v>
      </c>
      <c r="N992">
        <v>58</v>
      </c>
      <c r="O992">
        <v>94</v>
      </c>
      <c r="P992">
        <v>152</v>
      </c>
      <c r="Q992" t="s">
        <v>62</v>
      </c>
      <c r="R992" t="s">
        <v>120</v>
      </c>
      <c r="S992" t="s">
        <v>25</v>
      </c>
      <c r="T992" t="s">
        <v>29</v>
      </c>
      <c r="U992" t="s">
        <v>123</v>
      </c>
    </row>
    <row r="993" spans="1:21" x14ac:dyDescent="0.3">
      <c r="A993">
        <v>982</v>
      </c>
      <c r="B993" s="1">
        <v>40587</v>
      </c>
      <c r="C993">
        <v>1</v>
      </c>
      <c r="D993">
        <v>0</v>
      </c>
      <c r="E993">
        <v>2</v>
      </c>
      <c r="F993">
        <v>13</v>
      </c>
      <c r="G993" t="b">
        <v>0</v>
      </c>
      <c r="H993">
        <v>0</v>
      </c>
      <c r="I993">
        <v>1</v>
      </c>
      <c r="J993">
        <v>0.38</v>
      </c>
      <c r="K993">
        <v>0.39389999999999997</v>
      </c>
      <c r="L993">
        <v>0.28999999999999998</v>
      </c>
      <c r="M993">
        <v>0.35820000000000002</v>
      </c>
      <c r="N993">
        <v>62</v>
      </c>
      <c r="O993">
        <v>92</v>
      </c>
      <c r="P993">
        <v>154</v>
      </c>
      <c r="Q993" t="s">
        <v>62</v>
      </c>
      <c r="R993" t="s">
        <v>120</v>
      </c>
      <c r="S993" t="s">
        <v>25</v>
      </c>
      <c r="T993" t="s">
        <v>29</v>
      </c>
      <c r="U993" t="s">
        <v>123</v>
      </c>
    </row>
    <row r="994" spans="1:21" x14ac:dyDescent="0.3">
      <c r="A994">
        <v>983</v>
      </c>
      <c r="B994" s="1">
        <v>40587</v>
      </c>
      <c r="C994">
        <v>1</v>
      </c>
      <c r="D994">
        <v>0</v>
      </c>
      <c r="E994">
        <v>2</v>
      </c>
      <c r="F994">
        <v>14</v>
      </c>
      <c r="G994" t="b">
        <v>0</v>
      </c>
      <c r="H994">
        <v>0</v>
      </c>
      <c r="I994">
        <v>2</v>
      </c>
      <c r="J994">
        <v>0.4</v>
      </c>
      <c r="K994">
        <v>0.40910000000000002</v>
      </c>
      <c r="L994">
        <v>0.3</v>
      </c>
      <c r="M994">
        <v>0.41789999999999999</v>
      </c>
      <c r="N994">
        <v>51</v>
      </c>
      <c r="O994">
        <v>110</v>
      </c>
      <c r="P994">
        <v>161</v>
      </c>
      <c r="Q994" t="s">
        <v>64</v>
      </c>
      <c r="R994" t="s">
        <v>120</v>
      </c>
      <c r="S994" t="s">
        <v>25</v>
      </c>
      <c r="T994" t="s">
        <v>29</v>
      </c>
      <c r="U994" t="s">
        <v>124</v>
      </c>
    </row>
    <row r="995" spans="1:21" x14ac:dyDescent="0.3">
      <c r="A995">
        <v>984</v>
      </c>
      <c r="B995" s="1">
        <v>40587</v>
      </c>
      <c r="C995">
        <v>1</v>
      </c>
      <c r="D995">
        <v>0</v>
      </c>
      <c r="E995">
        <v>2</v>
      </c>
      <c r="F995">
        <v>15</v>
      </c>
      <c r="G995" t="b">
        <v>0</v>
      </c>
      <c r="H995">
        <v>0</v>
      </c>
      <c r="I995">
        <v>2</v>
      </c>
      <c r="J995">
        <v>0.4</v>
      </c>
      <c r="K995">
        <v>0.40910000000000002</v>
      </c>
      <c r="L995">
        <v>0.3</v>
      </c>
      <c r="M995">
        <v>0.29849999999999999</v>
      </c>
      <c r="N995">
        <v>40</v>
      </c>
      <c r="O995">
        <v>122</v>
      </c>
      <c r="P995">
        <v>162</v>
      </c>
      <c r="Q995" t="s">
        <v>64</v>
      </c>
      <c r="R995" t="s">
        <v>120</v>
      </c>
      <c r="S995" t="s">
        <v>25</v>
      </c>
      <c r="T995" t="s">
        <v>29</v>
      </c>
      <c r="U995" t="s">
        <v>124</v>
      </c>
    </row>
    <row r="996" spans="1:21" x14ac:dyDescent="0.3">
      <c r="A996">
        <v>985</v>
      </c>
      <c r="B996" s="1">
        <v>40587</v>
      </c>
      <c r="C996">
        <v>1</v>
      </c>
      <c r="D996">
        <v>0</v>
      </c>
      <c r="E996">
        <v>2</v>
      </c>
      <c r="F996">
        <v>16</v>
      </c>
      <c r="G996" t="b">
        <v>0</v>
      </c>
      <c r="H996">
        <v>0</v>
      </c>
      <c r="I996">
        <v>2</v>
      </c>
      <c r="J996">
        <v>0.42</v>
      </c>
      <c r="K996">
        <v>0.42420000000000002</v>
      </c>
      <c r="L996">
        <v>0.28000000000000003</v>
      </c>
      <c r="M996">
        <v>0.32840000000000003</v>
      </c>
      <c r="N996">
        <v>28</v>
      </c>
      <c r="O996">
        <v>106</v>
      </c>
      <c r="P996">
        <v>134</v>
      </c>
      <c r="Q996" t="s">
        <v>64</v>
      </c>
      <c r="R996" t="s">
        <v>120</v>
      </c>
      <c r="S996" t="s">
        <v>25</v>
      </c>
      <c r="T996" t="s">
        <v>29</v>
      </c>
      <c r="U996" t="s">
        <v>124</v>
      </c>
    </row>
    <row r="997" spans="1:21" x14ac:dyDescent="0.3">
      <c r="A997">
        <v>986</v>
      </c>
      <c r="B997" s="1">
        <v>40587</v>
      </c>
      <c r="C997">
        <v>1</v>
      </c>
      <c r="D997">
        <v>0</v>
      </c>
      <c r="E997">
        <v>2</v>
      </c>
      <c r="F997">
        <v>17</v>
      </c>
      <c r="G997" t="b">
        <v>0</v>
      </c>
      <c r="H997">
        <v>0</v>
      </c>
      <c r="I997">
        <v>1</v>
      </c>
      <c r="J997">
        <v>0.42</v>
      </c>
      <c r="K997">
        <v>0.42420000000000002</v>
      </c>
      <c r="L997">
        <v>0.28000000000000003</v>
      </c>
      <c r="M997">
        <v>0.32840000000000003</v>
      </c>
      <c r="N997">
        <v>30</v>
      </c>
      <c r="O997">
        <v>95</v>
      </c>
      <c r="P997">
        <v>125</v>
      </c>
      <c r="Q997" t="s">
        <v>62</v>
      </c>
      <c r="R997" t="s">
        <v>120</v>
      </c>
      <c r="S997" t="s">
        <v>25</v>
      </c>
      <c r="T997" t="s">
        <v>29</v>
      </c>
      <c r="U997" t="s">
        <v>123</v>
      </c>
    </row>
    <row r="998" spans="1:21" x14ac:dyDescent="0.3">
      <c r="A998">
        <v>987</v>
      </c>
      <c r="B998" s="1">
        <v>40587</v>
      </c>
      <c r="C998">
        <v>1</v>
      </c>
      <c r="D998">
        <v>0</v>
      </c>
      <c r="E998">
        <v>2</v>
      </c>
      <c r="F998">
        <v>18</v>
      </c>
      <c r="G998" t="b">
        <v>0</v>
      </c>
      <c r="H998">
        <v>0</v>
      </c>
      <c r="I998">
        <v>1</v>
      </c>
      <c r="J998">
        <v>0.4</v>
      </c>
      <c r="K998">
        <v>0.40910000000000002</v>
      </c>
      <c r="L998">
        <v>0.32</v>
      </c>
      <c r="M998">
        <v>0.29849999999999999</v>
      </c>
      <c r="N998">
        <v>17</v>
      </c>
      <c r="O998">
        <v>78</v>
      </c>
      <c r="P998">
        <v>95</v>
      </c>
      <c r="Q998" t="s">
        <v>62</v>
      </c>
      <c r="R998" t="s">
        <v>120</v>
      </c>
      <c r="S998" t="s">
        <v>25</v>
      </c>
      <c r="T998" t="s">
        <v>29</v>
      </c>
      <c r="U998" t="s">
        <v>123</v>
      </c>
    </row>
    <row r="999" spans="1:21" x14ac:dyDescent="0.3">
      <c r="A999">
        <v>988</v>
      </c>
      <c r="B999" s="1">
        <v>40587</v>
      </c>
      <c r="C999">
        <v>1</v>
      </c>
      <c r="D999">
        <v>0</v>
      </c>
      <c r="E999">
        <v>2</v>
      </c>
      <c r="F999">
        <v>19</v>
      </c>
      <c r="G999" t="b">
        <v>0</v>
      </c>
      <c r="H999">
        <v>0</v>
      </c>
      <c r="I999">
        <v>1</v>
      </c>
      <c r="J999">
        <v>0.4</v>
      </c>
      <c r="K999">
        <v>0.40910000000000002</v>
      </c>
      <c r="L999">
        <v>0.35</v>
      </c>
      <c r="M999">
        <v>0.28360000000000002</v>
      </c>
      <c r="N999">
        <v>11</v>
      </c>
      <c r="O999">
        <v>50</v>
      </c>
      <c r="P999">
        <v>61</v>
      </c>
      <c r="Q999" t="s">
        <v>62</v>
      </c>
      <c r="R999" t="s">
        <v>120</v>
      </c>
      <c r="S999" t="s">
        <v>25</v>
      </c>
      <c r="T999" t="s">
        <v>29</v>
      </c>
      <c r="U999" t="s">
        <v>123</v>
      </c>
    </row>
    <row r="1000" spans="1:21" x14ac:dyDescent="0.3">
      <c r="A1000">
        <v>989</v>
      </c>
      <c r="B1000" s="1">
        <v>40587</v>
      </c>
      <c r="C1000">
        <v>1</v>
      </c>
      <c r="D1000">
        <v>0</v>
      </c>
      <c r="E1000">
        <v>2</v>
      </c>
      <c r="F1000">
        <v>20</v>
      </c>
      <c r="G1000" t="b">
        <v>0</v>
      </c>
      <c r="H1000">
        <v>0</v>
      </c>
      <c r="I1000">
        <v>1</v>
      </c>
      <c r="J1000">
        <v>0.4</v>
      </c>
      <c r="K1000">
        <v>0.40910000000000002</v>
      </c>
      <c r="L1000">
        <v>0.35</v>
      </c>
      <c r="M1000">
        <v>0.32840000000000003</v>
      </c>
      <c r="N1000">
        <v>15</v>
      </c>
      <c r="O1000">
        <v>32</v>
      </c>
      <c r="P1000">
        <v>47</v>
      </c>
      <c r="Q1000" t="s">
        <v>62</v>
      </c>
      <c r="R1000" t="s">
        <v>120</v>
      </c>
      <c r="S1000" t="s">
        <v>25</v>
      </c>
      <c r="T1000" t="s">
        <v>29</v>
      </c>
      <c r="U1000" t="s">
        <v>123</v>
      </c>
    </row>
    <row r="1001" spans="1:21" x14ac:dyDescent="0.3">
      <c r="A1001">
        <v>990</v>
      </c>
      <c r="B1001" s="1">
        <v>40587</v>
      </c>
      <c r="C1001">
        <v>1</v>
      </c>
      <c r="D1001">
        <v>0</v>
      </c>
      <c r="E1001">
        <v>2</v>
      </c>
      <c r="F1001">
        <v>21</v>
      </c>
      <c r="G1001" t="b">
        <v>0</v>
      </c>
      <c r="H1001">
        <v>0</v>
      </c>
      <c r="I1001">
        <v>1</v>
      </c>
      <c r="J1001">
        <v>0.4</v>
      </c>
      <c r="K1001">
        <v>0.40910000000000002</v>
      </c>
      <c r="L1001">
        <v>0.35</v>
      </c>
      <c r="M1001">
        <v>0.35820000000000002</v>
      </c>
      <c r="N1001">
        <v>6</v>
      </c>
      <c r="O1001">
        <v>45</v>
      </c>
      <c r="P1001">
        <v>51</v>
      </c>
      <c r="Q1001" t="s">
        <v>62</v>
      </c>
      <c r="R1001" t="s">
        <v>120</v>
      </c>
      <c r="S1001" t="s">
        <v>25</v>
      </c>
      <c r="T1001" t="s">
        <v>29</v>
      </c>
      <c r="U1001" t="s">
        <v>123</v>
      </c>
    </row>
    <row r="1002" spans="1:21" x14ac:dyDescent="0.3">
      <c r="A1002">
        <v>991</v>
      </c>
      <c r="B1002" s="1">
        <v>40587</v>
      </c>
      <c r="C1002">
        <v>1</v>
      </c>
      <c r="D1002">
        <v>0</v>
      </c>
      <c r="E1002">
        <v>2</v>
      </c>
      <c r="F1002">
        <v>22</v>
      </c>
      <c r="G1002" t="b">
        <v>0</v>
      </c>
      <c r="H1002">
        <v>0</v>
      </c>
      <c r="I1002">
        <v>1</v>
      </c>
      <c r="J1002">
        <v>0.4</v>
      </c>
      <c r="K1002">
        <v>0.40910000000000002</v>
      </c>
      <c r="L1002">
        <v>0.35</v>
      </c>
      <c r="M1002">
        <v>0.29849999999999999</v>
      </c>
      <c r="N1002">
        <v>5</v>
      </c>
      <c r="O1002">
        <v>31</v>
      </c>
      <c r="P1002">
        <v>36</v>
      </c>
      <c r="Q1002" t="s">
        <v>62</v>
      </c>
      <c r="R1002" t="s">
        <v>120</v>
      </c>
      <c r="S1002" t="s">
        <v>25</v>
      </c>
      <c r="T1002" t="s">
        <v>29</v>
      </c>
      <c r="U1002" t="s">
        <v>123</v>
      </c>
    </row>
    <row r="1003" spans="1:21" x14ac:dyDescent="0.3">
      <c r="A1003">
        <v>992</v>
      </c>
      <c r="B1003" s="1">
        <v>40587</v>
      </c>
      <c r="C1003">
        <v>1</v>
      </c>
      <c r="D1003">
        <v>0</v>
      </c>
      <c r="E1003">
        <v>2</v>
      </c>
      <c r="F1003">
        <v>23</v>
      </c>
      <c r="G1003" t="b">
        <v>0</v>
      </c>
      <c r="H1003">
        <v>0</v>
      </c>
      <c r="I1003">
        <v>1</v>
      </c>
      <c r="J1003">
        <v>0.4</v>
      </c>
      <c r="K1003">
        <v>0.40910000000000002</v>
      </c>
      <c r="L1003">
        <v>0.35</v>
      </c>
      <c r="M1003">
        <v>0.35820000000000002</v>
      </c>
      <c r="N1003">
        <v>3</v>
      </c>
      <c r="O1003">
        <v>27</v>
      </c>
      <c r="P1003">
        <v>30</v>
      </c>
      <c r="Q1003" t="s">
        <v>62</v>
      </c>
      <c r="R1003" t="s">
        <v>120</v>
      </c>
      <c r="S1003" t="s">
        <v>25</v>
      </c>
      <c r="T1003" t="s">
        <v>29</v>
      </c>
      <c r="U1003" t="s">
        <v>123</v>
      </c>
    </row>
  </sheetData>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8EC4F4-5F70-4D1E-9C08-C75D5042D4FA}">
  <dimension ref="A1:T38"/>
  <sheetViews>
    <sheetView workbookViewId="0">
      <selection activeCell="P8" sqref="P8"/>
    </sheetView>
  </sheetViews>
  <sheetFormatPr defaultRowHeight="14.4" x14ac:dyDescent="0.3"/>
  <cols>
    <col min="1" max="1" width="18.109375" bestFit="1" customWidth="1"/>
    <col min="2" max="2" width="18.21875" bestFit="1" customWidth="1"/>
    <col min="3" max="3" width="18.109375" bestFit="1" customWidth="1"/>
    <col min="4" max="4" width="13.88671875" bestFit="1" customWidth="1"/>
    <col min="5" max="5" width="16.88671875" bestFit="1" customWidth="1"/>
    <col min="6" max="6" width="14" bestFit="1" customWidth="1"/>
    <col min="7" max="7" width="18.5546875" bestFit="1" customWidth="1"/>
    <col min="8" max="8" width="20" bestFit="1" customWidth="1"/>
    <col min="9" max="9" width="21.21875" bestFit="1" customWidth="1"/>
    <col min="10" max="10" width="16.77734375" bestFit="1" customWidth="1"/>
    <col min="11" max="11" width="17.77734375" bestFit="1" customWidth="1"/>
    <col min="12" max="12" width="16.21875" bestFit="1" customWidth="1"/>
    <col min="13" max="13" width="21.5546875" bestFit="1" customWidth="1"/>
    <col min="14" max="14" width="17.5546875" bestFit="1" customWidth="1"/>
    <col min="15" max="15" width="20.77734375" bestFit="1" customWidth="1"/>
    <col min="16" max="16" width="14.88671875" bestFit="1" customWidth="1"/>
    <col min="17" max="17" width="24.6640625" bestFit="1" customWidth="1"/>
    <col min="18" max="18" width="24" bestFit="1" customWidth="1"/>
    <col min="19" max="19" width="23.33203125" bestFit="1" customWidth="1"/>
    <col min="20" max="20" width="18.109375" bestFit="1" customWidth="1"/>
  </cols>
  <sheetData>
    <row r="1" spans="1:20" x14ac:dyDescent="0.3">
      <c r="A1" s="5" t="s">
        <v>121</v>
      </c>
    </row>
    <row r="3" spans="1:20" x14ac:dyDescent="0.3">
      <c r="A3" t="s">
        <v>100</v>
      </c>
      <c r="B3" t="s">
        <v>101</v>
      </c>
      <c r="C3" t="s">
        <v>102</v>
      </c>
      <c r="D3" t="s">
        <v>103</v>
      </c>
      <c r="E3" t="s">
        <v>104</v>
      </c>
      <c r="F3" t="s">
        <v>105</v>
      </c>
      <c r="G3" t="s">
        <v>106</v>
      </c>
      <c r="H3" t="s">
        <v>107</v>
      </c>
      <c r="I3" t="s">
        <v>108</v>
      </c>
      <c r="J3" t="s">
        <v>109</v>
      </c>
      <c r="K3" t="s">
        <v>110</v>
      </c>
      <c r="L3" t="s">
        <v>111</v>
      </c>
      <c r="M3" t="s">
        <v>112</v>
      </c>
      <c r="N3" t="s">
        <v>113</v>
      </c>
      <c r="O3" t="s">
        <v>114</v>
      </c>
      <c r="P3" t="s">
        <v>115</v>
      </c>
      <c r="Q3" t="s">
        <v>116</v>
      </c>
      <c r="R3" t="s">
        <v>117</v>
      </c>
      <c r="S3" t="s">
        <v>118</v>
      </c>
      <c r="T3" t="s">
        <v>119</v>
      </c>
    </row>
    <row r="4" spans="1:20" x14ac:dyDescent="0.3">
      <c r="A4">
        <v>693</v>
      </c>
      <c r="B4" s="1">
        <v>40575</v>
      </c>
      <c r="C4">
        <v>1</v>
      </c>
      <c r="D4">
        <v>0</v>
      </c>
      <c r="E4">
        <v>2</v>
      </c>
      <c r="F4">
        <v>5</v>
      </c>
      <c r="G4" t="b">
        <v>0</v>
      </c>
      <c r="H4">
        <v>2</v>
      </c>
      <c r="I4">
        <v>3</v>
      </c>
      <c r="J4">
        <v>0.14000000000000001</v>
      </c>
      <c r="K4">
        <v>0.21210000000000001</v>
      </c>
      <c r="L4">
        <v>0.93</v>
      </c>
      <c r="M4">
        <v>0</v>
      </c>
      <c r="N4">
        <v>0</v>
      </c>
      <c r="O4">
        <v>3</v>
      </c>
      <c r="P4">
        <v>3</v>
      </c>
      <c r="Q4" t="s">
        <v>63</v>
      </c>
      <c r="R4" t="s">
        <v>120</v>
      </c>
      <c r="S4" t="s">
        <v>27</v>
      </c>
      <c r="T4" t="s">
        <v>29</v>
      </c>
    </row>
    <row r="5" spans="1:20" x14ac:dyDescent="0.3">
      <c r="A5">
        <v>694</v>
      </c>
      <c r="B5" s="1">
        <v>40575</v>
      </c>
      <c r="C5">
        <v>1</v>
      </c>
      <c r="D5">
        <v>0</v>
      </c>
      <c r="E5">
        <v>2</v>
      </c>
      <c r="F5">
        <v>6</v>
      </c>
      <c r="G5" t="b">
        <v>0</v>
      </c>
      <c r="H5">
        <v>2</v>
      </c>
      <c r="I5">
        <v>3</v>
      </c>
      <c r="J5">
        <v>0.14000000000000001</v>
      </c>
      <c r="K5">
        <v>0.21210000000000001</v>
      </c>
      <c r="L5">
        <v>0.93</v>
      </c>
      <c r="M5">
        <v>0</v>
      </c>
      <c r="N5">
        <v>0</v>
      </c>
      <c r="O5">
        <v>22</v>
      </c>
      <c r="P5">
        <v>22</v>
      </c>
      <c r="Q5" t="s">
        <v>63</v>
      </c>
      <c r="R5" t="s">
        <v>120</v>
      </c>
      <c r="S5" t="s">
        <v>27</v>
      </c>
      <c r="T5" t="s">
        <v>29</v>
      </c>
    </row>
    <row r="6" spans="1:20" x14ac:dyDescent="0.3">
      <c r="A6">
        <v>695</v>
      </c>
      <c r="B6" s="1">
        <v>40575</v>
      </c>
      <c r="C6">
        <v>1</v>
      </c>
      <c r="D6">
        <v>0</v>
      </c>
      <c r="E6">
        <v>2</v>
      </c>
      <c r="F6">
        <v>7</v>
      </c>
      <c r="G6" t="b">
        <v>0</v>
      </c>
      <c r="H6">
        <v>2</v>
      </c>
      <c r="I6">
        <v>3</v>
      </c>
      <c r="J6">
        <v>0.16</v>
      </c>
      <c r="K6">
        <v>0.2273</v>
      </c>
      <c r="L6">
        <v>0.93</v>
      </c>
      <c r="M6">
        <v>0</v>
      </c>
      <c r="N6">
        <v>0</v>
      </c>
      <c r="O6">
        <v>52</v>
      </c>
      <c r="P6">
        <v>52</v>
      </c>
      <c r="Q6" t="s">
        <v>63</v>
      </c>
      <c r="R6" t="s">
        <v>120</v>
      </c>
      <c r="S6" t="s">
        <v>27</v>
      </c>
      <c r="T6" t="s">
        <v>29</v>
      </c>
    </row>
    <row r="7" spans="1:20" x14ac:dyDescent="0.3">
      <c r="A7">
        <v>696</v>
      </c>
      <c r="B7" s="1">
        <v>40575</v>
      </c>
      <c r="C7">
        <v>1</v>
      </c>
      <c r="D7">
        <v>0</v>
      </c>
      <c r="E7">
        <v>2</v>
      </c>
      <c r="F7">
        <v>8</v>
      </c>
      <c r="G7" t="b">
        <v>0</v>
      </c>
      <c r="H7">
        <v>2</v>
      </c>
      <c r="I7">
        <v>3</v>
      </c>
      <c r="J7">
        <v>0.16</v>
      </c>
      <c r="K7">
        <v>0.2273</v>
      </c>
      <c r="L7">
        <v>0.93</v>
      </c>
      <c r="M7">
        <v>0</v>
      </c>
      <c r="N7">
        <v>3</v>
      </c>
      <c r="O7">
        <v>132</v>
      </c>
      <c r="P7">
        <v>135</v>
      </c>
      <c r="Q7" t="s">
        <v>63</v>
      </c>
      <c r="R7" t="s">
        <v>120</v>
      </c>
      <c r="S7" t="s">
        <v>27</v>
      </c>
      <c r="T7" t="s">
        <v>29</v>
      </c>
    </row>
    <row r="8" spans="1:20" x14ac:dyDescent="0.3">
      <c r="A8">
        <v>711</v>
      </c>
      <c r="B8" s="1">
        <v>40575</v>
      </c>
      <c r="C8">
        <v>1</v>
      </c>
      <c r="D8">
        <v>0</v>
      </c>
      <c r="E8">
        <v>2</v>
      </c>
      <c r="F8">
        <v>23</v>
      </c>
      <c r="G8" t="b">
        <v>0</v>
      </c>
      <c r="H8">
        <v>2</v>
      </c>
      <c r="I8">
        <v>3</v>
      </c>
      <c r="J8">
        <v>0.2</v>
      </c>
      <c r="K8">
        <v>0.19700000000000001</v>
      </c>
      <c r="L8">
        <v>0.93</v>
      </c>
      <c r="M8">
        <v>0.19400000000000001</v>
      </c>
      <c r="N8">
        <v>1</v>
      </c>
      <c r="O8">
        <v>15</v>
      </c>
      <c r="P8">
        <v>16</v>
      </c>
      <c r="Q8" t="s">
        <v>63</v>
      </c>
      <c r="R8" t="s">
        <v>120</v>
      </c>
      <c r="S8" t="s">
        <v>27</v>
      </c>
      <c r="T8" t="s">
        <v>29</v>
      </c>
    </row>
    <row r="9" spans="1:20" x14ac:dyDescent="0.3">
      <c r="A9">
        <v>712</v>
      </c>
      <c r="B9" s="1">
        <v>40576</v>
      </c>
      <c r="C9">
        <v>1</v>
      </c>
      <c r="D9">
        <v>0</v>
      </c>
      <c r="E9">
        <v>2</v>
      </c>
      <c r="F9">
        <v>0</v>
      </c>
      <c r="G9" t="b">
        <v>0</v>
      </c>
      <c r="H9">
        <v>3</v>
      </c>
      <c r="I9">
        <v>3</v>
      </c>
      <c r="J9">
        <v>0.22</v>
      </c>
      <c r="K9">
        <v>0.2424</v>
      </c>
      <c r="L9">
        <v>0.93</v>
      </c>
      <c r="M9">
        <v>0.1045</v>
      </c>
      <c r="N9">
        <v>0</v>
      </c>
      <c r="O9">
        <v>2</v>
      </c>
      <c r="P9">
        <v>2</v>
      </c>
      <c r="Q9" t="s">
        <v>63</v>
      </c>
      <c r="R9" t="s">
        <v>120</v>
      </c>
      <c r="S9" t="s">
        <v>28</v>
      </c>
      <c r="T9" t="s">
        <v>29</v>
      </c>
    </row>
    <row r="10" spans="1:20" x14ac:dyDescent="0.3">
      <c r="A10">
        <v>713</v>
      </c>
      <c r="B10" s="1">
        <v>40576</v>
      </c>
      <c r="C10">
        <v>1</v>
      </c>
      <c r="D10">
        <v>0</v>
      </c>
      <c r="E10">
        <v>2</v>
      </c>
      <c r="F10">
        <v>1</v>
      </c>
      <c r="G10" t="b">
        <v>0</v>
      </c>
      <c r="H10">
        <v>3</v>
      </c>
      <c r="I10">
        <v>3</v>
      </c>
      <c r="J10">
        <v>0.22</v>
      </c>
      <c r="K10">
        <v>0.2273</v>
      </c>
      <c r="L10">
        <v>0.93</v>
      </c>
      <c r="M10">
        <v>0.19400000000000001</v>
      </c>
      <c r="N10">
        <v>0</v>
      </c>
      <c r="O10">
        <v>3</v>
      </c>
      <c r="P10">
        <v>3</v>
      </c>
      <c r="Q10" t="s">
        <v>63</v>
      </c>
      <c r="R10" t="s">
        <v>120</v>
      </c>
      <c r="S10" t="s">
        <v>28</v>
      </c>
      <c r="T10" t="s">
        <v>29</v>
      </c>
    </row>
    <row r="11" spans="1:20" x14ac:dyDescent="0.3">
      <c r="A11">
        <v>714</v>
      </c>
      <c r="B11" s="1">
        <v>40576</v>
      </c>
      <c r="C11">
        <v>1</v>
      </c>
      <c r="D11">
        <v>0</v>
      </c>
      <c r="E11">
        <v>2</v>
      </c>
      <c r="F11">
        <v>2</v>
      </c>
      <c r="G11" t="b">
        <v>0</v>
      </c>
      <c r="H11">
        <v>3</v>
      </c>
      <c r="I11">
        <v>3</v>
      </c>
      <c r="J11">
        <v>0.22</v>
      </c>
      <c r="K11">
        <v>0.2273</v>
      </c>
      <c r="L11">
        <v>0.93</v>
      </c>
      <c r="M11">
        <v>0.1343</v>
      </c>
      <c r="N11">
        <v>4</v>
      </c>
      <c r="O11">
        <v>0</v>
      </c>
      <c r="P11">
        <v>4</v>
      </c>
      <c r="Q11" t="s">
        <v>63</v>
      </c>
      <c r="R11" t="s">
        <v>120</v>
      </c>
      <c r="S11" t="s">
        <v>28</v>
      </c>
      <c r="T11" t="s">
        <v>29</v>
      </c>
    </row>
    <row r="12" spans="1:20" x14ac:dyDescent="0.3">
      <c r="A12">
        <v>715</v>
      </c>
      <c r="B12" s="1">
        <v>40576</v>
      </c>
      <c r="C12">
        <v>1</v>
      </c>
      <c r="D12">
        <v>0</v>
      </c>
      <c r="E12">
        <v>2</v>
      </c>
      <c r="F12">
        <v>3</v>
      </c>
      <c r="G12" t="b">
        <v>0</v>
      </c>
      <c r="H12">
        <v>3</v>
      </c>
      <c r="I12">
        <v>3</v>
      </c>
      <c r="J12">
        <v>0.22</v>
      </c>
      <c r="K12">
        <v>0.2273</v>
      </c>
      <c r="L12">
        <v>0.93</v>
      </c>
      <c r="M12">
        <v>0.1343</v>
      </c>
      <c r="N12">
        <v>0</v>
      </c>
      <c r="O12">
        <v>1</v>
      </c>
      <c r="P12">
        <v>1</v>
      </c>
      <c r="Q12" t="s">
        <v>63</v>
      </c>
      <c r="R12" t="s">
        <v>120</v>
      </c>
      <c r="S12" t="s">
        <v>28</v>
      </c>
      <c r="T12" t="s">
        <v>29</v>
      </c>
    </row>
    <row r="13" spans="1:20" x14ac:dyDescent="0.3">
      <c r="A13">
        <v>716</v>
      </c>
      <c r="B13" s="1">
        <v>40576</v>
      </c>
      <c r="C13">
        <v>1</v>
      </c>
      <c r="D13">
        <v>0</v>
      </c>
      <c r="E13">
        <v>2</v>
      </c>
      <c r="F13">
        <v>4</v>
      </c>
      <c r="G13" t="b">
        <v>0</v>
      </c>
      <c r="H13">
        <v>3</v>
      </c>
      <c r="I13">
        <v>3</v>
      </c>
      <c r="J13">
        <v>0.22</v>
      </c>
      <c r="K13">
        <v>0.21210000000000001</v>
      </c>
      <c r="L13">
        <v>0.93</v>
      </c>
      <c r="M13">
        <v>0.28360000000000002</v>
      </c>
      <c r="N13">
        <v>0</v>
      </c>
      <c r="O13">
        <v>1</v>
      </c>
      <c r="P13">
        <v>1</v>
      </c>
      <c r="Q13" t="s">
        <v>63</v>
      </c>
      <c r="R13" t="s">
        <v>120</v>
      </c>
      <c r="S13" t="s">
        <v>28</v>
      </c>
      <c r="T13" t="s">
        <v>29</v>
      </c>
    </row>
    <row r="14" spans="1:20" x14ac:dyDescent="0.3">
      <c r="A14">
        <v>717</v>
      </c>
      <c r="B14" s="1">
        <v>40576</v>
      </c>
      <c r="C14">
        <v>1</v>
      </c>
      <c r="D14">
        <v>0</v>
      </c>
      <c r="E14">
        <v>2</v>
      </c>
      <c r="F14">
        <v>5</v>
      </c>
      <c r="G14" t="b">
        <v>0</v>
      </c>
      <c r="H14">
        <v>3</v>
      </c>
      <c r="I14">
        <v>3</v>
      </c>
      <c r="J14">
        <v>0.22</v>
      </c>
      <c r="K14">
        <v>0.2424</v>
      </c>
      <c r="L14">
        <v>0.93</v>
      </c>
      <c r="M14">
        <v>0.1045</v>
      </c>
      <c r="N14">
        <v>0</v>
      </c>
      <c r="O14">
        <v>3</v>
      </c>
      <c r="P14">
        <v>3</v>
      </c>
      <c r="Q14" t="s">
        <v>63</v>
      </c>
      <c r="R14" t="s">
        <v>120</v>
      </c>
      <c r="S14" t="s">
        <v>28</v>
      </c>
      <c r="T14" t="s">
        <v>29</v>
      </c>
    </row>
    <row r="15" spans="1:20" x14ac:dyDescent="0.3">
      <c r="A15">
        <v>718</v>
      </c>
      <c r="B15" s="1">
        <v>40576</v>
      </c>
      <c r="C15">
        <v>1</v>
      </c>
      <c r="D15">
        <v>0</v>
      </c>
      <c r="E15">
        <v>2</v>
      </c>
      <c r="F15">
        <v>6</v>
      </c>
      <c r="G15" t="b">
        <v>0</v>
      </c>
      <c r="H15">
        <v>3</v>
      </c>
      <c r="I15">
        <v>3</v>
      </c>
      <c r="J15">
        <v>0.22</v>
      </c>
      <c r="K15">
        <v>0.2424</v>
      </c>
      <c r="L15">
        <v>0.93</v>
      </c>
      <c r="M15">
        <v>0.1045</v>
      </c>
      <c r="N15">
        <v>1</v>
      </c>
      <c r="O15">
        <v>17</v>
      </c>
      <c r="P15">
        <v>18</v>
      </c>
      <c r="Q15" t="s">
        <v>63</v>
      </c>
      <c r="R15" t="s">
        <v>120</v>
      </c>
      <c r="S15" t="s">
        <v>28</v>
      </c>
      <c r="T15" t="s">
        <v>29</v>
      </c>
    </row>
    <row r="16" spans="1:20" x14ac:dyDescent="0.3">
      <c r="A16">
        <v>719</v>
      </c>
      <c r="B16" s="1">
        <v>40576</v>
      </c>
      <c r="C16">
        <v>1</v>
      </c>
      <c r="D16">
        <v>0</v>
      </c>
      <c r="E16">
        <v>2</v>
      </c>
      <c r="F16">
        <v>7</v>
      </c>
      <c r="G16" t="b">
        <v>0</v>
      </c>
      <c r="H16">
        <v>3</v>
      </c>
      <c r="I16">
        <v>3</v>
      </c>
      <c r="J16">
        <v>0.22</v>
      </c>
      <c r="K16">
        <v>0.21210000000000001</v>
      </c>
      <c r="L16">
        <v>0.93</v>
      </c>
      <c r="M16">
        <v>0.22389999999999999</v>
      </c>
      <c r="N16">
        <v>1</v>
      </c>
      <c r="O16">
        <v>48</v>
      </c>
      <c r="P16">
        <v>49</v>
      </c>
      <c r="Q16" t="s">
        <v>63</v>
      </c>
      <c r="R16" t="s">
        <v>120</v>
      </c>
      <c r="S16" t="s">
        <v>28</v>
      </c>
      <c r="T16" t="s">
        <v>29</v>
      </c>
    </row>
    <row r="17" spans="1:20" x14ac:dyDescent="0.3">
      <c r="A17">
        <v>720</v>
      </c>
      <c r="B17" s="1">
        <v>40576</v>
      </c>
      <c r="C17">
        <v>1</v>
      </c>
      <c r="D17">
        <v>0</v>
      </c>
      <c r="E17">
        <v>2</v>
      </c>
      <c r="F17">
        <v>8</v>
      </c>
      <c r="G17" t="b">
        <v>0</v>
      </c>
      <c r="H17">
        <v>3</v>
      </c>
      <c r="I17">
        <v>3</v>
      </c>
      <c r="J17">
        <v>0.22</v>
      </c>
      <c r="K17">
        <v>0.21210000000000001</v>
      </c>
      <c r="L17">
        <v>0.93</v>
      </c>
      <c r="M17">
        <v>0.22389999999999999</v>
      </c>
      <c r="N17">
        <v>1</v>
      </c>
      <c r="O17">
        <v>154</v>
      </c>
      <c r="P17">
        <v>155</v>
      </c>
      <c r="Q17" t="s">
        <v>63</v>
      </c>
      <c r="R17" t="s">
        <v>120</v>
      </c>
      <c r="S17" t="s">
        <v>28</v>
      </c>
      <c r="T17" t="s">
        <v>29</v>
      </c>
    </row>
    <row r="18" spans="1:20" x14ac:dyDescent="0.3">
      <c r="A18">
        <v>786</v>
      </c>
      <c r="B18" s="1">
        <v>40579</v>
      </c>
      <c r="C18">
        <v>1</v>
      </c>
      <c r="D18">
        <v>0</v>
      </c>
      <c r="E18">
        <v>2</v>
      </c>
      <c r="F18">
        <v>4</v>
      </c>
      <c r="G18" t="b">
        <v>0</v>
      </c>
      <c r="H18">
        <v>6</v>
      </c>
      <c r="I18">
        <v>3</v>
      </c>
      <c r="J18">
        <v>0.22</v>
      </c>
      <c r="K18">
        <v>0.2273</v>
      </c>
      <c r="L18">
        <v>0.93</v>
      </c>
      <c r="M18">
        <v>0.1343</v>
      </c>
      <c r="N18">
        <v>0</v>
      </c>
      <c r="O18">
        <v>8</v>
      </c>
      <c r="P18">
        <v>8</v>
      </c>
      <c r="Q18" t="s">
        <v>63</v>
      </c>
      <c r="R18" t="s">
        <v>120</v>
      </c>
      <c r="S18" t="s">
        <v>24</v>
      </c>
      <c r="T18" t="s">
        <v>29</v>
      </c>
    </row>
    <row r="19" spans="1:20" x14ac:dyDescent="0.3">
      <c r="A19">
        <v>787</v>
      </c>
      <c r="B19" s="1">
        <v>40579</v>
      </c>
      <c r="C19">
        <v>1</v>
      </c>
      <c r="D19">
        <v>0</v>
      </c>
      <c r="E19">
        <v>2</v>
      </c>
      <c r="F19">
        <v>5</v>
      </c>
      <c r="G19" t="b">
        <v>0</v>
      </c>
      <c r="H19">
        <v>6</v>
      </c>
      <c r="I19">
        <v>3</v>
      </c>
      <c r="J19">
        <v>0.2</v>
      </c>
      <c r="K19">
        <v>0.2273</v>
      </c>
      <c r="L19">
        <v>1</v>
      </c>
      <c r="M19">
        <v>8.9599999999999999E-2</v>
      </c>
      <c r="N19">
        <v>0</v>
      </c>
      <c r="O19">
        <v>9</v>
      </c>
      <c r="P19">
        <v>9</v>
      </c>
      <c r="Q19" t="s">
        <v>63</v>
      </c>
      <c r="R19" t="s">
        <v>120</v>
      </c>
      <c r="S19" t="s">
        <v>24</v>
      </c>
      <c r="T19" t="s">
        <v>29</v>
      </c>
    </row>
    <row r="20" spans="1:20" x14ac:dyDescent="0.3">
      <c r="A20">
        <v>788</v>
      </c>
      <c r="B20" s="1">
        <v>40579</v>
      </c>
      <c r="C20">
        <v>1</v>
      </c>
      <c r="D20">
        <v>0</v>
      </c>
      <c r="E20">
        <v>2</v>
      </c>
      <c r="F20">
        <v>6</v>
      </c>
      <c r="G20" t="b">
        <v>0</v>
      </c>
      <c r="H20">
        <v>6</v>
      </c>
      <c r="I20">
        <v>3</v>
      </c>
      <c r="J20">
        <v>0.2</v>
      </c>
      <c r="K20">
        <v>0.2576</v>
      </c>
      <c r="L20">
        <v>1</v>
      </c>
      <c r="M20">
        <v>0</v>
      </c>
      <c r="N20">
        <v>0</v>
      </c>
      <c r="O20">
        <v>4</v>
      </c>
      <c r="P20">
        <v>4</v>
      </c>
      <c r="Q20" t="s">
        <v>63</v>
      </c>
      <c r="R20" t="s">
        <v>120</v>
      </c>
      <c r="S20" t="s">
        <v>24</v>
      </c>
      <c r="T20" t="s">
        <v>29</v>
      </c>
    </row>
    <row r="21" spans="1:20" x14ac:dyDescent="0.3">
      <c r="A21">
        <v>789</v>
      </c>
      <c r="B21" s="1">
        <v>40579</v>
      </c>
      <c r="C21">
        <v>1</v>
      </c>
      <c r="D21">
        <v>0</v>
      </c>
      <c r="E21">
        <v>2</v>
      </c>
      <c r="F21">
        <v>7</v>
      </c>
      <c r="G21" t="b">
        <v>0</v>
      </c>
      <c r="H21">
        <v>6</v>
      </c>
      <c r="I21">
        <v>3</v>
      </c>
      <c r="J21">
        <v>0.22</v>
      </c>
      <c r="K21">
        <v>0.2576</v>
      </c>
      <c r="L21">
        <v>0.93</v>
      </c>
      <c r="M21">
        <v>8.9599999999999999E-2</v>
      </c>
      <c r="N21">
        <v>0</v>
      </c>
      <c r="O21">
        <v>4</v>
      </c>
      <c r="P21">
        <v>4</v>
      </c>
      <c r="Q21" t="s">
        <v>63</v>
      </c>
      <c r="R21" t="s">
        <v>120</v>
      </c>
      <c r="S21" t="s">
        <v>24</v>
      </c>
      <c r="T21" t="s">
        <v>29</v>
      </c>
    </row>
    <row r="22" spans="1:20" x14ac:dyDescent="0.3">
      <c r="A22">
        <v>790</v>
      </c>
      <c r="B22" s="1">
        <v>40579</v>
      </c>
      <c r="C22">
        <v>1</v>
      </c>
      <c r="D22">
        <v>0</v>
      </c>
      <c r="E22">
        <v>2</v>
      </c>
      <c r="F22">
        <v>8</v>
      </c>
      <c r="G22" t="b">
        <v>0</v>
      </c>
      <c r="H22">
        <v>6</v>
      </c>
      <c r="I22">
        <v>3</v>
      </c>
      <c r="J22">
        <v>0.2</v>
      </c>
      <c r="K22">
        <v>0.2273</v>
      </c>
      <c r="L22">
        <v>1</v>
      </c>
      <c r="M22">
        <v>8.9599999999999999E-2</v>
      </c>
      <c r="N22">
        <v>0</v>
      </c>
      <c r="O22">
        <v>10</v>
      </c>
      <c r="P22">
        <v>10</v>
      </c>
      <c r="Q22" t="s">
        <v>63</v>
      </c>
      <c r="R22" t="s">
        <v>120</v>
      </c>
      <c r="S22" t="s">
        <v>24</v>
      </c>
      <c r="T22" t="s">
        <v>29</v>
      </c>
    </row>
    <row r="23" spans="1:20" x14ac:dyDescent="0.3">
      <c r="A23">
        <v>791</v>
      </c>
      <c r="B23" s="1">
        <v>40579</v>
      </c>
      <c r="C23">
        <v>1</v>
      </c>
      <c r="D23">
        <v>0</v>
      </c>
      <c r="E23">
        <v>2</v>
      </c>
      <c r="F23">
        <v>9</v>
      </c>
      <c r="G23" t="b">
        <v>0</v>
      </c>
      <c r="H23">
        <v>6</v>
      </c>
      <c r="I23">
        <v>3</v>
      </c>
      <c r="J23">
        <v>0.2</v>
      </c>
      <c r="K23">
        <v>0.2273</v>
      </c>
      <c r="L23">
        <v>1</v>
      </c>
      <c r="M23">
        <v>8.9599999999999999E-2</v>
      </c>
      <c r="N23">
        <v>3</v>
      </c>
      <c r="O23">
        <v>17</v>
      </c>
      <c r="P23">
        <v>20</v>
      </c>
      <c r="Q23" t="s">
        <v>63</v>
      </c>
      <c r="R23" t="s">
        <v>120</v>
      </c>
      <c r="S23" t="s">
        <v>24</v>
      </c>
      <c r="T23" t="s">
        <v>29</v>
      </c>
    </row>
    <row r="24" spans="1:20" x14ac:dyDescent="0.3">
      <c r="A24">
        <v>792</v>
      </c>
      <c r="B24" s="1">
        <v>40579</v>
      </c>
      <c r="C24">
        <v>1</v>
      </c>
      <c r="D24">
        <v>0</v>
      </c>
      <c r="E24">
        <v>2</v>
      </c>
      <c r="F24">
        <v>10</v>
      </c>
      <c r="G24" t="b">
        <v>0</v>
      </c>
      <c r="H24">
        <v>6</v>
      </c>
      <c r="I24">
        <v>3</v>
      </c>
      <c r="J24">
        <v>0.2</v>
      </c>
      <c r="K24">
        <v>0.21210000000000001</v>
      </c>
      <c r="L24">
        <v>1</v>
      </c>
      <c r="M24">
        <v>0.1343</v>
      </c>
      <c r="N24">
        <v>3</v>
      </c>
      <c r="O24">
        <v>31</v>
      </c>
      <c r="P24">
        <v>34</v>
      </c>
      <c r="Q24" t="s">
        <v>63</v>
      </c>
      <c r="R24" t="s">
        <v>120</v>
      </c>
      <c r="S24" t="s">
        <v>24</v>
      </c>
      <c r="T24" t="s">
        <v>29</v>
      </c>
    </row>
    <row r="25" spans="1:20" x14ac:dyDescent="0.3">
      <c r="A25">
        <v>793</v>
      </c>
      <c r="B25" s="1">
        <v>40579</v>
      </c>
      <c r="C25">
        <v>1</v>
      </c>
      <c r="D25">
        <v>0</v>
      </c>
      <c r="E25">
        <v>2</v>
      </c>
      <c r="F25">
        <v>11</v>
      </c>
      <c r="G25" t="b">
        <v>0</v>
      </c>
      <c r="H25">
        <v>6</v>
      </c>
      <c r="I25">
        <v>3</v>
      </c>
      <c r="J25">
        <v>0.22</v>
      </c>
      <c r="K25">
        <v>0.2273</v>
      </c>
      <c r="L25">
        <v>1</v>
      </c>
      <c r="M25">
        <v>0.1343</v>
      </c>
      <c r="N25">
        <v>1</v>
      </c>
      <c r="O25">
        <v>46</v>
      </c>
      <c r="P25">
        <v>47</v>
      </c>
      <c r="Q25" t="s">
        <v>63</v>
      </c>
      <c r="R25" t="s">
        <v>120</v>
      </c>
      <c r="S25" t="s">
        <v>24</v>
      </c>
      <c r="T25" t="s">
        <v>29</v>
      </c>
    </row>
    <row r="26" spans="1:20" x14ac:dyDescent="0.3">
      <c r="A26">
        <v>794</v>
      </c>
      <c r="B26" s="1">
        <v>40579</v>
      </c>
      <c r="C26">
        <v>1</v>
      </c>
      <c r="D26">
        <v>0</v>
      </c>
      <c r="E26">
        <v>2</v>
      </c>
      <c r="F26">
        <v>12</v>
      </c>
      <c r="G26" t="b">
        <v>0</v>
      </c>
      <c r="H26">
        <v>6</v>
      </c>
      <c r="I26">
        <v>3</v>
      </c>
      <c r="J26">
        <v>0.22</v>
      </c>
      <c r="K26">
        <v>0.2273</v>
      </c>
      <c r="L26">
        <v>1</v>
      </c>
      <c r="M26">
        <v>0.16420000000000001</v>
      </c>
      <c r="N26">
        <v>10</v>
      </c>
      <c r="O26">
        <v>42</v>
      </c>
      <c r="P26">
        <v>52</v>
      </c>
      <c r="Q26" t="s">
        <v>63</v>
      </c>
      <c r="R26" t="s">
        <v>120</v>
      </c>
      <c r="S26" t="s">
        <v>24</v>
      </c>
      <c r="T26" t="s">
        <v>29</v>
      </c>
    </row>
    <row r="27" spans="1:20" x14ac:dyDescent="0.3">
      <c r="A27">
        <v>795</v>
      </c>
      <c r="B27" s="1">
        <v>40579</v>
      </c>
      <c r="C27">
        <v>1</v>
      </c>
      <c r="D27">
        <v>0</v>
      </c>
      <c r="E27">
        <v>2</v>
      </c>
      <c r="F27">
        <v>13</v>
      </c>
      <c r="G27" t="b">
        <v>0</v>
      </c>
      <c r="H27">
        <v>6</v>
      </c>
      <c r="I27">
        <v>3</v>
      </c>
      <c r="J27">
        <v>0.22</v>
      </c>
      <c r="K27">
        <v>0.2273</v>
      </c>
      <c r="L27">
        <v>1</v>
      </c>
      <c r="M27">
        <v>0.16420000000000001</v>
      </c>
      <c r="N27">
        <v>10</v>
      </c>
      <c r="O27">
        <v>62</v>
      </c>
      <c r="P27">
        <v>72</v>
      </c>
      <c r="Q27" t="s">
        <v>63</v>
      </c>
      <c r="R27" t="s">
        <v>120</v>
      </c>
      <c r="S27" t="s">
        <v>24</v>
      </c>
      <c r="T27" t="s">
        <v>29</v>
      </c>
    </row>
    <row r="28" spans="1:20" x14ac:dyDescent="0.3">
      <c r="A28">
        <v>796</v>
      </c>
      <c r="B28" s="1">
        <v>40579</v>
      </c>
      <c r="C28">
        <v>1</v>
      </c>
      <c r="D28">
        <v>0</v>
      </c>
      <c r="E28">
        <v>2</v>
      </c>
      <c r="F28">
        <v>14</v>
      </c>
      <c r="G28" t="b">
        <v>0</v>
      </c>
      <c r="H28">
        <v>6</v>
      </c>
      <c r="I28">
        <v>3</v>
      </c>
      <c r="J28">
        <v>0.22</v>
      </c>
      <c r="K28">
        <v>0.2727</v>
      </c>
      <c r="L28">
        <v>1</v>
      </c>
      <c r="M28">
        <v>0</v>
      </c>
      <c r="N28">
        <v>5</v>
      </c>
      <c r="O28">
        <v>50</v>
      </c>
      <c r="P28">
        <v>55</v>
      </c>
      <c r="Q28" t="s">
        <v>63</v>
      </c>
      <c r="R28" t="s">
        <v>120</v>
      </c>
      <c r="S28" t="s">
        <v>24</v>
      </c>
      <c r="T28" t="s">
        <v>29</v>
      </c>
    </row>
    <row r="29" spans="1:20" x14ac:dyDescent="0.3">
      <c r="A29">
        <v>797</v>
      </c>
      <c r="B29" s="1">
        <v>40579</v>
      </c>
      <c r="C29">
        <v>1</v>
      </c>
      <c r="D29">
        <v>0</v>
      </c>
      <c r="E29">
        <v>2</v>
      </c>
      <c r="F29">
        <v>15</v>
      </c>
      <c r="G29" t="b">
        <v>0</v>
      </c>
      <c r="H29">
        <v>6</v>
      </c>
      <c r="I29">
        <v>3</v>
      </c>
      <c r="J29">
        <v>0.22</v>
      </c>
      <c r="K29">
        <v>0.2727</v>
      </c>
      <c r="L29">
        <v>1</v>
      </c>
      <c r="M29">
        <v>0</v>
      </c>
      <c r="N29">
        <v>11</v>
      </c>
      <c r="O29">
        <v>49</v>
      </c>
      <c r="P29">
        <v>60</v>
      </c>
      <c r="Q29" t="s">
        <v>63</v>
      </c>
      <c r="R29" t="s">
        <v>120</v>
      </c>
      <c r="S29" t="s">
        <v>24</v>
      </c>
      <c r="T29" t="s">
        <v>29</v>
      </c>
    </row>
    <row r="30" spans="1:20" x14ac:dyDescent="0.3">
      <c r="A30">
        <v>798</v>
      </c>
      <c r="B30" s="1">
        <v>40579</v>
      </c>
      <c r="C30">
        <v>1</v>
      </c>
      <c r="D30">
        <v>0</v>
      </c>
      <c r="E30">
        <v>2</v>
      </c>
      <c r="F30">
        <v>16</v>
      </c>
      <c r="G30" t="b">
        <v>0</v>
      </c>
      <c r="H30">
        <v>6</v>
      </c>
      <c r="I30">
        <v>3</v>
      </c>
      <c r="J30">
        <v>0.22</v>
      </c>
      <c r="K30">
        <v>0.2273</v>
      </c>
      <c r="L30">
        <v>1</v>
      </c>
      <c r="M30">
        <v>0.1343</v>
      </c>
      <c r="N30">
        <v>8</v>
      </c>
      <c r="O30">
        <v>63</v>
      </c>
      <c r="P30">
        <v>71</v>
      </c>
      <c r="Q30" t="s">
        <v>63</v>
      </c>
      <c r="R30" t="s">
        <v>120</v>
      </c>
      <c r="S30" t="s">
        <v>24</v>
      </c>
      <c r="T30" t="s">
        <v>29</v>
      </c>
    </row>
    <row r="31" spans="1:20" x14ac:dyDescent="0.3">
      <c r="A31">
        <v>857</v>
      </c>
      <c r="B31" s="1">
        <v>40582</v>
      </c>
      <c r="C31">
        <v>1</v>
      </c>
      <c r="D31">
        <v>0</v>
      </c>
      <c r="E31">
        <v>2</v>
      </c>
      <c r="F31">
        <v>3</v>
      </c>
      <c r="G31" t="b">
        <v>0</v>
      </c>
      <c r="H31">
        <v>2</v>
      </c>
      <c r="I31">
        <v>3</v>
      </c>
      <c r="J31">
        <v>0.28000000000000003</v>
      </c>
      <c r="K31">
        <v>0.2727</v>
      </c>
      <c r="L31">
        <v>0.93</v>
      </c>
      <c r="M31">
        <v>0.16420000000000001</v>
      </c>
      <c r="N31">
        <v>0</v>
      </c>
      <c r="O31">
        <v>1</v>
      </c>
      <c r="P31">
        <v>1</v>
      </c>
      <c r="Q31" t="s">
        <v>63</v>
      </c>
      <c r="R31" t="s">
        <v>120</v>
      </c>
      <c r="S31" t="s">
        <v>27</v>
      </c>
      <c r="T31" t="s">
        <v>29</v>
      </c>
    </row>
    <row r="32" spans="1:20" x14ac:dyDescent="0.3">
      <c r="A32">
        <v>896</v>
      </c>
      <c r="B32" s="1">
        <v>40583</v>
      </c>
      <c r="C32">
        <v>1</v>
      </c>
      <c r="D32">
        <v>0</v>
      </c>
      <c r="E32">
        <v>2</v>
      </c>
      <c r="F32">
        <v>19</v>
      </c>
      <c r="G32" t="b">
        <v>0</v>
      </c>
      <c r="H32">
        <v>3</v>
      </c>
      <c r="I32">
        <v>3</v>
      </c>
      <c r="J32">
        <v>0.14000000000000001</v>
      </c>
      <c r="K32">
        <v>0.1212</v>
      </c>
      <c r="L32">
        <v>0.86</v>
      </c>
      <c r="M32">
        <v>0.25369999999999998</v>
      </c>
      <c r="N32">
        <v>1</v>
      </c>
      <c r="O32">
        <v>87</v>
      </c>
      <c r="P32">
        <v>88</v>
      </c>
      <c r="Q32" t="s">
        <v>63</v>
      </c>
      <c r="R32" t="s">
        <v>120</v>
      </c>
      <c r="S32" t="s">
        <v>28</v>
      </c>
      <c r="T32" t="s">
        <v>29</v>
      </c>
    </row>
    <row r="33" spans="1:20" x14ac:dyDescent="0.3">
      <c r="A33">
        <v>897</v>
      </c>
      <c r="B33" s="1">
        <v>40583</v>
      </c>
      <c r="C33">
        <v>1</v>
      </c>
      <c r="D33">
        <v>0</v>
      </c>
      <c r="E33">
        <v>2</v>
      </c>
      <c r="F33">
        <v>20</v>
      </c>
      <c r="G33" t="b">
        <v>0</v>
      </c>
      <c r="H33">
        <v>3</v>
      </c>
      <c r="I33">
        <v>3</v>
      </c>
      <c r="J33">
        <v>0.14000000000000001</v>
      </c>
      <c r="K33">
        <v>0.1515</v>
      </c>
      <c r="L33">
        <v>0.86</v>
      </c>
      <c r="M33">
        <v>0.16420000000000001</v>
      </c>
      <c r="N33">
        <v>0</v>
      </c>
      <c r="O33">
        <v>84</v>
      </c>
      <c r="P33">
        <v>84</v>
      </c>
      <c r="Q33" t="s">
        <v>63</v>
      </c>
      <c r="R33" t="s">
        <v>120</v>
      </c>
      <c r="S33" t="s">
        <v>28</v>
      </c>
      <c r="T33" t="s">
        <v>29</v>
      </c>
    </row>
    <row r="34" spans="1:20" x14ac:dyDescent="0.3">
      <c r="A34">
        <v>899</v>
      </c>
      <c r="B34" s="1">
        <v>40583</v>
      </c>
      <c r="C34">
        <v>1</v>
      </c>
      <c r="D34">
        <v>0</v>
      </c>
      <c r="E34">
        <v>2</v>
      </c>
      <c r="F34">
        <v>22</v>
      </c>
      <c r="G34" t="b">
        <v>0</v>
      </c>
      <c r="H34">
        <v>3</v>
      </c>
      <c r="I34">
        <v>3</v>
      </c>
      <c r="J34">
        <v>0.16</v>
      </c>
      <c r="K34">
        <v>0.16669999999999999</v>
      </c>
      <c r="L34">
        <v>0.8</v>
      </c>
      <c r="M34">
        <v>0.16420000000000001</v>
      </c>
      <c r="N34">
        <v>4</v>
      </c>
      <c r="O34">
        <v>42</v>
      </c>
      <c r="P34">
        <v>46</v>
      </c>
      <c r="Q34" t="s">
        <v>63</v>
      </c>
      <c r="R34" t="s">
        <v>120</v>
      </c>
      <c r="S34" t="s">
        <v>28</v>
      </c>
      <c r="T34" t="s">
        <v>29</v>
      </c>
    </row>
    <row r="35" spans="1:20" x14ac:dyDescent="0.3">
      <c r="A35">
        <v>900</v>
      </c>
      <c r="B35" s="1">
        <v>40583</v>
      </c>
      <c r="C35">
        <v>1</v>
      </c>
      <c r="D35">
        <v>0</v>
      </c>
      <c r="E35">
        <v>2</v>
      </c>
      <c r="F35">
        <v>23</v>
      </c>
      <c r="G35" t="b">
        <v>0</v>
      </c>
      <c r="H35">
        <v>3</v>
      </c>
      <c r="I35">
        <v>3</v>
      </c>
      <c r="J35">
        <v>0.16</v>
      </c>
      <c r="K35">
        <v>0.1515</v>
      </c>
      <c r="L35">
        <v>0.8</v>
      </c>
      <c r="M35">
        <v>0.19400000000000001</v>
      </c>
      <c r="N35">
        <v>0</v>
      </c>
      <c r="O35">
        <v>37</v>
      </c>
      <c r="P35">
        <v>37</v>
      </c>
      <c r="Q35" t="s">
        <v>63</v>
      </c>
      <c r="R35" t="s">
        <v>120</v>
      </c>
      <c r="S35" t="s">
        <v>28</v>
      </c>
      <c r="T35" t="s">
        <v>29</v>
      </c>
    </row>
    <row r="36" spans="1:20" x14ac:dyDescent="0.3">
      <c r="A36">
        <v>901</v>
      </c>
      <c r="B36" s="1">
        <v>40584</v>
      </c>
      <c r="C36">
        <v>1</v>
      </c>
      <c r="D36">
        <v>0</v>
      </c>
      <c r="E36">
        <v>2</v>
      </c>
      <c r="F36">
        <v>0</v>
      </c>
      <c r="G36" t="b">
        <v>0</v>
      </c>
      <c r="H36">
        <v>4</v>
      </c>
      <c r="I36">
        <v>3</v>
      </c>
      <c r="J36">
        <v>0.14000000000000001</v>
      </c>
      <c r="K36">
        <v>0.13639999999999999</v>
      </c>
      <c r="L36">
        <v>0.86</v>
      </c>
      <c r="M36">
        <v>0.19400000000000001</v>
      </c>
      <c r="N36">
        <v>0</v>
      </c>
      <c r="O36">
        <v>16</v>
      </c>
      <c r="P36">
        <v>16</v>
      </c>
      <c r="Q36" t="s">
        <v>63</v>
      </c>
      <c r="R36" t="s">
        <v>120</v>
      </c>
      <c r="S36" t="s">
        <v>26</v>
      </c>
      <c r="T36" t="s">
        <v>29</v>
      </c>
    </row>
    <row r="37" spans="1:20" x14ac:dyDescent="0.3">
      <c r="A37">
        <v>902</v>
      </c>
      <c r="B37" s="1">
        <v>40584</v>
      </c>
      <c r="C37">
        <v>1</v>
      </c>
      <c r="D37">
        <v>0</v>
      </c>
      <c r="E37">
        <v>2</v>
      </c>
      <c r="F37">
        <v>1</v>
      </c>
      <c r="G37" t="b">
        <v>0</v>
      </c>
      <c r="H37">
        <v>4</v>
      </c>
      <c r="I37">
        <v>3</v>
      </c>
      <c r="J37">
        <v>0.14000000000000001</v>
      </c>
      <c r="K37">
        <v>0.1515</v>
      </c>
      <c r="L37">
        <v>0.8</v>
      </c>
      <c r="M37">
        <v>0.1343</v>
      </c>
      <c r="N37">
        <v>0</v>
      </c>
      <c r="O37">
        <v>7</v>
      </c>
      <c r="P37">
        <v>7</v>
      </c>
      <c r="Q37" t="s">
        <v>63</v>
      </c>
      <c r="R37" t="s">
        <v>120</v>
      </c>
      <c r="S37" t="s">
        <v>26</v>
      </c>
      <c r="T37" t="s">
        <v>29</v>
      </c>
    </row>
    <row r="38" spans="1:20" x14ac:dyDescent="0.3">
      <c r="A38">
        <v>903</v>
      </c>
      <c r="B38" s="1">
        <v>40584</v>
      </c>
      <c r="C38">
        <v>1</v>
      </c>
      <c r="D38">
        <v>0</v>
      </c>
      <c r="E38">
        <v>2</v>
      </c>
      <c r="F38">
        <v>2</v>
      </c>
      <c r="G38" t="b">
        <v>0</v>
      </c>
      <c r="H38">
        <v>4</v>
      </c>
      <c r="I38">
        <v>3</v>
      </c>
      <c r="J38">
        <v>0.14000000000000001</v>
      </c>
      <c r="K38">
        <v>0.1515</v>
      </c>
      <c r="L38">
        <v>0.8</v>
      </c>
      <c r="M38">
        <v>0.1343</v>
      </c>
      <c r="N38">
        <v>0</v>
      </c>
      <c r="O38">
        <v>3</v>
      </c>
      <c r="P38">
        <v>3</v>
      </c>
      <c r="Q38" t="s">
        <v>63</v>
      </c>
      <c r="R38" t="s">
        <v>120</v>
      </c>
      <c r="S38" t="s">
        <v>26</v>
      </c>
      <c r="T38" t="s">
        <v>29</v>
      </c>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01BF71CF-405E-449C-980E-51A33CAF1895}">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9</vt:i4>
      </vt:variant>
      <vt:variant>
        <vt:lpstr>Named Ranges</vt:lpstr>
      </vt:variant>
      <vt:variant>
        <vt:i4>1</vt:i4>
      </vt:variant>
    </vt:vector>
  </HeadingPairs>
  <TitlesOfParts>
    <vt:vector size="10" baseType="lpstr">
      <vt:lpstr>Merged Data</vt:lpstr>
      <vt:lpstr>Dashboard</vt:lpstr>
      <vt:lpstr>Summary Statistics</vt:lpstr>
      <vt:lpstr>Analysis Sheet</vt:lpstr>
      <vt:lpstr>Weather &amp; Seasonal Impact</vt:lpstr>
      <vt:lpstr>Holiday Working Day Impact</vt:lpstr>
      <vt:lpstr>Demand according to day</vt:lpstr>
      <vt:lpstr>Detail1</vt:lpstr>
      <vt:lpstr>Sheet2</vt:lpstr>
      <vt:lpstr>'Merged Data'!Print_Area</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KAMARPUKHURI TEA</dc:creator>
  <cp:lastModifiedBy>KAMARPUKHURI TEA</cp:lastModifiedBy>
  <dcterms:created xsi:type="dcterms:W3CDTF">2025-10-17T08:19:44Z</dcterms:created>
  <dcterms:modified xsi:type="dcterms:W3CDTF">2025-10-23T03:56:24Z</dcterms:modified>
</cp:coreProperties>
</file>